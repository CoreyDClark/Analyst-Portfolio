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5.xml" ContentType="application/vnd.openxmlformats-officedocument.spreadsheetml.pivot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937473cbb8e34d/Desktop/Portfolio_Project_2/"/>
    </mc:Choice>
  </mc:AlternateContent>
  <xr:revisionPtr revIDLastSave="664" documentId="8_{C67FC24A-4236-4ED7-96F2-09358F942299}" xr6:coauthVersionLast="47" xr6:coauthVersionMax="47" xr10:uidLastSave="{F5615441-B8F5-4D1B-839C-6E261E251B57}"/>
  <bookViews>
    <workbookView minimized="1" xWindow="-25080" yWindow="1860" windowWidth="18510" windowHeight="10845" xr2:uid="{D654B3C4-28A7-4C89-BEC0-D0195F1CD43F}"/>
  </bookViews>
  <sheets>
    <sheet name="Dashboard" sheetId="10" r:id="rId1"/>
    <sheet name="InventoryModel" sheetId="5" r:id="rId2"/>
    <sheet name="PivotTables" sheetId="9" r:id="rId3"/>
    <sheet name="SKU_Master" sheetId="2" r:id="rId4"/>
    <sheet name="DemandSummary" sheetId="7" r:id="rId5"/>
    <sheet name="DemandHistory" sheetId="3" r:id="rId6"/>
  </sheets>
  <definedNames>
    <definedName name="ExternalData_1" localSheetId="5" hidden="1">DemandHistory!$A$1:$C$3901</definedName>
    <definedName name="ExternalData_1" localSheetId="3" hidden="1">SKU_Master!$A$1:$I$151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0" l="1"/>
  <c r="Q6" i="5"/>
  <c r="Q4" i="5"/>
  <c r="C6" i="10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N3" i="5"/>
  <c r="N2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E3" i="3"/>
  <c r="D3" i="3" s="1"/>
  <c r="F3" i="3" s="1"/>
  <c r="E4" i="3"/>
  <c r="D4" i="3" s="1"/>
  <c r="F4" i="3" s="1"/>
  <c r="E5" i="3"/>
  <c r="D5" i="3" s="1"/>
  <c r="F5" i="3" s="1"/>
  <c r="E6" i="3"/>
  <c r="D6" i="3" s="1"/>
  <c r="F6" i="3" s="1"/>
  <c r="E7" i="3"/>
  <c r="D7" i="3" s="1"/>
  <c r="F7" i="3" s="1"/>
  <c r="E8" i="3"/>
  <c r="D8" i="3" s="1"/>
  <c r="F8" i="3" s="1"/>
  <c r="E9" i="3"/>
  <c r="D9" i="3" s="1"/>
  <c r="F9" i="3" s="1"/>
  <c r="E10" i="3"/>
  <c r="D10" i="3" s="1"/>
  <c r="F10" i="3" s="1"/>
  <c r="E11" i="3"/>
  <c r="D11" i="3" s="1"/>
  <c r="F11" i="3" s="1"/>
  <c r="E12" i="3"/>
  <c r="D12" i="3" s="1"/>
  <c r="F12" i="3" s="1"/>
  <c r="E13" i="3"/>
  <c r="D13" i="3" s="1"/>
  <c r="F13" i="3" s="1"/>
  <c r="E14" i="3"/>
  <c r="D14" i="3" s="1"/>
  <c r="F14" i="3" s="1"/>
  <c r="E15" i="3"/>
  <c r="D15" i="3" s="1"/>
  <c r="F15" i="3" s="1"/>
  <c r="E16" i="3"/>
  <c r="D16" i="3" s="1"/>
  <c r="F16" i="3" s="1"/>
  <c r="E17" i="3"/>
  <c r="D17" i="3" s="1"/>
  <c r="F17" i="3" s="1"/>
  <c r="E18" i="3"/>
  <c r="D18" i="3" s="1"/>
  <c r="F18" i="3" s="1"/>
  <c r="E19" i="3"/>
  <c r="D19" i="3" s="1"/>
  <c r="F19" i="3" s="1"/>
  <c r="E20" i="3"/>
  <c r="D20" i="3" s="1"/>
  <c r="F20" i="3" s="1"/>
  <c r="E21" i="3"/>
  <c r="D21" i="3" s="1"/>
  <c r="F21" i="3" s="1"/>
  <c r="E22" i="3"/>
  <c r="D22" i="3" s="1"/>
  <c r="F22" i="3" s="1"/>
  <c r="E23" i="3"/>
  <c r="D23" i="3" s="1"/>
  <c r="F23" i="3" s="1"/>
  <c r="E24" i="3"/>
  <c r="D24" i="3" s="1"/>
  <c r="F24" i="3" s="1"/>
  <c r="E25" i="3"/>
  <c r="D25" i="3" s="1"/>
  <c r="F25" i="3" s="1"/>
  <c r="E26" i="3"/>
  <c r="D26" i="3" s="1"/>
  <c r="F26" i="3" s="1"/>
  <c r="E27" i="3"/>
  <c r="D27" i="3" s="1"/>
  <c r="F27" i="3" s="1"/>
  <c r="E28" i="3"/>
  <c r="D28" i="3" s="1"/>
  <c r="F28" i="3" s="1"/>
  <c r="E29" i="3"/>
  <c r="D29" i="3" s="1"/>
  <c r="F29" i="3" s="1"/>
  <c r="E30" i="3"/>
  <c r="D30" i="3" s="1"/>
  <c r="F30" i="3" s="1"/>
  <c r="E31" i="3"/>
  <c r="D31" i="3" s="1"/>
  <c r="F31" i="3" s="1"/>
  <c r="E32" i="3"/>
  <c r="D32" i="3" s="1"/>
  <c r="F32" i="3" s="1"/>
  <c r="E33" i="3"/>
  <c r="D33" i="3" s="1"/>
  <c r="F33" i="3" s="1"/>
  <c r="E34" i="3"/>
  <c r="D34" i="3" s="1"/>
  <c r="F34" i="3" s="1"/>
  <c r="E35" i="3"/>
  <c r="D35" i="3" s="1"/>
  <c r="F35" i="3" s="1"/>
  <c r="E36" i="3"/>
  <c r="D36" i="3" s="1"/>
  <c r="F36" i="3" s="1"/>
  <c r="E37" i="3"/>
  <c r="D37" i="3" s="1"/>
  <c r="F37" i="3" s="1"/>
  <c r="E38" i="3"/>
  <c r="D38" i="3" s="1"/>
  <c r="F38" i="3" s="1"/>
  <c r="E39" i="3"/>
  <c r="D39" i="3" s="1"/>
  <c r="F39" i="3" s="1"/>
  <c r="E40" i="3"/>
  <c r="D40" i="3" s="1"/>
  <c r="F40" i="3" s="1"/>
  <c r="E41" i="3"/>
  <c r="D41" i="3" s="1"/>
  <c r="F41" i="3" s="1"/>
  <c r="E42" i="3"/>
  <c r="D42" i="3" s="1"/>
  <c r="F42" i="3" s="1"/>
  <c r="E43" i="3"/>
  <c r="D43" i="3" s="1"/>
  <c r="F43" i="3" s="1"/>
  <c r="E44" i="3"/>
  <c r="D44" i="3" s="1"/>
  <c r="F44" i="3" s="1"/>
  <c r="E45" i="3"/>
  <c r="D45" i="3" s="1"/>
  <c r="F45" i="3" s="1"/>
  <c r="E46" i="3"/>
  <c r="D46" i="3" s="1"/>
  <c r="F46" i="3" s="1"/>
  <c r="E47" i="3"/>
  <c r="D47" i="3" s="1"/>
  <c r="F47" i="3" s="1"/>
  <c r="E48" i="3"/>
  <c r="D48" i="3" s="1"/>
  <c r="F48" i="3" s="1"/>
  <c r="E49" i="3"/>
  <c r="D49" i="3" s="1"/>
  <c r="F49" i="3" s="1"/>
  <c r="E50" i="3"/>
  <c r="D50" i="3" s="1"/>
  <c r="F50" i="3" s="1"/>
  <c r="E51" i="3"/>
  <c r="D51" i="3" s="1"/>
  <c r="F51" i="3" s="1"/>
  <c r="E52" i="3"/>
  <c r="D52" i="3" s="1"/>
  <c r="F52" i="3" s="1"/>
  <c r="E53" i="3"/>
  <c r="D53" i="3" s="1"/>
  <c r="F53" i="3" s="1"/>
  <c r="E54" i="3"/>
  <c r="D54" i="3" s="1"/>
  <c r="F54" i="3" s="1"/>
  <c r="E55" i="3"/>
  <c r="D55" i="3" s="1"/>
  <c r="F55" i="3" s="1"/>
  <c r="E56" i="3"/>
  <c r="D56" i="3" s="1"/>
  <c r="F56" i="3" s="1"/>
  <c r="E57" i="3"/>
  <c r="D57" i="3" s="1"/>
  <c r="F57" i="3" s="1"/>
  <c r="E58" i="3"/>
  <c r="D58" i="3" s="1"/>
  <c r="F58" i="3" s="1"/>
  <c r="E59" i="3"/>
  <c r="D59" i="3" s="1"/>
  <c r="F59" i="3" s="1"/>
  <c r="E60" i="3"/>
  <c r="D60" i="3" s="1"/>
  <c r="F60" i="3" s="1"/>
  <c r="E61" i="3"/>
  <c r="D61" i="3" s="1"/>
  <c r="F61" i="3" s="1"/>
  <c r="E62" i="3"/>
  <c r="D62" i="3" s="1"/>
  <c r="F62" i="3" s="1"/>
  <c r="E63" i="3"/>
  <c r="D63" i="3" s="1"/>
  <c r="F63" i="3" s="1"/>
  <c r="E64" i="3"/>
  <c r="D64" i="3" s="1"/>
  <c r="F64" i="3" s="1"/>
  <c r="E65" i="3"/>
  <c r="D65" i="3" s="1"/>
  <c r="F65" i="3" s="1"/>
  <c r="E66" i="3"/>
  <c r="D66" i="3" s="1"/>
  <c r="F66" i="3" s="1"/>
  <c r="E67" i="3"/>
  <c r="D67" i="3" s="1"/>
  <c r="F67" i="3" s="1"/>
  <c r="E68" i="3"/>
  <c r="D68" i="3" s="1"/>
  <c r="F68" i="3" s="1"/>
  <c r="E69" i="3"/>
  <c r="D69" i="3" s="1"/>
  <c r="F69" i="3" s="1"/>
  <c r="E70" i="3"/>
  <c r="D70" i="3" s="1"/>
  <c r="F70" i="3" s="1"/>
  <c r="E71" i="3"/>
  <c r="D71" i="3" s="1"/>
  <c r="F71" i="3" s="1"/>
  <c r="E72" i="3"/>
  <c r="D72" i="3" s="1"/>
  <c r="F72" i="3" s="1"/>
  <c r="E73" i="3"/>
  <c r="D73" i="3" s="1"/>
  <c r="F73" i="3" s="1"/>
  <c r="E74" i="3"/>
  <c r="D74" i="3" s="1"/>
  <c r="F74" i="3" s="1"/>
  <c r="E75" i="3"/>
  <c r="D75" i="3" s="1"/>
  <c r="F75" i="3" s="1"/>
  <c r="E76" i="3"/>
  <c r="D76" i="3" s="1"/>
  <c r="F76" i="3" s="1"/>
  <c r="E77" i="3"/>
  <c r="D77" i="3" s="1"/>
  <c r="F77" i="3" s="1"/>
  <c r="E78" i="3"/>
  <c r="D78" i="3" s="1"/>
  <c r="F78" i="3" s="1"/>
  <c r="E79" i="3"/>
  <c r="D79" i="3" s="1"/>
  <c r="F79" i="3" s="1"/>
  <c r="E80" i="3"/>
  <c r="D80" i="3" s="1"/>
  <c r="F80" i="3" s="1"/>
  <c r="E81" i="3"/>
  <c r="D81" i="3" s="1"/>
  <c r="F81" i="3" s="1"/>
  <c r="E82" i="3"/>
  <c r="D82" i="3" s="1"/>
  <c r="F82" i="3" s="1"/>
  <c r="E83" i="3"/>
  <c r="D83" i="3" s="1"/>
  <c r="F83" i="3" s="1"/>
  <c r="E84" i="3"/>
  <c r="D84" i="3" s="1"/>
  <c r="F84" i="3" s="1"/>
  <c r="E85" i="3"/>
  <c r="D85" i="3" s="1"/>
  <c r="F85" i="3" s="1"/>
  <c r="E86" i="3"/>
  <c r="D86" i="3" s="1"/>
  <c r="F86" i="3" s="1"/>
  <c r="E87" i="3"/>
  <c r="D87" i="3" s="1"/>
  <c r="F87" i="3" s="1"/>
  <c r="E88" i="3"/>
  <c r="D88" i="3" s="1"/>
  <c r="F88" i="3" s="1"/>
  <c r="E89" i="3"/>
  <c r="D89" i="3" s="1"/>
  <c r="F89" i="3" s="1"/>
  <c r="E90" i="3"/>
  <c r="D90" i="3" s="1"/>
  <c r="F90" i="3" s="1"/>
  <c r="E91" i="3"/>
  <c r="D91" i="3" s="1"/>
  <c r="F91" i="3" s="1"/>
  <c r="E92" i="3"/>
  <c r="D92" i="3" s="1"/>
  <c r="F92" i="3" s="1"/>
  <c r="E93" i="3"/>
  <c r="D93" i="3" s="1"/>
  <c r="F93" i="3" s="1"/>
  <c r="E94" i="3"/>
  <c r="D94" i="3" s="1"/>
  <c r="F94" i="3" s="1"/>
  <c r="E95" i="3"/>
  <c r="D95" i="3" s="1"/>
  <c r="F95" i="3" s="1"/>
  <c r="E96" i="3"/>
  <c r="D96" i="3" s="1"/>
  <c r="F96" i="3" s="1"/>
  <c r="E97" i="3"/>
  <c r="D97" i="3" s="1"/>
  <c r="F97" i="3" s="1"/>
  <c r="E98" i="3"/>
  <c r="D98" i="3" s="1"/>
  <c r="F98" i="3" s="1"/>
  <c r="E99" i="3"/>
  <c r="D99" i="3" s="1"/>
  <c r="F99" i="3" s="1"/>
  <c r="E100" i="3"/>
  <c r="D100" i="3" s="1"/>
  <c r="F100" i="3" s="1"/>
  <c r="E101" i="3"/>
  <c r="D101" i="3" s="1"/>
  <c r="F101" i="3" s="1"/>
  <c r="E102" i="3"/>
  <c r="D102" i="3" s="1"/>
  <c r="F102" i="3" s="1"/>
  <c r="E103" i="3"/>
  <c r="D103" i="3" s="1"/>
  <c r="F103" i="3" s="1"/>
  <c r="E104" i="3"/>
  <c r="D104" i="3" s="1"/>
  <c r="F104" i="3" s="1"/>
  <c r="E105" i="3"/>
  <c r="D105" i="3" s="1"/>
  <c r="F105" i="3" s="1"/>
  <c r="E106" i="3"/>
  <c r="D106" i="3" s="1"/>
  <c r="F106" i="3" s="1"/>
  <c r="E107" i="3"/>
  <c r="D107" i="3" s="1"/>
  <c r="F107" i="3" s="1"/>
  <c r="E108" i="3"/>
  <c r="D108" i="3" s="1"/>
  <c r="F108" i="3" s="1"/>
  <c r="E109" i="3"/>
  <c r="D109" i="3" s="1"/>
  <c r="F109" i="3" s="1"/>
  <c r="E110" i="3"/>
  <c r="D110" i="3" s="1"/>
  <c r="F110" i="3" s="1"/>
  <c r="E111" i="3"/>
  <c r="D111" i="3" s="1"/>
  <c r="F111" i="3" s="1"/>
  <c r="E112" i="3"/>
  <c r="D112" i="3" s="1"/>
  <c r="F112" i="3" s="1"/>
  <c r="E113" i="3"/>
  <c r="D113" i="3" s="1"/>
  <c r="F113" i="3" s="1"/>
  <c r="E114" i="3"/>
  <c r="D114" i="3" s="1"/>
  <c r="F114" i="3" s="1"/>
  <c r="E115" i="3"/>
  <c r="D115" i="3" s="1"/>
  <c r="F115" i="3" s="1"/>
  <c r="E116" i="3"/>
  <c r="D116" i="3" s="1"/>
  <c r="F116" i="3" s="1"/>
  <c r="E117" i="3"/>
  <c r="D117" i="3" s="1"/>
  <c r="F117" i="3" s="1"/>
  <c r="E118" i="3"/>
  <c r="D118" i="3" s="1"/>
  <c r="F118" i="3" s="1"/>
  <c r="E119" i="3"/>
  <c r="D119" i="3" s="1"/>
  <c r="F119" i="3" s="1"/>
  <c r="E120" i="3"/>
  <c r="D120" i="3" s="1"/>
  <c r="F120" i="3" s="1"/>
  <c r="E121" i="3"/>
  <c r="D121" i="3" s="1"/>
  <c r="F121" i="3" s="1"/>
  <c r="E122" i="3"/>
  <c r="D122" i="3" s="1"/>
  <c r="F122" i="3" s="1"/>
  <c r="E123" i="3"/>
  <c r="D123" i="3" s="1"/>
  <c r="F123" i="3" s="1"/>
  <c r="E124" i="3"/>
  <c r="D124" i="3" s="1"/>
  <c r="F124" i="3" s="1"/>
  <c r="E125" i="3"/>
  <c r="D125" i="3" s="1"/>
  <c r="F125" i="3" s="1"/>
  <c r="E126" i="3"/>
  <c r="D126" i="3" s="1"/>
  <c r="F126" i="3" s="1"/>
  <c r="E127" i="3"/>
  <c r="D127" i="3" s="1"/>
  <c r="F127" i="3" s="1"/>
  <c r="E128" i="3"/>
  <c r="D128" i="3" s="1"/>
  <c r="F128" i="3" s="1"/>
  <c r="E129" i="3"/>
  <c r="D129" i="3" s="1"/>
  <c r="F129" i="3" s="1"/>
  <c r="E130" i="3"/>
  <c r="D130" i="3" s="1"/>
  <c r="F130" i="3" s="1"/>
  <c r="E131" i="3"/>
  <c r="D131" i="3" s="1"/>
  <c r="F131" i="3" s="1"/>
  <c r="E132" i="3"/>
  <c r="D132" i="3" s="1"/>
  <c r="F132" i="3" s="1"/>
  <c r="E133" i="3"/>
  <c r="D133" i="3" s="1"/>
  <c r="F133" i="3" s="1"/>
  <c r="E134" i="3"/>
  <c r="D134" i="3" s="1"/>
  <c r="F134" i="3" s="1"/>
  <c r="E135" i="3"/>
  <c r="D135" i="3" s="1"/>
  <c r="F135" i="3" s="1"/>
  <c r="E136" i="3"/>
  <c r="D136" i="3" s="1"/>
  <c r="F136" i="3" s="1"/>
  <c r="E137" i="3"/>
  <c r="D137" i="3" s="1"/>
  <c r="F137" i="3" s="1"/>
  <c r="E138" i="3"/>
  <c r="D138" i="3" s="1"/>
  <c r="F138" i="3" s="1"/>
  <c r="E139" i="3"/>
  <c r="D139" i="3" s="1"/>
  <c r="F139" i="3" s="1"/>
  <c r="E140" i="3"/>
  <c r="D140" i="3" s="1"/>
  <c r="F140" i="3" s="1"/>
  <c r="E141" i="3"/>
  <c r="D141" i="3" s="1"/>
  <c r="F141" i="3" s="1"/>
  <c r="E142" i="3"/>
  <c r="D142" i="3" s="1"/>
  <c r="F142" i="3" s="1"/>
  <c r="E143" i="3"/>
  <c r="D143" i="3" s="1"/>
  <c r="F143" i="3" s="1"/>
  <c r="E144" i="3"/>
  <c r="D144" i="3" s="1"/>
  <c r="F144" i="3" s="1"/>
  <c r="E145" i="3"/>
  <c r="D145" i="3" s="1"/>
  <c r="F145" i="3" s="1"/>
  <c r="E146" i="3"/>
  <c r="D146" i="3" s="1"/>
  <c r="F146" i="3" s="1"/>
  <c r="E147" i="3"/>
  <c r="D147" i="3" s="1"/>
  <c r="F147" i="3" s="1"/>
  <c r="E148" i="3"/>
  <c r="D148" i="3" s="1"/>
  <c r="F148" i="3" s="1"/>
  <c r="E149" i="3"/>
  <c r="D149" i="3" s="1"/>
  <c r="F149" i="3" s="1"/>
  <c r="E150" i="3"/>
  <c r="D150" i="3" s="1"/>
  <c r="F150" i="3" s="1"/>
  <c r="E151" i="3"/>
  <c r="D151" i="3" s="1"/>
  <c r="F151" i="3" s="1"/>
  <c r="E152" i="3"/>
  <c r="D152" i="3" s="1"/>
  <c r="F152" i="3" s="1"/>
  <c r="E153" i="3"/>
  <c r="D153" i="3" s="1"/>
  <c r="F153" i="3" s="1"/>
  <c r="E154" i="3"/>
  <c r="D154" i="3" s="1"/>
  <c r="F154" i="3" s="1"/>
  <c r="E155" i="3"/>
  <c r="D155" i="3" s="1"/>
  <c r="F155" i="3" s="1"/>
  <c r="E156" i="3"/>
  <c r="D156" i="3" s="1"/>
  <c r="F156" i="3" s="1"/>
  <c r="E157" i="3"/>
  <c r="D157" i="3" s="1"/>
  <c r="F157" i="3" s="1"/>
  <c r="E158" i="3"/>
  <c r="D158" i="3" s="1"/>
  <c r="F158" i="3" s="1"/>
  <c r="E159" i="3"/>
  <c r="D159" i="3" s="1"/>
  <c r="F159" i="3" s="1"/>
  <c r="E160" i="3"/>
  <c r="D160" i="3" s="1"/>
  <c r="F160" i="3" s="1"/>
  <c r="E161" i="3"/>
  <c r="D161" i="3" s="1"/>
  <c r="F161" i="3" s="1"/>
  <c r="E162" i="3"/>
  <c r="D162" i="3" s="1"/>
  <c r="F162" i="3" s="1"/>
  <c r="E163" i="3"/>
  <c r="D163" i="3" s="1"/>
  <c r="F163" i="3" s="1"/>
  <c r="E164" i="3"/>
  <c r="D164" i="3" s="1"/>
  <c r="F164" i="3" s="1"/>
  <c r="E165" i="3"/>
  <c r="D165" i="3" s="1"/>
  <c r="F165" i="3" s="1"/>
  <c r="E166" i="3"/>
  <c r="D166" i="3" s="1"/>
  <c r="F166" i="3" s="1"/>
  <c r="E167" i="3"/>
  <c r="D167" i="3" s="1"/>
  <c r="F167" i="3" s="1"/>
  <c r="E168" i="3"/>
  <c r="D168" i="3" s="1"/>
  <c r="F168" i="3" s="1"/>
  <c r="E169" i="3"/>
  <c r="D169" i="3" s="1"/>
  <c r="F169" i="3" s="1"/>
  <c r="E170" i="3"/>
  <c r="D170" i="3" s="1"/>
  <c r="F170" i="3" s="1"/>
  <c r="E171" i="3"/>
  <c r="D171" i="3" s="1"/>
  <c r="F171" i="3" s="1"/>
  <c r="E172" i="3"/>
  <c r="D172" i="3" s="1"/>
  <c r="F172" i="3" s="1"/>
  <c r="E173" i="3"/>
  <c r="D173" i="3" s="1"/>
  <c r="F173" i="3" s="1"/>
  <c r="E174" i="3"/>
  <c r="D174" i="3" s="1"/>
  <c r="F174" i="3" s="1"/>
  <c r="E175" i="3"/>
  <c r="D175" i="3" s="1"/>
  <c r="F175" i="3" s="1"/>
  <c r="E176" i="3"/>
  <c r="D176" i="3" s="1"/>
  <c r="F176" i="3" s="1"/>
  <c r="E177" i="3"/>
  <c r="D177" i="3" s="1"/>
  <c r="F177" i="3" s="1"/>
  <c r="E178" i="3"/>
  <c r="D178" i="3" s="1"/>
  <c r="F178" i="3" s="1"/>
  <c r="E179" i="3"/>
  <c r="D179" i="3" s="1"/>
  <c r="F179" i="3" s="1"/>
  <c r="E180" i="3"/>
  <c r="D180" i="3" s="1"/>
  <c r="F180" i="3" s="1"/>
  <c r="E181" i="3"/>
  <c r="D181" i="3" s="1"/>
  <c r="F181" i="3" s="1"/>
  <c r="E182" i="3"/>
  <c r="D182" i="3" s="1"/>
  <c r="F182" i="3" s="1"/>
  <c r="E183" i="3"/>
  <c r="D183" i="3" s="1"/>
  <c r="F183" i="3" s="1"/>
  <c r="E184" i="3"/>
  <c r="D184" i="3" s="1"/>
  <c r="F184" i="3" s="1"/>
  <c r="E185" i="3"/>
  <c r="D185" i="3" s="1"/>
  <c r="F185" i="3" s="1"/>
  <c r="E186" i="3"/>
  <c r="D186" i="3" s="1"/>
  <c r="F186" i="3" s="1"/>
  <c r="E187" i="3"/>
  <c r="D187" i="3" s="1"/>
  <c r="F187" i="3" s="1"/>
  <c r="E188" i="3"/>
  <c r="D188" i="3" s="1"/>
  <c r="F188" i="3" s="1"/>
  <c r="E189" i="3"/>
  <c r="D189" i="3" s="1"/>
  <c r="F189" i="3" s="1"/>
  <c r="E190" i="3"/>
  <c r="D190" i="3" s="1"/>
  <c r="F190" i="3" s="1"/>
  <c r="E191" i="3"/>
  <c r="D191" i="3" s="1"/>
  <c r="F191" i="3" s="1"/>
  <c r="E192" i="3"/>
  <c r="D192" i="3" s="1"/>
  <c r="F192" i="3" s="1"/>
  <c r="E193" i="3"/>
  <c r="D193" i="3" s="1"/>
  <c r="F193" i="3" s="1"/>
  <c r="E194" i="3"/>
  <c r="D194" i="3" s="1"/>
  <c r="F194" i="3" s="1"/>
  <c r="E195" i="3"/>
  <c r="D195" i="3" s="1"/>
  <c r="F195" i="3" s="1"/>
  <c r="E196" i="3"/>
  <c r="D196" i="3" s="1"/>
  <c r="F196" i="3" s="1"/>
  <c r="E197" i="3"/>
  <c r="D197" i="3" s="1"/>
  <c r="F197" i="3" s="1"/>
  <c r="E198" i="3"/>
  <c r="D198" i="3" s="1"/>
  <c r="F198" i="3" s="1"/>
  <c r="E199" i="3"/>
  <c r="D199" i="3" s="1"/>
  <c r="F199" i="3" s="1"/>
  <c r="E200" i="3"/>
  <c r="D200" i="3" s="1"/>
  <c r="F200" i="3" s="1"/>
  <c r="E201" i="3"/>
  <c r="D201" i="3" s="1"/>
  <c r="F201" i="3" s="1"/>
  <c r="E202" i="3"/>
  <c r="D202" i="3" s="1"/>
  <c r="F202" i="3" s="1"/>
  <c r="E203" i="3"/>
  <c r="D203" i="3" s="1"/>
  <c r="F203" i="3" s="1"/>
  <c r="E204" i="3"/>
  <c r="D204" i="3" s="1"/>
  <c r="F204" i="3" s="1"/>
  <c r="E205" i="3"/>
  <c r="D205" i="3" s="1"/>
  <c r="F205" i="3" s="1"/>
  <c r="E206" i="3"/>
  <c r="D206" i="3" s="1"/>
  <c r="F206" i="3" s="1"/>
  <c r="E207" i="3"/>
  <c r="D207" i="3" s="1"/>
  <c r="F207" i="3" s="1"/>
  <c r="E208" i="3"/>
  <c r="D208" i="3" s="1"/>
  <c r="F208" i="3" s="1"/>
  <c r="E209" i="3"/>
  <c r="D209" i="3" s="1"/>
  <c r="F209" i="3" s="1"/>
  <c r="E210" i="3"/>
  <c r="D210" i="3" s="1"/>
  <c r="F210" i="3" s="1"/>
  <c r="E211" i="3"/>
  <c r="D211" i="3" s="1"/>
  <c r="F211" i="3" s="1"/>
  <c r="E212" i="3"/>
  <c r="D212" i="3" s="1"/>
  <c r="F212" i="3" s="1"/>
  <c r="E213" i="3"/>
  <c r="D213" i="3" s="1"/>
  <c r="F213" i="3" s="1"/>
  <c r="E214" i="3"/>
  <c r="D214" i="3" s="1"/>
  <c r="F214" i="3" s="1"/>
  <c r="E215" i="3"/>
  <c r="D215" i="3" s="1"/>
  <c r="F215" i="3" s="1"/>
  <c r="E216" i="3"/>
  <c r="D216" i="3" s="1"/>
  <c r="F216" i="3" s="1"/>
  <c r="E217" i="3"/>
  <c r="D217" i="3" s="1"/>
  <c r="F217" i="3" s="1"/>
  <c r="E218" i="3"/>
  <c r="D218" i="3" s="1"/>
  <c r="F218" i="3" s="1"/>
  <c r="E219" i="3"/>
  <c r="D219" i="3" s="1"/>
  <c r="F219" i="3" s="1"/>
  <c r="E220" i="3"/>
  <c r="D220" i="3" s="1"/>
  <c r="F220" i="3" s="1"/>
  <c r="E221" i="3"/>
  <c r="D221" i="3" s="1"/>
  <c r="F221" i="3" s="1"/>
  <c r="E222" i="3"/>
  <c r="D222" i="3" s="1"/>
  <c r="F222" i="3" s="1"/>
  <c r="E223" i="3"/>
  <c r="D223" i="3" s="1"/>
  <c r="F223" i="3" s="1"/>
  <c r="E224" i="3"/>
  <c r="D224" i="3" s="1"/>
  <c r="F224" i="3" s="1"/>
  <c r="E225" i="3"/>
  <c r="D225" i="3" s="1"/>
  <c r="F225" i="3" s="1"/>
  <c r="E226" i="3"/>
  <c r="D226" i="3" s="1"/>
  <c r="F226" i="3" s="1"/>
  <c r="E227" i="3"/>
  <c r="D227" i="3" s="1"/>
  <c r="F227" i="3" s="1"/>
  <c r="E228" i="3"/>
  <c r="D228" i="3" s="1"/>
  <c r="F228" i="3" s="1"/>
  <c r="E229" i="3"/>
  <c r="D229" i="3" s="1"/>
  <c r="F229" i="3" s="1"/>
  <c r="E230" i="3"/>
  <c r="D230" i="3" s="1"/>
  <c r="F230" i="3" s="1"/>
  <c r="E231" i="3"/>
  <c r="D231" i="3" s="1"/>
  <c r="F231" i="3" s="1"/>
  <c r="E232" i="3"/>
  <c r="D232" i="3" s="1"/>
  <c r="F232" i="3" s="1"/>
  <c r="E233" i="3"/>
  <c r="D233" i="3" s="1"/>
  <c r="F233" i="3" s="1"/>
  <c r="E234" i="3"/>
  <c r="D234" i="3" s="1"/>
  <c r="F234" i="3" s="1"/>
  <c r="E235" i="3"/>
  <c r="D235" i="3" s="1"/>
  <c r="F235" i="3" s="1"/>
  <c r="E236" i="3"/>
  <c r="D236" i="3" s="1"/>
  <c r="F236" i="3" s="1"/>
  <c r="E237" i="3"/>
  <c r="D237" i="3" s="1"/>
  <c r="F237" i="3" s="1"/>
  <c r="E238" i="3"/>
  <c r="D238" i="3" s="1"/>
  <c r="F238" i="3" s="1"/>
  <c r="E239" i="3"/>
  <c r="D239" i="3" s="1"/>
  <c r="F239" i="3" s="1"/>
  <c r="E240" i="3"/>
  <c r="D240" i="3" s="1"/>
  <c r="F240" i="3" s="1"/>
  <c r="E241" i="3"/>
  <c r="D241" i="3" s="1"/>
  <c r="F241" i="3" s="1"/>
  <c r="E242" i="3"/>
  <c r="D242" i="3" s="1"/>
  <c r="F242" i="3" s="1"/>
  <c r="E243" i="3"/>
  <c r="D243" i="3" s="1"/>
  <c r="F243" i="3" s="1"/>
  <c r="E244" i="3"/>
  <c r="D244" i="3" s="1"/>
  <c r="F244" i="3" s="1"/>
  <c r="E245" i="3"/>
  <c r="D245" i="3" s="1"/>
  <c r="F245" i="3" s="1"/>
  <c r="E246" i="3"/>
  <c r="D246" i="3" s="1"/>
  <c r="F246" i="3" s="1"/>
  <c r="E247" i="3"/>
  <c r="D247" i="3" s="1"/>
  <c r="F247" i="3" s="1"/>
  <c r="E248" i="3"/>
  <c r="D248" i="3" s="1"/>
  <c r="F248" i="3" s="1"/>
  <c r="E249" i="3"/>
  <c r="D249" i="3" s="1"/>
  <c r="F249" i="3" s="1"/>
  <c r="E250" i="3"/>
  <c r="D250" i="3" s="1"/>
  <c r="F250" i="3" s="1"/>
  <c r="E251" i="3"/>
  <c r="D251" i="3" s="1"/>
  <c r="F251" i="3" s="1"/>
  <c r="E252" i="3"/>
  <c r="D252" i="3" s="1"/>
  <c r="F252" i="3" s="1"/>
  <c r="E253" i="3"/>
  <c r="D253" i="3" s="1"/>
  <c r="F253" i="3" s="1"/>
  <c r="E254" i="3"/>
  <c r="D254" i="3" s="1"/>
  <c r="F254" i="3" s="1"/>
  <c r="E255" i="3"/>
  <c r="D255" i="3" s="1"/>
  <c r="F255" i="3" s="1"/>
  <c r="E256" i="3"/>
  <c r="D256" i="3" s="1"/>
  <c r="F256" i="3" s="1"/>
  <c r="E257" i="3"/>
  <c r="D257" i="3" s="1"/>
  <c r="F257" i="3" s="1"/>
  <c r="E258" i="3"/>
  <c r="D258" i="3" s="1"/>
  <c r="F258" i="3" s="1"/>
  <c r="E259" i="3"/>
  <c r="D259" i="3" s="1"/>
  <c r="F259" i="3" s="1"/>
  <c r="E260" i="3"/>
  <c r="D260" i="3" s="1"/>
  <c r="F260" i="3" s="1"/>
  <c r="E261" i="3"/>
  <c r="D261" i="3" s="1"/>
  <c r="F261" i="3" s="1"/>
  <c r="E262" i="3"/>
  <c r="D262" i="3" s="1"/>
  <c r="F262" i="3" s="1"/>
  <c r="E263" i="3"/>
  <c r="D263" i="3" s="1"/>
  <c r="F263" i="3" s="1"/>
  <c r="E264" i="3"/>
  <c r="D264" i="3" s="1"/>
  <c r="F264" i="3" s="1"/>
  <c r="E265" i="3"/>
  <c r="D265" i="3" s="1"/>
  <c r="F265" i="3" s="1"/>
  <c r="E266" i="3"/>
  <c r="D266" i="3" s="1"/>
  <c r="F266" i="3" s="1"/>
  <c r="E267" i="3"/>
  <c r="D267" i="3" s="1"/>
  <c r="F267" i="3" s="1"/>
  <c r="E268" i="3"/>
  <c r="D268" i="3" s="1"/>
  <c r="F268" i="3" s="1"/>
  <c r="E269" i="3"/>
  <c r="D269" i="3" s="1"/>
  <c r="F269" i="3" s="1"/>
  <c r="E270" i="3"/>
  <c r="D270" i="3" s="1"/>
  <c r="F270" i="3" s="1"/>
  <c r="E271" i="3"/>
  <c r="D271" i="3" s="1"/>
  <c r="F271" i="3" s="1"/>
  <c r="E272" i="3"/>
  <c r="D272" i="3" s="1"/>
  <c r="F272" i="3" s="1"/>
  <c r="E273" i="3"/>
  <c r="D273" i="3" s="1"/>
  <c r="F273" i="3" s="1"/>
  <c r="E274" i="3"/>
  <c r="D274" i="3" s="1"/>
  <c r="F274" i="3" s="1"/>
  <c r="E275" i="3"/>
  <c r="D275" i="3" s="1"/>
  <c r="F275" i="3" s="1"/>
  <c r="E276" i="3"/>
  <c r="D276" i="3" s="1"/>
  <c r="F276" i="3" s="1"/>
  <c r="E277" i="3"/>
  <c r="D277" i="3" s="1"/>
  <c r="F277" i="3" s="1"/>
  <c r="E278" i="3"/>
  <c r="D278" i="3" s="1"/>
  <c r="F278" i="3" s="1"/>
  <c r="E279" i="3"/>
  <c r="D279" i="3" s="1"/>
  <c r="F279" i="3" s="1"/>
  <c r="E280" i="3"/>
  <c r="D280" i="3" s="1"/>
  <c r="F280" i="3" s="1"/>
  <c r="E281" i="3"/>
  <c r="D281" i="3" s="1"/>
  <c r="F281" i="3" s="1"/>
  <c r="E282" i="3"/>
  <c r="D282" i="3" s="1"/>
  <c r="F282" i="3" s="1"/>
  <c r="E283" i="3"/>
  <c r="D283" i="3" s="1"/>
  <c r="F283" i="3" s="1"/>
  <c r="E284" i="3"/>
  <c r="D284" i="3" s="1"/>
  <c r="F284" i="3" s="1"/>
  <c r="E285" i="3"/>
  <c r="D285" i="3" s="1"/>
  <c r="F285" i="3" s="1"/>
  <c r="E286" i="3"/>
  <c r="D286" i="3" s="1"/>
  <c r="F286" i="3" s="1"/>
  <c r="E287" i="3"/>
  <c r="D287" i="3" s="1"/>
  <c r="F287" i="3" s="1"/>
  <c r="E288" i="3"/>
  <c r="D288" i="3" s="1"/>
  <c r="F288" i="3" s="1"/>
  <c r="E289" i="3"/>
  <c r="D289" i="3" s="1"/>
  <c r="F289" i="3" s="1"/>
  <c r="E290" i="3"/>
  <c r="D290" i="3" s="1"/>
  <c r="F290" i="3" s="1"/>
  <c r="E291" i="3"/>
  <c r="D291" i="3" s="1"/>
  <c r="F291" i="3" s="1"/>
  <c r="E292" i="3"/>
  <c r="D292" i="3" s="1"/>
  <c r="F292" i="3" s="1"/>
  <c r="E293" i="3"/>
  <c r="D293" i="3" s="1"/>
  <c r="F293" i="3" s="1"/>
  <c r="E294" i="3"/>
  <c r="D294" i="3" s="1"/>
  <c r="F294" i="3" s="1"/>
  <c r="E295" i="3"/>
  <c r="D295" i="3" s="1"/>
  <c r="F295" i="3" s="1"/>
  <c r="E296" i="3"/>
  <c r="D296" i="3" s="1"/>
  <c r="F296" i="3" s="1"/>
  <c r="E297" i="3"/>
  <c r="D297" i="3" s="1"/>
  <c r="F297" i="3" s="1"/>
  <c r="E298" i="3"/>
  <c r="D298" i="3" s="1"/>
  <c r="F298" i="3" s="1"/>
  <c r="E299" i="3"/>
  <c r="D299" i="3" s="1"/>
  <c r="F299" i="3" s="1"/>
  <c r="E300" i="3"/>
  <c r="D300" i="3" s="1"/>
  <c r="F300" i="3" s="1"/>
  <c r="E301" i="3"/>
  <c r="D301" i="3" s="1"/>
  <c r="F301" i="3" s="1"/>
  <c r="E302" i="3"/>
  <c r="D302" i="3" s="1"/>
  <c r="F302" i="3" s="1"/>
  <c r="E303" i="3"/>
  <c r="D303" i="3" s="1"/>
  <c r="F303" i="3" s="1"/>
  <c r="E304" i="3"/>
  <c r="D304" i="3" s="1"/>
  <c r="F304" i="3" s="1"/>
  <c r="E305" i="3"/>
  <c r="D305" i="3" s="1"/>
  <c r="F305" i="3" s="1"/>
  <c r="E306" i="3"/>
  <c r="D306" i="3" s="1"/>
  <c r="F306" i="3" s="1"/>
  <c r="E307" i="3"/>
  <c r="D307" i="3" s="1"/>
  <c r="F307" i="3" s="1"/>
  <c r="E308" i="3"/>
  <c r="D308" i="3" s="1"/>
  <c r="F308" i="3" s="1"/>
  <c r="E309" i="3"/>
  <c r="D309" i="3" s="1"/>
  <c r="F309" i="3" s="1"/>
  <c r="E310" i="3"/>
  <c r="D310" i="3" s="1"/>
  <c r="F310" i="3" s="1"/>
  <c r="E311" i="3"/>
  <c r="D311" i="3" s="1"/>
  <c r="F311" i="3" s="1"/>
  <c r="E312" i="3"/>
  <c r="D312" i="3" s="1"/>
  <c r="F312" i="3" s="1"/>
  <c r="E313" i="3"/>
  <c r="D313" i="3" s="1"/>
  <c r="F313" i="3" s="1"/>
  <c r="E314" i="3"/>
  <c r="D314" i="3" s="1"/>
  <c r="F314" i="3" s="1"/>
  <c r="E315" i="3"/>
  <c r="D315" i="3" s="1"/>
  <c r="F315" i="3" s="1"/>
  <c r="E316" i="3"/>
  <c r="D316" i="3" s="1"/>
  <c r="F316" i="3" s="1"/>
  <c r="E317" i="3"/>
  <c r="D317" i="3" s="1"/>
  <c r="F317" i="3" s="1"/>
  <c r="E318" i="3"/>
  <c r="D318" i="3" s="1"/>
  <c r="F318" i="3" s="1"/>
  <c r="E319" i="3"/>
  <c r="D319" i="3" s="1"/>
  <c r="F319" i="3" s="1"/>
  <c r="E320" i="3"/>
  <c r="D320" i="3" s="1"/>
  <c r="F320" i="3" s="1"/>
  <c r="E321" i="3"/>
  <c r="D321" i="3" s="1"/>
  <c r="F321" i="3" s="1"/>
  <c r="E322" i="3"/>
  <c r="D322" i="3" s="1"/>
  <c r="F322" i="3" s="1"/>
  <c r="E323" i="3"/>
  <c r="D323" i="3" s="1"/>
  <c r="F323" i="3" s="1"/>
  <c r="E324" i="3"/>
  <c r="D324" i="3" s="1"/>
  <c r="F324" i="3" s="1"/>
  <c r="E325" i="3"/>
  <c r="D325" i="3" s="1"/>
  <c r="F325" i="3" s="1"/>
  <c r="E326" i="3"/>
  <c r="D326" i="3" s="1"/>
  <c r="F326" i="3" s="1"/>
  <c r="E327" i="3"/>
  <c r="D327" i="3" s="1"/>
  <c r="F327" i="3" s="1"/>
  <c r="E328" i="3"/>
  <c r="D328" i="3" s="1"/>
  <c r="F328" i="3" s="1"/>
  <c r="E329" i="3"/>
  <c r="D329" i="3" s="1"/>
  <c r="F329" i="3" s="1"/>
  <c r="E330" i="3"/>
  <c r="D330" i="3" s="1"/>
  <c r="F330" i="3" s="1"/>
  <c r="E331" i="3"/>
  <c r="D331" i="3" s="1"/>
  <c r="F331" i="3" s="1"/>
  <c r="E332" i="3"/>
  <c r="D332" i="3" s="1"/>
  <c r="F332" i="3" s="1"/>
  <c r="E333" i="3"/>
  <c r="D333" i="3" s="1"/>
  <c r="F333" i="3" s="1"/>
  <c r="E334" i="3"/>
  <c r="D334" i="3" s="1"/>
  <c r="F334" i="3" s="1"/>
  <c r="E335" i="3"/>
  <c r="D335" i="3" s="1"/>
  <c r="F335" i="3" s="1"/>
  <c r="E336" i="3"/>
  <c r="D336" i="3" s="1"/>
  <c r="F336" i="3" s="1"/>
  <c r="E337" i="3"/>
  <c r="D337" i="3" s="1"/>
  <c r="F337" i="3" s="1"/>
  <c r="E338" i="3"/>
  <c r="D338" i="3" s="1"/>
  <c r="F338" i="3" s="1"/>
  <c r="E339" i="3"/>
  <c r="D339" i="3" s="1"/>
  <c r="F339" i="3" s="1"/>
  <c r="E340" i="3"/>
  <c r="D340" i="3" s="1"/>
  <c r="F340" i="3" s="1"/>
  <c r="E341" i="3"/>
  <c r="D341" i="3" s="1"/>
  <c r="F341" i="3" s="1"/>
  <c r="E342" i="3"/>
  <c r="D342" i="3" s="1"/>
  <c r="F342" i="3" s="1"/>
  <c r="E343" i="3"/>
  <c r="D343" i="3" s="1"/>
  <c r="F343" i="3" s="1"/>
  <c r="E344" i="3"/>
  <c r="D344" i="3" s="1"/>
  <c r="F344" i="3" s="1"/>
  <c r="E345" i="3"/>
  <c r="D345" i="3" s="1"/>
  <c r="F345" i="3" s="1"/>
  <c r="E346" i="3"/>
  <c r="D346" i="3" s="1"/>
  <c r="F346" i="3" s="1"/>
  <c r="E347" i="3"/>
  <c r="D347" i="3" s="1"/>
  <c r="F347" i="3" s="1"/>
  <c r="E348" i="3"/>
  <c r="D348" i="3" s="1"/>
  <c r="F348" i="3" s="1"/>
  <c r="E349" i="3"/>
  <c r="D349" i="3" s="1"/>
  <c r="F349" i="3" s="1"/>
  <c r="E350" i="3"/>
  <c r="D350" i="3" s="1"/>
  <c r="F350" i="3" s="1"/>
  <c r="E351" i="3"/>
  <c r="D351" i="3" s="1"/>
  <c r="F351" i="3" s="1"/>
  <c r="E352" i="3"/>
  <c r="D352" i="3" s="1"/>
  <c r="F352" i="3" s="1"/>
  <c r="E353" i="3"/>
  <c r="D353" i="3" s="1"/>
  <c r="F353" i="3" s="1"/>
  <c r="E354" i="3"/>
  <c r="D354" i="3" s="1"/>
  <c r="F354" i="3" s="1"/>
  <c r="E355" i="3"/>
  <c r="D355" i="3" s="1"/>
  <c r="F355" i="3" s="1"/>
  <c r="E356" i="3"/>
  <c r="D356" i="3" s="1"/>
  <c r="F356" i="3" s="1"/>
  <c r="E357" i="3"/>
  <c r="D357" i="3" s="1"/>
  <c r="F357" i="3" s="1"/>
  <c r="E358" i="3"/>
  <c r="D358" i="3" s="1"/>
  <c r="F358" i="3" s="1"/>
  <c r="E359" i="3"/>
  <c r="D359" i="3" s="1"/>
  <c r="F359" i="3" s="1"/>
  <c r="E360" i="3"/>
  <c r="D360" i="3" s="1"/>
  <c r="F360" i="3" s="1"/>
  <c r="E361" i="3"/>
  <c r="D361" i="3" s="1"/>
  <c r="F361" i="3" s="1"/>
  <c r="E362" i="3"/>
  <c r="D362" i="3" s="1"/>
  <c r="F362" i="3" s="1"/>
  <c r="E363" i="3"/>
  <c r="D363" i="3" s="1"/>
  <c r="F363" i="3" s="1"/>
  <c r="E364" i="3"/>
  <c r="D364" i="3" s="1"/>
  <c r="F364" i="3" s="1"/>
  <c r="E365" i="3"/>
  <c r="D365" i="3" s="1"/>
  <c r="F365" i="3" s="1"/>
  <c r="E366" i="3"/>
  <c r="D366" i="3" s="1"/>
  <c r="F366" i="3" s="1"/>
  <c r="E367" i="3"/>
  <c r="D367" i="3" s="1"/>
  <c r="F367" i="3" s="1"/>
  <c r="E368" i="3"/>
  <c r="D368" i="3" s="1"/>
  <c r="F368" i="3" s="1"/>
  <c r="E369" i="3"/>
  <c r="D369" i="3" s="1"/>
  <c r="F369" i="3" s="1"/>
  <c r="E370" i="3"/>
  <c r="D370" i="3" s="1"/>
  <c r="F370" i="3" s="1"/>
  <c r="E371" i="3"/>
  <c r="D371" i="3" s="1"/>
  <c r="F371" i="3" s="1"/>
  <c r="E372" i="3"/>
  <c r="D372" i="3" s="1"/>
  <c r="F372" i="3" s="1"/>
  <c r="E373" i="3"/>
  <c r="D373" i="3" s="1"/>
  <c r="F373" i="3" s="1"/>
  <c r="E374" i="3"/>
  <c r="D374" i="3" s="1"/>
  <c r="F374" i="3" s="1"/>
  <c r="E375" i="3"/>
  <c r="D375" i="3" s="1"/>
  <c r="F375" i="3" s="1"/>
  <c r="E376" i="3"/>
  <c r="D376" i="3" s="1"/>
  <c r="F376" i="3" s="1"/>
  <c r="E377" i="3"/>
  <c r="D377" i="3" s="1"/>
  <c r="F377" i="3" s="1"/>
  <c r="E378" i="3"/>
  <c r="D378" i="3" s="1"/>
  <c r="F378" i="3" s="1"/>
  <c r="E379" i="3"/>
  <c r="D379" i="3" s="1"/>
  <c r="F379" i="3" s="1"/>
  <c r="E380" i="3"/>
  <c r="D380" i="3" s="1"/>
  <c r="F380" i="3" s="1"/>
  <c r="E381" i="3"/>
  <c r="D381" i="3" s="1"/>
  <c r="F381" i="3" s="1"/>
  <c r="E382" i="3"/>
  <c r="D382" i="3" s="1"/>
  <c r="F382" i="3" s="1"/>
  <c r="E383" i="3"/>
  <c r="D383" i="3" s="1"/>
  <c r="F383" i="3" s="1"/>
  <c r="E384" i="3"/>
  <c r="D384" i="3" s="1"/>
  <c r="F384" i="3" s="1"/>
  <c r="E385" i="3"/>
  <c r="D385" i="3" s="1"/>
  <c r="F385" i="3" s="1"/>
  <c r="E386" i="3"/>
  <c r="D386" i="3" s="1"/>
  <c r="F386" i="3" s="1"/>
  <c r="E387" i="3"/>
  <c r="D387" i="3" s="1"/>
  <c r="F387" i="3" s="1"/>
  <c r="E388" i="3"/>
  <c r="D388" i="3" s="1"/>
  <c r="F388" i="3" s="1"/>
  <c r="E389" i="3"/>
  <c r="D389" i="3" s="1"/>
  <c r="F389" i="3" s="1"/>
  <c r="E390" i="3"/>
  <c r="D390" i="3" s="1"/>
  <c r="F390" i="3" s="1"/>
  <c r="E391" i="3"/>
  <c r="D391" i="3" s="1"/>
  <c r="F391" i="3" s="1"/>
  <c r="E392" i="3"/>
  <c r="D392" i="3" s="1"/>
  <c r="F392" i="3" s="1"/>
  <c r="E393" i="3"/>
  <c r="D393" i="3" s="1"/>
  <c r="F393" i="3" s="1"/>
  <c r="E394" i="3"/>
  <c r="D394" i="3" s="1"/>
  <c r="F394" i="3" s="1"/>
  <c r="E395" i="3"/>
  <c r="D395" i="3" s="1"/>
  <c r="F395" i="3" s="1"/>
  <c r="E396" i="3"/>
  <c r="D396" i="3" s="1"/>
  <c r="F396" i="3" s="1"/>
  <c r="E397" i="3"/>
  <c r="D397" i="3" s="1"/>
  <c r="F397" i="3" s="1"/>
  <c r="E398" i="3"/>
  <c r="D398" i="3" s="1"/>
  <c r="F398" i="3" s="1"/>
  <c r="E399" i="3"/>
  <c r="D399" i="3" s="1"/>
  <c r="F399" i="3" s="1"/>
  <c r="E400" i="3"/>
  <c r="D400" i="3" s="1"/>
  <c r="F400" i="3" s="1"/>
  <c r="E401" i="3"/>
  <c r="D401" i="3" s="1"/>
  <c r="F401" i="3" s="1"/>
  <c r="E402" i="3"/>
  <c r="D402" i="3" s="1"/>
  <c r="F402" i="3" s="1"/>
  <c r="E403" i="3"/>
  <c r="D403" i="3" s="1"/>
  <c r="F403" i="3" s="1"/>
  <c r="E404" i="3"/>
  <c r="D404" i="3" s="1"/>
  <c r="F404" i="3" s="1"/>
  <c r="E405" i="3"/>
  <c r="D405" i="3" s="1"/>
  <c r="F405" i="3" s="1"/>
  <c r="E406" i="3"/>
  <c r="D406" i="3" s="1"/>
  <c r="F406" i="3" s="1"/>
  <c r="E407" i="3"/>
  <c r="D407" i="3" s="1"/>
  <c r="F407" i="3" s="1"/>
  <c r="E408" i="3"/>
  <c r="D408" i="3" s="1"/>
  <c r="F408" i="3" s="1"/>
  <c r="E409" i="3"/>
  <c r="D409" i="3" s="1"/>
  <c r="F409" i="3" s="1"/>
  <c r="E410" i="3"/>
  <c r="D410" i="3" s="1"/>
  <c r="F410" i="3" s="1"/>
  <c r="E411" i="3"/>
  <c r="D411" i="3" s="1"/>
  <c r="F411" i="3" s="1"/>
  <c r="E412" i="3"/>
  <c r="D412" i="3" s="1"/>
  <c r="F412" i="3" s="1"/>
  <c r="E413" i="3"/>
  <c r="D413" i="3" s="1"/>
  <c r="F413" i="3" s="1"/>
  <c r="E414" i="3"/>
  <c r="D414" i="3" s="1"/>
  <c r="F414" i="3" s="1"/>
  <c r="E415" i="3"/>
  <c r="D415" i="3" s="1"/>
  <c r="F415" i="3" s="1"/>
  <c r="E416" i="3"/>
  <c r="D416" i="3" s="1"/>
  <c r="F416" i="3" s="1"/>
  <c r="E417" i="3"/>
  <c r="D417" i="3" s="1"/>
  <c r="F417" i="3" s="1"/>
  <c r="E418" i="3"/>
  <c r="D418" i="3" s="1"/>
  <c r="F418" i="3" s="1"/>
  <c r="E419" i="3"/>
  <c r="D419" i="3" s="1"/>
  <c r="F419" i="3" s="1"/>
  <c r="E420" i="3"/>
  <c r="D420" i="3" s="1"/>
  <c r="F420" i="3" s="1"/>
  <c r="E421" i="3"/>
  <c r="D421" i="3" s="1"/>
  <c r="F421" i="3" s="1"/>
  <c r="E422" i="3"/>
  <c r="D422" i="3" s="1"/>
  <c r="F422" i="3" s="1"/>
  <c r="E423" i="3"/>
  <c r="D423" i="3" s="1"/>
  <c r="F423" i="3" s="1"/>
  <c r="E424" i="3"/>
  <c r="D424" i="3" s="1"/>
  <c r="F424" i="3" s="1"/>
  <c r="E425" i="3"/>
  <c r="D425" i="3" s="1"/>
  <c r="F425" i="3" s="1"/>
  <c r="E426" i="3"/>
  <c r="D426" i="3" s="1"/>
  <c r="F426" i="3" s="1"/>
  <c r="E427" i="3"/>
  <c r="D427" i="3" s="1"/>
  <c r="F427" i="3" s="1"/>
  <c r="E428" i="3"/>
  <c r="D428" i="3" s="1"/>
  <c r="F428" i="3" s="1"/>
  <c r="E429" i="3"/>
  <c r="D429" i="3" s="1"/>
  <c r="F429" i="3" s="1"/>
  <c r="E430" i="3"/>
  <c r="D430" i="3" s="1"/>
  <c r="F430" i="3" s="1"/>
  <c r="E431" i="3"/>
  <c r="D431" i="3" s="1"/>
  <c r="F431" i="3" s="1"/>
  <c r="E432" i="3"/>
  <c r="D432" i="3" s="1"/>
  <c r="F432" i="3" s="1"/>
  <c r="E433" i="3"/>
  <c r="D433" i="3" s="1"/>
  <c r="F433" i="3" s="1"/>
  <c r="E434" i="3"/>
  <c r="D434" i="3" s="1"/>
  <c r="F434" i="3" s="1"/>
  <c r="E435" i="3"/>
  <c r="D435" i="3" s="1"/>
  <c r="F435" i="3" s="1"/>
  <c r="E436" i="3"/>
  <c r="D436" i="3" s="1"/>
  <c r="F436" i="3" s="1"/>
  <c r="E437" i="3"/>
  <c r="D437" i="3" s="1"/>
  <c r="F437" i="3" s="1"/>
  <c r="E438" i="3"/>
  <c r="D438" i="3" s="1"/>
  <c r="F438" i="3" s="1"/>
  <c r="E439" i="3"/>
  <c r="D439" i="3" s="1"/>
  <c r="F439" i="3" s="1"/>
  <c r="E440" i="3"/>
  <c r="D440" i="3" s="1"/>
  <c r="F440" i="3" s="1"/>
  <c r="E441" i="3"/>
  <c r="D441" i="3" s="1"/>
  <c r="F441" i="3" s="1"/>
  <c r="E442" i="3"/>
  <c r="D442" i="3" s="1"/>
  <c r="F442" i="3" s="1"/>
  <c r="E443" i="3"/>
  <c r="D443" i="3" s="1"/>
  <c r="F443" i="3" s="1"/>
  <c r="E444" i="3"/>
  <c r="D444" i="3" s="1"/>
  <c r="F444" i="3" s="1"/>
  <c r="E445" i="3"/>
  <c r="D445" i="3" s="1"/>
  <c r="F445" i="3" s="1"/>
  <c r="E446" i="3"/>
  <c r="D446" i="3" s="1"/>
  <c r="F446" i="3" s="1"/>
  <c r="E447" i="3"/>
  <c r="D447" i="3" s="1"/>
  <c r="F447" i="3" s="1"/>
  <c r="E448" i="3"/>
  <c r="D448" i="3" s="1"/>
  <c r="F448" i="3" s="1"/>
  <c r="E449" i="3"/>
  <c r="D449" i="3" s="1"/>
  <c r="F449" i="3" s="1"/>
  <c r="E450" i="3"/>
  <c r="D450" i="3" s="1"/>
  <c r="F450" i="3" s="1"/>
  <c r="E451" i="3"/>
  <c r="D451" i="3" s="1"/>
  <c r="F451" i="3" s="1"/>
  <c r="E452" i="3"/>
  <c r="D452" i="3" s="1"/>
  <c r="F452" i="3" s="1"/>
  <c r="E453" i="3"/>
  <c r="D453" i="3" s="1"/>
  <c r="F453" i="3" s="1"/>
  <c r="E454" i="3"/>
  <c r="D454" i="3" s="1"/>
  <c r="F454" i="3" s="1"/>
  <c r="E455" i="3"/>
  <c r="D455" i="3" s="1"/>
  <c r="F455" i="3" s="1"/>
  <c r="E456" i="3"/>
  <c r="D456" i="3" s="1"/>
  <c r="F456" i="3" s="1"/>
  <c r="E457" i="3"/>
  <c r="D457" i="3" s="1"/>
  <c r="F457" i="3" s="1"/>
  <c r="E458" i="3"/>
  <c r="D458" i="3" s="1"/>
  <c r="F458" i="3" s="1"/>
  <c r="E459" i="3"/>
  <c r="D459" i="3" s="1"/>
  <c r="F459" i="3" s="1"/>
  <c r="E460" i="3"/>
  <c r="D460" i="3" s="1"/>
  <c r="F460" i="3" s="1"/>
  <c r="E461" i="3"/>
  <c r="D461" i="3" s="1"/>
  <c r="F461" i="3" s="1"/>
  <c r="E462" i="3"/>
  <c r="D462" i="3" s="1"/>
  <c r="F462" i="3" s="1"/>
  <c r="E463" i="3"/>
  <c r="D463" i="3" s="1"/>
  <c r="F463" i="3" s="1"/>
  <c r="E464" i="3"/>
  <c r="D464" i="3" s="1"/>
  <c r="F464" i="3" s="1"/>
  <c r="E465" i="3"/>
  <c r="D465" i="3" s="1"/>
  <c r="F465" i="3" s="1"/>
  <c r="E466" i="3"/>
  <c r="D466" i="3" s="1"/>
  <c r="F466" i="3" s="1"/>
  <c r="E467" i="3"/>
  <c r="D467" i="3" s="1"/>
  <c r="F467" i="3" s="1"/>
  <c r="E468" i="3"/>
  <c r="D468" i="3" s="1"/>
  <c r="F468" i="3" s="1"/>
  <c r="E469" i="3"/>
  <c r="D469" i="3" s="1"/>
  <c r="F469" i="3" s="1"/>
  <c r="E470" i="3"/>
  <c r="D470" i="3" s="1"/>
  <c r="F470" i="3" s="1"/>
  <c r="E471" i="3"/>
  <c r="D471" i="3" s="1"/>
  <c r="F471" i="3" s="1"/>
  <c r="E472" i="3"/>
  <c r="D472" i="3" s="1"/>
  <c r="F472" i="3" s="1"/>
  <c r="E473" i="3"/>
  <c r="D473" i="3" s="1"/>
  <c r="F473" i="3" s="1"/>
  <c r="E474" i="3"/>
  <c r="D474" i="3" s="1"/>
  <c r="F474" i="3" s="1"/>
  <c r="E475" i="3"/>
  <c r="D475" i="3" s="1"/>
  <c r="F475" i="3" s="1"/>
  <c r="E476" i="3"/>
  <c r="D476" i="3" s="1"/>
  <c r="F476" i="3" s="1"/>
  <c r="E477" i="3"/>
  <c r="D477" i="3" s="1"/>
  <c r="F477" i="3" s="1"/>
  <c r="E478" i="3"/>
  <c r="D478" i="3" s="1"/>
  <c r="F478" i="3" s="1"/>
  <c r="E479" i="3"/>
  <c r="D479" i="3" s="1"/>
  <c r="F479" i="3" s="1"/>
  <c r="E480" i="3"/>
  <c r="D480" i="3" s="1"/>
  <c r="F480" i="3" s="1"/>
  <c r="E481" i="3"/>
  <c r="D481" i="3" s="1"/>
  <c r="F481" i="3" s="1"/>
  <c r="E482" i="3"/>
  <c r="D482" i="3" s="1"/>
  <c r="F482" i="3" s="1"/>
  <c r="E483" i="3"/>
  <c r="D483" i="3" s="1"/>
  <c r="F483" i="3" s="1"/>
  <c r="E484" i="3"/>
  <c r="D484" i="3" s="1"/>
  <c r="F484" i="3" s="1"/>
  <c r="E485" i="3"/>
  <c r="D485" i="3" s="1"/>
  <c r="F485" i="3" s="1"/>
  <c r="E486" i="3"/>
  <c r="D486" i="3" s="1"/>
  <c r="F486" i="3" s="1"/>
  <c r="E487" i="3"/>
  <c r="D487" i="3" s="1"/>
  <c r="F487" i="3" s="1"/>
  <c r="E488" i="3"/>
  <c r="D488" i="3" s="1"/>
  <c r="F488" i="3" s="1"/>
  <c r="E489" i="3"/>
  <c r="D489" i="3" s="1"/>
  <c r="F489" i="3" s="1"/>
  <c r="E490" i="3"/>
  <c r="D490" i="3" s="1"/>
  <c r="F490" i="3" s="1"/>
  <c r="E491" i="3"/>
  <c r="D491" i="3" s="1"/>
  <c r="F491" i="3" s="1"/>
  <c r="E492" i="3"/>
  <c r="D492" i="3" s="1"/>
  <c r="F492" i="3" s="1"/>
  <c r="E493" i="3"/>
  <c r="D493" i="3" s="1"/>
  <c r="F493" i="3" s="1"/>
  <c r="E494" i="3"/>
  <c r="D494" i="3" s="1"/>
  <c r="F494" i="3" s="1"/>
  <c r="E495" i="3"/>
  <c r="D495" i="3" s="1"/>
  <c r="F495" i="3" s="1"/>
  <c r="E496" i="3"/>
  <c r="D496" i="3" s="1"/>
  <c r="F496" i="3" s="1"/>
  <c r="E497" i="3"/>
  <c r="D497" i="3" s="1"/>
  <c r="F497" i="3" s="1"/>
  <c r="E498" i="3"/>
  <c r="D498" i="3" s="1"/>
  <c r="F498" i="3" s="1"/>
  <c r="E499" i="3"/>
  <c r="D499" i="3" s="1"/>
  <c r="F499" i="3" s="1"/>
  <c r="E500" i="3"/>
  <c r="D500" i="3" s="1"/>
  <c r="F500" i="3" s="1"/>
  <c r="E501" i="3"/>
  <c r="D501" i="3" s="1"/>
  <c r="F501" i="3" s="1"/>
  <c r="E502" i="3"/>
  <c r="D502" i="3" s="1"/>
  <c r="F502" i="3" s="1"/>
  <c r="E503" i="3"/>
  <c r="D503" i="3" s="1"/>
  <c r="F503" i="3" s="1"/>
  <c r="E504" i="3"/>
  <c r="D504" i="3" s="1"/>
  <c r="F504" i="3" s="1"/>
  <c r="E505" i="3"/>
  <c r="D505" i="3" s="1"/>
  <c r="F505" i="3" s="1"/>
  <c r="E506" i="3"/>
  <c r="D506" i="3" s="1"/>
  <c r="F506" i="3" s="1"/>
  <c r="E507" i="3"/>
  <c r="D507" i="3" s="1"/>
  <c r="F507" i="3" s="1"/>
  <c r="E508" i="3"/>
  <c r="D508" i="3" s="1"/>
  <c r="F508" i="3" s="1"/>
  <c r="E509" i="3"/>
  <c r="D509" i="3" s="1"/>
  <c r="F509" i="3" s="1"/>
  <c r="E510" i="3"/>
  <c r="D510" i="3" s="1"/>
  <c r="F510" i="3" s="1"/>
  <c r="E511" i="3"/>
  <c r="D511" i="3" s="1"/>
  <c r="F511" i="3" s="1"/>
  <c r="E512" i="3"/>
  <c r="D512" i="3" s="1"/>
  <c r="F512" i="3" s="1"/>
  <c r="E513" i="3"/>
  <c r="D513" i="3" s="1"/>
  <c r="F513" i="3" s="1"/>
  <c r="E514" i="3"/>
  <c r="D514" i="3" s="1"/>
  <c r="F514" i="3" s="1"/>
  <c r="E515" i="3"/>
  <c r="D515" i="3" s="1"/>
  <c r="F515" i="3" s="1"/>
  <c r="E516" i="3"/>
  <c r="D516" i="3" s="1"/>
  <c r="F516" i="3" s="1"/>
  <c r="E517" i="3"/>
  <c r="D517" i="3" s="1"/>
  <c r="F517" i="3" s="1"/>
  <c r="E518" i="3"/>
  <c r="D518" i="3" s="1"/>
  <c r="F518" i="3" s="1"/>
  <c r="E519" i="3"/>
  <c r="D519" i="3" s="1"/>
  <c r="F519" i="3" s="1"/>
  <c r="E520" i="3"/>
  <c r="D520" i="3" s="1"/>
  <c r="F520" i="3" s="1"/>
  <c r="E521" i="3"/>
  <c r="D521" i="3" s="1"/>
  <c r="F521" i="3" s="1"/>
  <c r="E522" i="3"/>
  <c r="D522" i="3" s="1"/>
  <c r="F522" i="3" s="1"/>
  <c r="E523" i="3"/>
  <c r="D523" i="3" s="1"/>
  <c r="F523" i="3" s="1"/>
  <c r="E524" i="3"/>
  <c r="D524" i="3" s="1"/>
  <c r="F524" i="3" s="1"/>
  <c r="E525" i="3"/>
  <c r="D525" i="3" s="1"/>
  <c r="F525" i="3" s="1"/>
  <c r="E526" i="3"/>
  <c r="D526" i="3" s="1"/>
  <c r="F526" i="3" s="1"/>
  <c r="E527" i="3"/>
  <c r="D527" i="3" s="1"/>
  <c r="F527" i="3" s="1"/>
  <c r="E528" i="3"/>
  <c r="D528" i="3" s="1"/>
  <c r="F528" i="3" s="1"/>
  <c r="E529" i="3"/>
  <c r="D529" i="3" s="1"/>
  <c r="F529" i="3" s="1"/>
  <c r="E530" i="3"/>
  <c r="D530" i="3" s="1"/>
  <c r="F530" i="3" s="1"/>
  <c r="E531" i="3"/>
  <c r="D531" i="3" s="1"/>
  <c r="F531" i="3" s="1"/>
  <c r="E532" i="3"/>
  <c r="D532" i="3" s="1"/>
  <c r="F532" i="3" s="1"/>
  <c r="E533" i="3"/>
  <c r="D533" i="3" s="1"/>
  <c r="F533" i="3" s="1"/>
  <c r="E534" i="3"/>
  <c r="D534" i="3" s="1"/>
  <c r="F534" i="3" s="1"/>
  <c r="E535" i="3"/>
  <c r="D535" i="3" s="1"/>
  <c r="F535" i="3" s="1"/>
  <c r="E536" i="3"/>
  <c r="D536" i="3" s="1"/>
  <c r="F536" i="3" s="1"/>
  <c r="E537" i="3"/>
  <c r="D537" i="3" s="1"/>
  <c r="F537" i="3" s="1"/>
  <c r="E538" i="3"/>
  <c r="D538" i="3" s="1"/>
  <c r="F538" i="3" s="1"/>
  <c r="E539" i="3"/>
  <c r="D539" i="3" s="1"/>
  <c r="F539" i="3" s="1"/>
  <c r="E540" i="3"/>
  <c r="D540" i="3" s="1"/>
  <c r="F540" i="3" s="1"/>
  <c r="E541" i="3"/>
  <c r="D541" i="3" s="1"/>
  <c r="F541" i="3" s="1"/>
  <c r="E542" i="3"/>
  <c r="D542" i="3" s="1"/>
  <c r="F542" i="3" s="1"/>
  <c r="E543" i="3"/>
  <c r="D543" i="3" s="1"/>
  <c r="F543" i="3" s="1"/>
  <c r="E544" i="3"/>
  <c r="D544" i="3" s="1"/>
  <c r="F544" i="3" s="1"/>
  <c r="E545" i="3"/>
  <c r="D545" i="3" s="1"/>
  <c r="F545" i="3" s="1"/>
  <c r="E546" i="3"/>
  <c r="D546" i="3" s="1"/>
  <c r="F546" i="3" s="1"/>
  <c r="E547" i="3"/>
  <c r="D547" i="3" s="1"/>
  <c r="F547" i="3" s="1"/>
  <c r="E548" i="3"/>
  <c r="D548" i="3" s="1"/>
  <c r="F548" i="3" s="1"/>
  <c r="E549" i="3"/>
  <c r="D549" i="3" s="1"/>
  <c r="F549" i="3" s="1"/>
  <c r="E550" i="3"/>
  <c r="D550" i="3" s="1"/>
  <c r="F550" i="3" s="1"/>
  <c r="E551" i="3"/>
  <c r="D551" i="3" s="1"/>
  <c r="F551" i="3" s="1"/>
  <c r="E552" i="3"/>
  <c r="D552" i="3" s="1"/>
  <c r="F552" i="3" s="1"/>
  <c r="E553" i="3"/>
  <c r="D553" i="3" s="1"/>
  <c r="F553" i="3" s="1"/>
  <c r="E554" i="3"/>
  <c r="D554" i="3" s="1"/>
  <c r="F554" i="3" s="1"/>
  <c r="E555" i="3"/>
  <c r="D555" i="3" s="1"/>
  <c r="F555" i="3" s="1"/>
  <c r="E556" i="3"/>
  <c r="D556" i="3" s="1"/>
  <c r="F556" i="3" s="1"/>
  <c r="E557" i="3"/>
  <c r="D557" i="3" s="1"/>
  <c r="F557" i="3" s="1"/>
  <c r="E558" i="3"/>
  <c r="D558" i="3" s="1"/>
  <c r="F558" i="3" s="1"/>
  <c r="E559" i="3"/>
  <c r="D559" i="3" s="1"/>
  <c r="F559" i="3" s="1"/>
  <c r="E560" i="3"/>
  <c r="D560" i="3" s="1"/>
  <c r="F560" i="3" s="1"/>
  <c r="E561" i="3"/>
  <c r="D561" i="3" s="1"/>
  <c r="F561" i="3" s="1"/>
  <c r="E562" i="3"/>
  <c r="D562" i="3" s="1"/>
  <c r="F562" i="3" s="1"/>
  <c r="E563" i="3"/>
  <c r="D563" i="3" s="1"/>
  <c r="F563" i="3" s="1"/>
  <c r="E564" i="3"/>
  <c r="D564" i="3" s="1"/>
  <c r="F564" i="3" s="1"/>
  <c r="E565" i="3"/>
  <c r="D565" i="3" s="1"/>
  <c r="F565" i="3" s="1"/>
  <c r="E566" i="3"/>
  <c r="D566" i="3" s="1"/>
  <c r="F566" i="3" s="1"/>
  <c r="E567" i="3"/>
  <c r="D567" i="3" s="1"/>
  <c r="F567" i="3" s="1"/>
  <c r="E568" i="3"/>
  <c r="D568" i="3" s="1"/>
  <c r="F568" i="3" s="1"/>
  <c r="E569" i="3"/>
  <c r="D569" i="3" s="1"/>
  <c r="F569" i="3" s="1"/>
  <c r="E570" i="3"/>
  <c r="D570" i="3" s="1"/>
  <c r="F570" i="3" s="1"/>
  <c r="E571" i="3"/>
  <c r="D571" i="3" s="1"/>
  <c r="F571" i="3" s="1"/>
  <c r="E572" i="3"/>
  <c r="D572" i="3" s="1"/>
  <c r="F572" i="3" s="1"/>
  <c r="E573" i="3"/>
  <c r="D573" i="3" s="1"/>
  <c r="F573" i="3" s="1"/>
  <c r="E574" i="3"/>
  <c r="D574" i="3" s="1"/>
  <c r="F574" i="3" s="1"/>
  <c r="E575" i="3"/>
  <c r="D575" i="3" s="1"/>
  <c r="F575" i="3" s="1"/>
  <c r="E576" i="3"/>
  <c r="D576" i="3" s="1"/>
  <c r="F576" i="3" s="1"/>
  <c r="E577" i="3"/>
  <c r="D577" i="3" s="1"/>
  <c r="F577" i="3" s="1"/>
  <c r="E578" i="3"/>
  <c r="D578" i="3" s="1"/>
  <c r="F578" i="3" s="1"/>
  <c r="E579" i="3"/>
  <c r="D579" i="3" s="1"/>
  <c r="F579" i="3" s="1"/>
  <c r="E580" i="3"/>
  <c r="D580" i="3" s="1"/>
  <c r="F580" i="3" s="1"/>
  <c r="E581" i="3"/>
  <c r="D581" i="3" s="1"/>
  <c r="F581" i="3" s="1"/>
  <c r="E582" i="3"/>
  <c r="D582" i="3" s="1"/>
  <c r="F582" i="3" s="1"/>
  <c r="E583" i="3"/>
  <c r="D583" i="3" s="1"/>
  <c r="F583" i="3" s="1"/>
  <c r="E584" i="3"/>
  <c r="D584" i="3" s="1"/>
  <c r="F584" i="3" s="1"/>
  <c r="E585" i="3"/>
  <c r="D585" i="3" s="1"/>
  <c r="F585" i="3" s="1"/>
  <c r="E586" i="3"/>
  <c r="D586" i="3" s="1"/>
  <c r="F586" i="3" s="1"/>
  <c r="E587" i="3"/>
  <c r="D587" i="3" s="1"/>
  <c r="F587" i="3" s="1"/>
  <c r="E588" i="3"/>
  <c r="D588" i="3" s="1"/>
  <c r="F588" i="3" s="1"/>
  <c r="E589" i="3"/>
  <c r="D589" i="3" s="1"/>
  <c r="F589" i="3" s="1"/>
  <c r="E590" i="3"/>
  <c r="D590" i="3" s="1"/>
  <c r="F590" i="3" s="1"/>
  <c r="E591" i="3"/>
  <c r="D591" i="3" s="1"/>
  <c r="F591" i="3" s="1"/>
  <c r="E592" i="3"/>
  <c r="D592" i="3" s="1"/>
  <c r="F592" i="3" s="1"/>
  <c r="E593" i="3"/>
  <c r="D593" i="3" s="1"/>
  <c r="F593" i="3" s="1"/>
  <c r="E594" i="3"/>
  <c r="D594" i="3" s="1"/>
  <c r="F594" i="3" s="1"/>
  <c r="E595" i="3"/>
  <c r="D595" i="3" s="1"/>
  <c r="F595" i="3" s="1"/>
  <c r="E596" i="3"/>
  <c r="D596" i="3" s="1"/>
  <c r="F596" i="3" s="1"/>
  <c r="E597" i="3"/>
  <c r="D597" i="3" s="1"/>
  <c r="F597" i="3" s="1"/>
  <c r="E598" i="3"/>
  <c r="D598" i="3" s="1"/>
  <c r="F598" i="3" s="1"/>
  <c r="E599" i="3"/>
  <c r="D599" i="3" s="1"/>
  <c r="F599" i="3" s="1"/>
  <c r="E600" i="3"/>
  <c r="D600" i="3" s="1"/>
  <c r="F600" i="3" s="1"/>
  <c r="E601" i="3"/>
  <c r="D601" i="3" s="1"/>
  <c r="F601" i="3" s="1"/>
  <c r="E602" i="3"/>
  <c r="D602" i="3" s="1"/>
  <c r="F602" i="3" s="1"/>
  <c r="E603" i="3"/>
  <c r="D603" i="3" s="1"/>
  <c r="F603" i="3" s="1"/>
  <c r="E604" i="3"/>
  <c r="D604" i="3" s="1"/>
  <c r="F604" i="3" s="1"/>
  <c r="E605" i="3"/>
  <c r="D605" i="3" s="1"/>
  <c r="F605" i="3" s="1"/>
  <c r="E606" i="3"/>
  <c r="D606" i="3" s="1"/>
  <c r="F606" i="3" s="1"/>
  <c r="E607" i="3"/>
  <c r="D607" i="3" s="1"/>
  <c r="F607" i="3" s="1"/>
  <c r="E608" i="3"/>
  <c r="D608" i="3" s="1"/>
  <c r="F608" i="3" s="1"/>
  <c r="E609" i="3"/>
  <c r="D609" i="3" s="1"/>
  <c r="F609" i="3" s="1"/>
  <c r="E610" i="3"/>
  <c r="D610" i="3" s="1"/>
  <c r="F610" i="3" s="1"/>
  <c r="E611" i="3"/>
  <c r="D611" i="3" s="1"/>
  <c r="F611" i="3" s="1"/>
  <c r="E612" i="3"/>
  <c r="D612" i="3" s="1"/>
  <c r="F612" i="3" s="1"/>
  <c r="E613" i="3"/>
  <c r="D613" i="3" s="1"/>
  <c r="F613" i="3" s="1"/>
  <c r="E614" i="3"/>
  <c r="D614" i="3" s="1"/>
  <c r="F614" i="3" s="1"/>
  <c r="E615" i="3"/>
  <c r="D615" i="3" s="1"/>
  <c r="F615" i="3" s="1"/>
  <c r="E616" i="3"/>
  <c r="D616" i="3" s="1"/>
  <c r="F616" i="3" s="1"/>
  <c r="E617" i="3"/>
  <c r="D617" i="3" s="1"/>
  <c r="F617" i="3" s="1"/>
  <c r="E618" i="3"/>
  <c r="D618" i="3" s="1"/>
  <c r="F618" i="3" s="1"/>
  <c r="E619" i="3"/>
  <c r="D619" i="3" s="1"/>
  <c r="F619" i="3" s="1"/>
  <c r="E620" i="3"/>
  <c r="D620" i="3" s="1"/>
  <c r="F620" i="3" s="1"/>
  <c r="E621" i="3"/>
  <c r="D621" i="3" s="1"/>
  <c r="F621" i="3" s="1"/>
  <c r="E622" i="3"/>
  <c r="D622" i="3" s="1"/>
  <c r="F622" i="3" s="1"/>
  <c r="E623" i="3"/>
  <c r="D623" i="3" s="1"/>
  <c r="F623" i="3" s="1"/>
  <c r="E624" i="3"/>
  <c r="D624" i="3" s="1"/>
  <c r="F624" i="3" s="1"/>
  <c r="E625" i="3"/>
  <c r="D625" i="3" s="1"/>
  <c r="F625" i="3" s="1"/>
  <c r="E626" i="3"/>
  <c r="D626" i="3" s="1"/>
  <c r="F626" i="3" s="1"/>
  <c r="E627" i="3"/>
  <c r="D627" i="3" s="1"/>
  <c r="F627" i="3" s="1"/>
  <c r="E628" i="3"/>
  <c r="D628" i="3" s="1"/>
  <c r="F628" i="3" s="1"/>
  <c r="E629" i="3"/>
  <c r="D629" i="3" s="1"/>
  <c r="F629" i="3" s="1"/>
  <c r="E630" i="3"/>
  <c r="D630" i="3" s="1"/>
  <c r="F630" i="3" s="1"/>
  <c r="E631" i="3"/>
  <c r="D631" i="3" s="1"/>
  <c r="F631" i="3" s="1"/>
  <c r="E632" i="3"/>
  <c r="D632" i="3" s="1"/>
  <c r="F632" i="3" s="1"/>
  <c r="E633" i="3"/>
  <c r="D633" i="3" s="1"/>
  <c r="F633" i="3" s="1"/>
  <c r="E634" i="3"/>
  <c r="D634" i="3" s="1"/>
  <c r="F634" i="3" s="1"/>
  <c r="E635" i="3"/>
  <c r="D635" i="3" s="1"/>
  <c r="F635" i="3" s="1"/>
  <c r="E636" i="3"/>
  <c r="D636" i="3" s="1"/>
  <c r="F636" i="3" s="1"/>
  <c r="E637" i="3"/>
  <c r="D637" i="3" s="1"/>
  <c r="F637" i="3" s="1"/>
  <c r="E638" i="3"/>
  <c r="D638" i="3" s="1"/>
  <c r="F638" i="3" s="1"/>
  <c r="E639" i="3"/>
  <c r="D639" i="3" s="1"/>
  <c r="F639" i="3" s="1"/>
  <c r="E640" i="3"/>
  <c r="D640" i="3" s="1"/>
  <c r="F640" i="3" s="1"/>
  <c r="E641" i="3"/>
  <c r="D641" i="3" s="1"/>
  <c r="F641" i="3" s="1"/>
  <c r="E642" i="3"/>
  <c r="D642" i="3" s="1"/>
  <c r="F642" i="3" s="1"/>
  <c r="E643" i="3"/>
  <c r="D643" i="3" s="1"/>
  <c r="F643" i="3" s="1"/>
  <c r="E644" i="3"/>
  <c r="D644" i="3" s="1"/>
  <c r="F644" i="3" s="1"/>
  <c r="E645" i="3"/>
  <c r="D645" i="3" s="1"/>
  <c r="F645" i="3" s="1"/>
  <c r="E646" i="3"/>
  <c r="D646" i="3" s="1"/>
  <c r="F646" i="3" s="1"/>
  <c r="E647" i="3"/>
  <c r="D647" i="3" s="1"/>
  <c r="F647" i="3" s="1"/>
  <c r="E648" i="3"/>
  <c r="D648" i="3" s="1"/>
  <c r="F648" i="3" s="1"/>
  <c r="E649" i="3"/>
  <c r="D649" i="3" s="1"/>
  <c r="F649" i="3" s="1"/>
  <c r="E650" i="3"/>
  <c r="D650" i="3" s="1"/>
  <c r="F650" i="3" s="1"/>
  <c r="E651" i="3"/>
  <c r="D651" i="3" s="1"/>
  <c r="F651" i="3" s="1"/>
  <c r="E652" i="3"/>
  <c r="D652" i="3" s="1"/>
  <c r="F652" i="3" s="1"/>
  <c r="E653" i="3"/>
  <c r="D653" i="3" s="1"/>
  <c r="F653" i="3" s="1"/>
  <c r="E654" i="3"/>
  <c r="D654" i="3" s="1"/>
  <c r="F654" i="3" s="1"/>
  <c r="E655" i="3"/>
  <c r="D655" i="3" s="1"/>
  <c r="F655" i="3" s="1"/>
  <c r="E656" i="3"/>
  <c r="D656" i="3" s="1"/>
  <c r="F656" i="3" s="1"/>
  <c r="E657" i="3"/>
  <c r="D657" i="3" s="1"/>
  <c r="F657" i="3" s="1"/>
  <c r="E658" i="3"/>
  <c r="D658" i="3" s="1"/>
  <c r="F658" i="3" s="1"/>
  <c r="E659" i="3"/>
  <c r="D659" i="3" s="1"/>
  <c r="F659" i="3" s="1"/>
  <c r="E660" i="3"/>
  <c r="D660" i="3" s="1"/>
  <c r="F660" i="3" s="1"/>
  <c r="E661" i="3"/>
  <c r="D661" i="3" s="1"/>
  <c r="F661" i="3" s="1"/>
  <c r="E662" i="3"/>
  <c r="D662" i="3" s="1"/>
  <c r="F662" i="3" s="1"/>
  <c r="E663" i="3"/>
  <c r="D663" i="3" s="1"/>
  <c r="F663" i="3" s="1"/>
  <c r="E664" i="3"/>
  <c r="D664" i="3" s="1"/>
  <c r="F664" i="3" s="1"/>
  <c r="E665" i="3"/>
  <c r="D665" i="3" s="1"/>
  <c r="F665" i="3" s="1"/>
  <c r="E666" i="3"/>
  <c r="D666" i="3" s="1"/>
  <c r="F666" i="3" s="1"/>
  <c r="E667" i="3"/>
  <c r="D667" i="3" s="1"/>
  <c r="F667" i="3" s="1"/>
  <c r="E668" i="3"/>
  <c r="D668" i="3" s="1"/>
  <c r="F668" i="3" s="1"/>
  <c r="E669" i="3"/>
  <c r="D669" i="3" s="1"/>
  <c r="F669" i="3" s="1"/>
  <c r="E670" i="3"/>
  <c r="D670" i="3" s="1"/>
  <c r="F670" i="3" s="1"/>
  <c r="E671" i="3"/>
  <c r="D671" i="3" s="1"/>
  <c r="F671" i="3" s="1"/>
  <c r="E672" i="3"/>
  <c r="D672" i="3" s="1"/>
  <c r="F672" i="3" s="1"/>
  <c r="E673" i="3"/>
  <c r="D673" i="3" s="1"/>
  <c r="F673" i="3" s="1"/>
  <c r="E674" i="3"/>
  <c r="D674" i="3" s="1"/>
  <c r="F674" i="3" s="1"/>
  <c r="E675" i="3"/>
  <c r="D675" i="3" s="1"/>
  <c r="F675" i="3" s="1"/>
  <c r="E676" i="3"/>
  <c r="D676" i="3" s="1"/>
  <c r="F676" i="3" s="1"/>
  <c r="E677" i="3"/>
  <c r="D677" i="3" s="1"/>
  <c r="F677" i="3" s="1"/>
  <c r="E678" i="3"/>
  <c r="D678" i="3" s="1"/>
  <c r="F678" i="3" s="1"/>
  <c r="E679" i="3"/>
  <c r="D679" i="3" s="1"/>
  <c r="F679" i="3" s="1"/>
  <c r="E680" i="3"/>
  <c r="D680" i="3" s="1"/>
  <c r="F680" i="3" s="1"/>
  <c r="E681" i="3"/>
  <c r="D681" i="3" s="1"/>
  <c r="F681" i="3" s="1"/>
  <c r="E682" i="3"/>
  <c r="D682" i="3" s="1"/>
  <c r="F682" i="3" s="1"/>
  <c r="E683" i="3"/>
  <c r="D683" i="3" s="1"/>
  <c r="F683" i="3" s="1"/>
  <c r="E684" i="3"/>
  <c r="D684" i="3" s="1"/>
  <c r="F684" i="3" s="1"/>
  <c r="E685" i="3"/>
  <c r="D685" i="3" s="1"/>
  <c r="F685" i="3" s="1"/>
  <c r="E686" i="3"/>
  <c r="D686" i="3" s="1"/>
  <c r="F686" i="3" s="1"/>
  <c r="E687" i="3"/>
  <c r="D687" i="3" s="1"/>
  <c r="F687" i="3" s="1"/>
  <c r="E688" i="3"/>
  <c r="D688" i="3" s="1"/>
  <c r="F688" i="3" s="1"/>
  <c r="E689" i="3"/>
  <c r="D689" i="3" s="1"/>
  <c r="F689" i="3" s="1"/>
  <c r="E690" i="3"/>
  <c r="D690" i="3" s="1"/>
  <c r="F690" i="3" s="1"/>
  <c r="E691" i="3"/>
  <c r="D691" i="3" s="1"/>
  <c r="F691" i="3" s="1"/>
  <c r="E692" i="3"/>
  <c r="D692" i="3" s="1"/>
  <c r="F692" i="3" s="1"/>
  <c r="E693" i="3"/>
  <c r="D693" i="3" s="1"/>
  <c r="F693" i="3" s="1"/>
  <c r="E694" i="3"/>
  <c r="D694" i="3" s="1"/>
  <c r="F694" i="3" s="1"/>
  <c r="E695" i="3"/>
  <c r="D695" i="3" s="1"/>
  <c r="F695" i="3" s="1"/>
  <c r="E696" i="3"/>
  <c r="D696" i="3" s="1"/>
  <c r="F696" i="3" s="1"/>
  <c r="E697" i="3"/>
  <c r="D697" i="3" s="1"/>
  <c r="F697" i="3" s="1"/>
  <c r="E698" i="3"/>
  <c r="D698" i="3" s="1"/>
  <c r="F698" i="3" s="1"/>
  <c r="E699" i="3"/>
  <c r="D699" i="3" s="1"/>
  <c r="F699" i="3" s="1"/>
  <c r="E700" i="3"/>
  <c r="D700" i="3" s="1"/>
  <c r="F700" i="3" s="1"/>
  <c r="E701" i="3"/>
  <c r="D701" i="3" s="1"/>
  <c r="F701" i="3" s="1"/>
  <c r="E702" i="3"/>
  <c r="D702" i="3" s="1"/>
  <c r="F702" i="3" s="1"/>
  <c r="E703" i="3"/>
  <c r="D703" i="3" s="1"/>
  <c r="F703" i="3" s="1"/>
  <c r="E704" i="3"/>
  <c r="D704" i="3" s="1"/>
  <c r="F704" i="3" s="1"/>
  <c r="E705" i="3"/>
  <c r="D705" i="3" s="1"/>
  <c r="F705" i="3" s="1"/>
  <c r="E706" i="3"/>
  <c r="D706" i="3" s="1"/>
  <c r="F706" i="3" s="1"/>
  <c r="E707" i="3"/>
  <c r="D707" i="3" s="1"/>
  <c r="F707" i="3" s="1"/>
  <c r="E708" i="3"/>
  <c r="D708" i="3" s="1"/>
  <c r="F708" i="3" s="1"/>
  <c r="E709" i="3"/>
  <c r="D709" i="3" s="1"/>
  <c r="F709" i="3" s="1"/>
  <c r="E710" i="3"/>
  <c r="D710" i="3" s="1"/>
  <c r="F710" i="3" s="1"/>
  <c r="E711" i="3"/>
  <c r="D711" i="3" s="1"/>
  <c r="F711" i="3" s="1"/>
  <c r="E712" i="3"/>
  <c r="D712" i="3" s="1"/>
  <c r="F712" i="3" s="1"/>
  <c r="E713" i="3"/>
  <c r="D713" i="3" s="1"/>
  <c r="F713" i="3" s="1"/>
  <c r="E714" i="3"/>
  <c r="D714" i="3" s="1"/>
  <c r="F714" i="3" s="1"/>
  <c r="E715" i="3"/>
  <c r="D715" i="3" s="1"/>
  <c r="F715" i="3" s="1"/>
  <c r="E716" i="3"/>
  <c r="D716" i="3" s="1"/>
  <c r="F716" i="3" s="1"/>
  <c r="E717" i="3"/>
  <c r="D717" i="3" s="1"/>
  <c r="F717" i="3" s="1"/>
  <c r="E718" i="3"/>
  <c r="D718" i="3" s="1"/>
  <c r="F718" i="3" s="1"/>
  <c r="E719" i="3"/>
  <c r="D719" i="3" s="1"/>
  <c r="F719" i="3" s="1"/>
  <c r="E720" i="3"/>
  <c r="D720" i="3" s="1"/>
  <c r="F720" i="3" s="1"/>
  <c r="E721" i="3"/>
  <c r="D721" i="3" s="1"/>
  <c r="F721" i="3" s="1"/>
  <c r="E722" i="3"/>
  <c r="D722" i="3" s="1"/>
  <c r="F722" i="3" s="1"/>
  <c r="E723" i="3"/>
  <c r="D723" i="3" s="1"/>
  <c r="F723" i="3" s="1"/>
  <c r="E724" i="3"/>
  <c r="D724" i="3" s="1"/>
  <c r="F724" i="3" s="1"/>
  <c r="E725" i="3"/>
  <c r="D725" i="3" s="1"/>
  <c r="F725" i="3" s="1"/>
  <c r="E726" i="3"/>
  <c r="D726" i="3" s="1"/>
  <c r="F726" i="3" s="1"/>
  <c r="E727" i="3"/>
  <c r="D727" i="3" s="1"/>
  <c r="F727" i="3" s="1"/>
  <c r="E728" i="3"/>
  <c r="D728" i="3" s="1"/>
  <c r="F728" i="3" s="1"/>
  <c r="E729" i="3"/>
  <c r="D729" i="3" s="1"/>
  <c r="F729" i="3" s="1"/>
  <c r="E730" i="3"/>
  <c r="D730" i="3" s="1"/>
  <c r="F730" i="3" s="1"/>
  <c r="E731" i="3"/>
  <c r="D731" i="3" s="1"/>
  <c r="F731" i="3" s="1"/>
  <c r="E732" i="3"/>
  <c r="D732" i="3" s="1"/>
  <c r="F732" i="3" s="1"/>
  <c r="E733" i="3"/>
  <c r="D733" i="3" s="1"/>
  <c r="F733" i="3" s="1"/>
  <c r="E734" i="3"/>
  <c r="D734" i="3" s="1"/>
  <c r="F734" i="3" s="1"/>
  <c r="E735" i="3"/>
  <c r="D735" i="3" s="1"/>
  <c r="F735" i="3" s="1"/>
  <c r="E736" i="3"/>
  <c r="D736" i="3" s="1"/>
  <c r="F736" i="3" s="1"/>
  <c r="E737" i="3"/>
  <c r="D737" i="3" s="1"/>
  <c r="F737" i="3" s="1"/>
  <c r="E738" i="3"/>
  <c r="D738" i="3" s="1"/>
  <c r="F738" i="3" s="1"/>
  <c r="E739" i="3"/>
  <c r="D739" i="3" s="1"/>
  <c r="F739" i="3" s="1"/>
  <c r="E740" i="3"/>
  <c r="D740" i="3" s="1"/>
  <c r="F740" i="3" s="1"/>
  <c r="E741" i="3"/>
  <c r="D741" i="3" s="1"/>
  <c r="F741" i="3" s="1"/>
  <c r="E742" i="3"/>
  <c r="D742" i="3" s="1"/>
  <c r="F742" i="3" s="1"/>
  <c r="E743" i="3"/>
  <c r="D743" i="3" s="1"/>
  <c r="F743" i="3" s="1"/>
  <c r="E744" i="3"/>
  <c r="D744" i="3" s="1"/>
  <c r="F744" i="3" s="1"/>
  <c r="E745" i="3"/>
  <c r="D745" i="3" s="1"/>
  <c r="F745" i="3" s="1"/>
  <c r="E746" i="3"/>
  <c r="D746" i="3" s="1"/>
  <c r="F746" i="3" s="1"/>
  <c r="E747" i="3"/>
  <c r="D747" i="3" s="1"/>
  <c r="F747" i="3" s="1"/>
  <c r="E748" i="3"/>
  <c r="D748" i="3" s="1"/>
  <c r="F748" i="3" s="1"/>
  <c r="E749" i="3"/>
  <c r="D749" i="3" s="1"/>
  <c r="F749" i="3" s="1"/>
  <c r="E750" i="3"/>
  <c r="D750" i="3" s="1"/>
  <c r="F750" i="3" s="1"/>
  <c r="E751" i="3"/>
  <c r="D751" i="3" s="1"/>
  <c r="F751" i="3" s="1"/>
  <c r="E752" i="3"/>
  <c r="D752" i="3" s="1"/>
  <c r="F752" i="3" s="1"/>
  <c r="E753" i="3"/>
  <c r="D753" i="3" s="1"/>
  <c r="F753" i="3" s="1"/>
  <c r="E754" i="3"/>
  <c r="D754" i="3" s="1"/>
  <c r="F754" i="3" s="1"/>
  <c r="E755" i="3"/>
  <c r="D755" i="3" s="1"/>
  <c r="F755" i="3" s="1"/>
  <c r="E756" i="3"/>
  <c r="D756" i="3" s="1"/>
  <c r="F756" i="3" s="1"/>
  <c r="E757" i="3"/>
  <c r="D757" i="3" s="1"/>
  <c r="F757" i="3" s="1"/>
  <c r="E758" i="3"/>
  <c r="D758" i="3" s="1"/>
  <c r="F758" i="3" s="1"/>
  <c r="E759" i="3"/>
  <c r="D759" i="3" s="1"/>
  <c r="F759" i="3" s="1"/>
  <c r="E760" i="3"/>
  <c r="D760" i="3" s="1"/>
  <c r="F760" i="3" s="1"/>
  <c r="E761" i="3"/>
  <c r="D761" i="3" s="1"/>
  <c r="F761" i="3" s="1"/>
  <c r="E762" i="3"/>
  <c r="D762" i="3" s="1"/>
  <c r="F762" i="3" s="1"/>
  <c r="E763" i="3"/>
  <c r="D763" i="3" s="1"/>
  <c r="F763" i="3" s="1"/>
  <c r="E764" i="3"/>
  <c r="D764" i="3" s="1"/>
  <c r="F764" i="3" s="1"/>
  <c r="E765" i="3"/>
  <c r="D765" i="3" s="1"/>
  <c r="F765" i="3" s="1"/>
  <c r="E766" i="3"/>
  <c r="D766" i="3" s="1"/>
  <c r="F766" i="3" s="1"/>
  <c r="E767" i="3"/>
  <c r="D767" i="3" s="1"/>
  <c r="F767" i="3" s="1"/>
  <c r="E768" i="3"/>
  <c r="D768" i="3" s="1"/>
  <c r="F768" i="3" s="1"/>
  <c r="E769" i="3"/>
  <c r="D769" i="3" s="1"/>
  <c r="F769" i="3" s="1"/>
  <c r="E770" i="3"/>
  <c r="D770" i="3" s="1"/>
  <c r="F770" i="3" s="1"/>
  <c r="E771" i="3"/>
  <c r="D771" i="3" s="1"/>
  <c r="F771" i="3" s="1"/>
  <c r="E772" i="3"/>
  <c r="D772" i="3" s="1"/>
  <c r="F772" i="3" s="1"/>
  <c r="E773" i="3"/>
  <c r="D773" i="3" s="1"/>
  <c r="F773" i="3" s="1"/>
  <c r="E774" i="3"/>
  <c r="D774" i="3" s="1"/>
  <c r="F774" i="3" s="1"/>
  <c r="E775" i="3"/>
  <c r="D775" i="3" s="1"/>
  <c r="F775" i="3" s="1"/>
  <c r="E776" i="3"/>
  <c r="D776" i="3" s="1"/>
  <c r="F776" i="3" s="1"/>
  <c r="E777" i="3"/>
  <c r="D777" i="3" s="1"/>
  <c r="F777" i="3" s="1"/>
  <c r="E778" i="3"/>
  <c r="D778" i="3" s="1"/>
  <c r="F778" i="3" s="1"/>
  <c r="E779" i="3"/>
  <c r="D779" i="3" s="1"/>
  <c r="F779" i="3" s="1"/>
  <c r="E780" i="3"/>
  <c r="D780" i="3" s="1"/>
  <c r="F780" i="3" s="1"/>
  <c r="E781" i="3"/>
  <c r="D781" i="3" s="1"/>
  <c r="F781" i="3" s="1"/>
  <c r="E782" i="3"/>
  <c r="D782" i="3" s="1"/>
  <c r="F782" i="3" s="1"/>
  <c r="E783" i="3"/>
  <c r="D783" i="3" s="1"/>
  <c r="F783" i="3" s="1"/>
  <c r="E784" i="3"/>
  <c r="D784" i="3" s="1"/>
  <c r="F784" i="3" s="1"/>
  <c r="E785" i="3"/>
  <c r="D785" i="3" s="1"/>
  <c r="F785" i="3" s="1"/>
  <c r="E786" i="3"/>
  <c r="D786" i="3" s="1"/>
  <c r="F786" i="3" s="1"/>
  <c r="E787" i="3"/>
  <c r="D787" i="3" s="1"/>
  <c r="F787" i="3" s="1"/>
  <c r="E788" i="3"/>
  <c r="D788" i="3" s="1"/>
  <c r="F788" i="3" s="1"/>
  <c r="E789" i="3"/>
  <c r="D789" i="3" s="1"/>
  <c r="F789" i="3" s="1"/>
  <c r="E790" i="3"/>
  <c r="D790" i="3" s="1"/>
  <c r="F790" i="3" s="1"/>
  <c r="E791" i="3"/>
  <c r="D791" i="3" s="1"/>
  <c r="F791" i="3" s="1"/>
  <c r="E792" i="3"/>
  <c r="D792" i="3" s="1"/>
  <c r="F792" i="3" s="1"/>
  <c r="E793" i="3"/>
  <c r="D793" i="3" s="1"/>
  <c r="F793" i="3" s="1"/>
  <c r="E794" i="3"/>
  <c r="D794" i="3" s="1"/>
  <c r="F794" i="3" s="1"/>
  <c r="E795" i="3"/>
  <c r="D795" i="3" s="1"/>
  <c r="F795" i="3" s="1"/>
  <c r="E796" i="3"/>
  <c r="D796" i="3" s="1"/>
  <c r="F796" i="3" s="1"/>
  <c r="E797" i="3"/>
  <c r="D797" i="3" s="1"/>
  <c r="F797" i="3" s="1"/>
  <c r="E798" i="3"/>
  <c r="D798" i="3" s="1"/>
  <c r="F798" i="3" s="1"/>
  <c r="E799" i="3"/>
  <c r="D799" i="3" s="1"/>
  <c r="F799" i="3" s="1"/>
  <c r="E800" i="3"/>
  <c r="D800" i="3" s="1"/>
  <c r="F800" i="3" s="1"/>
  <c r="E801" i="3"/>
  <c r="D801" i="3" s="1"/>
  <c r="F801" i="3" s="1"/>
  <c r="E802" i="3"/>
  <c r="D802" i="3" s="1"/>
  <c r="F802" i="3" s="1"/>
  <c r="E803" i="3"/>
  <c r="D803" i="3" s="1"/>
  <c r="F803" i="3" s="1"/>
  <c r="E804" i="3"/>
  <c r="D804" i="3" s="1"/>
  <c r="F804" i="3" s="1"/>
  <c r="E805" i="3"/>
  <c r="D805" i="3" s="1"/>
  <c r="F805" i="3" s="1"/>
  <c r="E806" i="3"/>
  <c r="D806" i="3" s="1"/>
  <c r="F806" i="3" s="1"/>
  <c r="E807" i="3"/>
  <c r="D807" i="3" s="1"/>
  <c r="F807" i="3" s="1"/>
  <c r="E808" i="3"/>
  <c r="D808" i="3" s="1"/>
  <c r="F808" i="3" s="1"/>
  <c r="E809" i="3"/>
  <c r="D809" i="3" s="1"/>
  <c r="F809" i="3" s="1"/>
  <c r="E810" i="3"/>
  <c r="D810" i="3" s="1"/>
  <c r="F810" i="3" s="1"/>
  <c r="E811" i="3"/>
  <c r="D811" i="3" s="1"/>
  <c r="F811" i="3" s="1"/>
  <c r="E812" i="3"/>
  <c r="D812" i="3" s="1"/>
  <c r="F812" i="3" s="1"/>
  <c r="E813" i="3"/>
  <c r="D813" i="3" s="1"/>
  <c r="F813" i="3" s="1"/>
  <c r="E814" i="3"/>
  <c r="D814" i="3" s="1"/>
  <c r="F814" i="3" s="1"/>
  <c r="E815" i="3"/>
  <c r="D815" i="3" s="1"/>
  <c r="F815" i="3" s="1"/>
  <c r="E816" i="3"/>
  <c r="D816" i="3" s="1"/>
  <c r="F816" i="3" s="1"/>
  <c r="E817" i="3"/>
  <c r="D817" i="3" s="1"/>
  <c r="F817" i="3" s="1"/>
  <c r="E818" i="3"/>
  <c r="D818" i="3" s="1"/>
  <c r="F818" i="3" s="1"/>
  <c r="E819" i="3"/>
  <c r="D819" i="3" s="1"/>
  <c r="F819" i="3" s="1"/>
  <c r="E820" i="3"/>
  <c r="D820" i="3" s="1"/>
  <c r="F820" i="3" s="1"/>
  <c r="E821" i="3"/>
  <c r="D821" i="3" s="1"/>
  <c r="F821" i="3" s="1"/>
  <c r="E822" i="3"/>
  <c r="D822" i="3" s="1"/>
  <c r="F822" i="3" s="1"/>
  <c r="E823" i="3"/>
  <c r="D823" i="3" s="1"/>
  <c r="F823" i="3" s="1"/>
  <c r="E824" i="3"/>
  <c r="D824" i="3" s="1"/>
  <c r="F824" i="3" s="1"/>
  <c r="E825" i="3"/>
  <c r="D825" i="3" s="1"/>
  <c r="F825" i="3" s="1"/>
  <c r="E826" i="3"/>
  <c r="D826" i="3" s="1"/>
  <c r="F826" i="3" s="1"/>
  <c r="E827" i="3"/>
  <c r="D827" i="3" s="1"/>
  <c r="F827" i="3" s="1"/>
  <c r="E828" i="3"/>
  <c r="D828" i="3" s="1"/>
  <c r="F828" i="3" s="1"/>
  <c r="E829" i="3"/>
  <c r="D829" i="3" s="1"/>
  <c r="F829" i="3" s="1"/>
  <c r="E830" i="3"/>
  <c r="D830" i="3" s="1"/>
  <c r="F830" i="3" s="1"/>
  <c r="E831" i="3"/>
  <c r="D831" i="3" s="1"/>
  <c r="F831" i="3" s="1"/>
  <c r="E832" i="3"/>
  <c r="D832" i="3" s="1"/>
  <c r="F832" i="3" s="1"/>
  <c r="E833" i="3"/>
  <c r="D833" i="3" s="1"/>
  <c r="F833" i="3" s="1"/>
  <c r="E834" i="3"/>
  <c r="D834" i="3" s="1"/>
  <c r="F834" i="3" s="1"/>
  <c r="E835" i="3"/>
  <c r="D835" i="3" s="1"/>
  <c r="F835" i="3" s="1"/>
  <c r="E836" i="3"/>
  <c r="D836" i="3" s="1"/>
  <c r="F836" i="3" s="1"/>
  <c r="E837" i="3"/>
  <c r="D837" i="3" s="1"/>
  <c r="F837" i="3" s="1"/>
  <c r="E838" i="3"/>
  <c r="D838" i="3" s="1"/>
  <c r="F838" i="3" s="1"/>
  <c r="E839" i="3"/>
  <c r="D839" i="3" s="1"/>
  <c r="F839" i="3" s="1"/>
  <c r="E840" i="3"/>
  <c r="D840" i="3" s="1"/>
  <c r="F840" i="3" s="1"/>
  <c r="E841" i="3"/>
  <c r="D841" i="3" s="1"/>
  <c r="F841" i="3" s="1"/>
  <c r="E842" i="3"/>
  <c r="D842" i="3" s="1"/>
  <c r="F842" i="3" s="1"/>
  <c r="E843" i="3"/>
  <c r="D843" i="3" s="1"/>
  <c r="F843" i="3" s="1"/>
  <c r="E844" i="3"/>
  <c r="D844" i="3" s="1"/>
  <c r="F844" i="3" s="1"/>
  <c r="E845" i="3"/>
  <c r="D845" i="3" s="1"/>
  <c r="F845" i="3" s="1"/>
  <c r="E846" i="3"/>
  <c r="D846" i="3" s="1"/>
  <c r="F846" i="3" s="1"/>
  <c r="E847" i="3"/>
  <c r="D847" i="3" s="1"/>
  <c r="F847" i="3" s="1"/>
  <c r="E848" i="3"/>
  <c r="D848" i="3" s="1"/>
  <c r="F848" i="3" s="1"/>
  <c r="E849" i="3"/>
  <c r="D849" i="3" s="1"/>
  <c r="F849" i="3" s="1"/>
  <c r="E850" i="3"/>
  <c r="D850" i="3" s="1"/>
  <c r="F850" i="3" s="1"/>
  <c r="E851" i="3"/>
  <c r="D851" i="3" s="1"/>
  <c r="F851" i="3" s="1"/>
  <c r="E852" i="3"/>
  <c r="D852" i="3" s="1"/>
  <c r="F852" i="3" s="1"/>
  <c r="E853" i="3"/>
  <c r="D853" i="3" s="1"/>
  <c r="F853" i="3" s="1"/>
  <c r="E854" i="3"/>
  <c r="D854" i="3" s="1"/>
  <c r="F854" i="3" s="1"/>
  <c r="E855" i="3"/>
  <c r="D855" i="3" s="1"/>
  <c r="F855" i="3" s="1"/>
  <c r="E856" i="3"/>
  <c r="D856" i="3" s="1"/>
  <c r="F856" i="3" s="1"/>
  <c r="E857" i="3"/>
  <c r="D857" i="3" s="1"/>
  <c r="F857" i="3" s="1"/>
  <c r="E858" i="3"/>
  <c r="D858" i="3" s="1"/>
  <c r="F858" i="3" s="1"/>
  <c r="E859" i="3"/>
  <c r="D859" i="3" s="1"/>
  <c r="F859" i="3" s="1"/>
  <c r="E860" i="3"/>
  <c r="D860" i="3" s="1"/>
  <c r="F860" i="3" s="1"/>
  <c r="E861" i="3"/>
  <c r="D861" i="3" s="1"/>
  <c r="F861" i="3" s="1"/>
  <c r="E862" i="3"/>
  <c r="D862" i="3" s="1"/>
  <c r="F862" i="3" s="1"/>
  <c r="E863" i="3"/>
  <c r="D863" i="3" s="1"/>
  <c r="F863" i="3" s="1"/>
  <c r="E864" i="3"/>
  <c r="D864" i="3" s="1"/>
  <c r="F864" i="3" s="1"/>
  <c r="E865" i="3"/>
  <c r="D865" i="3" s="1"/>
  <c r="F865" i="3" s="1"/>
  <c r="E866" i="3"/>
  <c r="D866" i="3" s="1"/>
  <c r="F866" i="3" s="1"/>
  <c r="E867" i="3"/>
  <c r="D867" i="3" s="1"/>
  <c r="F867" i="3" s="1"/>
  <c r="E868" i="3"/>
  <c r="D868" i="3" s="1"/>
  <c r="F868" i="3" s="1"/>
  <c r="E869" i="3"/>
  <c r="D869" i="3" s="1"/>
  <c r="F869" i="3" s="1"/>
  <c r="E870" i="3"/>
  <c r="D870" i="3" s="1"/>
  <c r="F870" i="3" s="1"/>
  <c r="E871" i="3"/>
  <c r="D871" i="3" s="1"/>
  <c r="F871" i="3" s="1"/>
  <c r="E872" i="3"/>
  <c r="D872" i="3" s="1"/>
  <c r="F872" i="3" s="1"/>
  <c r="E873" i="3"/>
  <c r="D873" i="3" s="1"/>
  <c r="F873" i="3" s="1"/>
  <c r="E874" i="3"/>
  <c r="D874" i="3" s="1"/>
  <c r="F874" i="3" s="1"/>
  <c r="E875" i="3"/>
  <c r="D875" i="3" s="1"/>
  <c r="F875" i="3" s="1"/>
  <c r="E876" i="3"/>
  <c r="D876" i="3" s="1"/>
  <c r="F876" i="3" s="1"/>
  <c r="E877" i="3"/>
  <c r="D877" i="3" s="1"/>
  <c r="F877" i="3" s="1"/>
  <c r="E878" i="3"/>
  <c r="D878" i="3" s="1"/>
  <c r="F878" i="3" s="1"/>
  <c r="E879" i="3"/>
  <c r="D879" i="3" s="1"/>
  <c r="F879" i="3" s="1"/>
  <c r="E880" i="3"/>
  <c r="D880" i="3" s="1"/>
  <c r="F880" i="3" s="1"/>
  <c r="E881" i="3"/>
  <c r="D881" i="3" s="1"/>
  <c r="F881" i="3" s="1"/>
  <c r="E882" i="3"/>
  <c r="D882" i="3" s="1"/>
  <c r="F882" i="3" s="1"/>
  <c r="E883" i="3"/>
  <c r="D883" i="3" s="1"/>
  <c r="F883" i="3" s="1"/>
  <c r="E884" i="3"/>
  <c r="D884" i="3" s="1"/>
  <c r="F884" i="3" s="1"/>
  <c r="E885" i="3"/>
  <c r="D885" i="3" s="1"/>
  <c r="F885" i="3" s="1"/>
  <c r="E886" i="3"/>
  <c r="D886" i="3" s="1"/>
  <c r="F886" i="3" s="1"/>
  <c r="E887" i="3"/>
  <c r="D887" i="3" s="1"/>
  <c r="F887" i="3" s="1"/>
  <c r="E888" i="3"/>
  <c r="D888" i="3" s="1"/>
  <c r="F888" i="3" s="1"/>
  <c r="E889" i="3"/>
  <c r="D889" i="3" s="1"/>
  <c r="F889" i="3" s="1"/>
  <c r="E890" i="3"/>
  <c r="D890" i="3" s="1"/>
  <c r="F890" i="3" s="1"/>
  <c r="E891" i="3"/>
  <c r="D891" i="3" s="1"/>
  <c r="F891" i="3" s="1"/>
  <c r="E892" i="3"/>
  <c r="D892" i="3" s="1"/>
  <c r="F892" i="3" s="1"/>
  <c r="E893" i="3"/>
  <c r="D893" i="3" s="1"/>
  <c r="F893" i="3" s="1"/>
  <c r="E894" i="3"/>
  <c r="D894" i="3" s="1"/>
  <c r="F894" i="3" s="1"/>
  <c r="E895" i="3"/>
  <c r="D895" i="3" s="1"/>
  <c r="F895" i="3" s="1"/>
  <c r="E896" i="3"/>
  <c r="D896" i="3" s="1"/>
  <c r="F896" i="3" s="1"/>
  <c r="E897" i="3"/>
  <c r="D897" i="3" s="1"/>
  <c r="F897" i="3" s="1"/>
  <c r="E898" i="3"/>
  <c r="D898" i="3" s="1"/>
  <c r="F898" i="3" s="1"/>
  <c r="E899" i="3"/>
  <c r="D899" i="3" s="1"/>
  <c r="F899" i="3" s="1"/>
  <c r="E900" i="3"/>
  <c r="D900" i="3" s="1"/>
  <c r="F900" i="3" s="1"/>
  <c r="E901" i="3"/>
  <c r="D901" i="3" s="1"/>
  <c r="F901" i="3" s="1"/>
  <c r="E902" i="3"/>
  <c r="D902" i="3" s="1"/>
  <c r="F902" i="3" s="1"/>
  <c r="E903" i="3"/>
  <c r="D903" i="3" s="1"/>
  <c r="F903" i="3" s="1"/>
  <c r="E904" i="3"/>
  <c r="D904" i="3" s="1"/>
  <c r="F904" i="3" s="1"/>
  <c r="E905" i="3"/>
  <c r="D905" i="3" s="1"/>
  <c r="F905" i="3" s="1"/>
  <c r="E906" i="3"/>
  <c r="D906" i="3" s="1"/>
  <c r="F906" i="3" s="1"/>
  <c r="E907" i="3"/>
  <c r="D907" i="3" s="1"/>
  <c r="F907" i="3" s="1"/>
  <c r="E908" i="3"/>
  <c r="D908" i="3" s="1"/>
  <c r="F908" i="3" s="1"/>
  <c r="E909" i="3"/>
  <c r="D909" i="3" s="1"/>
  <c r="F909" i="3" s="1"/>
  <c r="E910" i="3"/>
  <c r="D910" i="3" s="1"/>
  <c r="F910" i="3" s="1"/>
  <c r="E911" i="3"/>
  <c r="D911" i="3" s="1"/>
  <c r="F911" i="3" s="1"/>
  <c r="E912" i="3"/>
  <c r="D912" i="3" s="1"/>
  <c r="F912" i="3" s="1"/>
  <c r="E913" i="3"/>
  <c r="D913" i="3" s="1"/>
  <c r="F913" i="3" s="1"/>
  <c r="E914" i="3"/>
  <c r="D914" i="3" s="1"/>
  <c r="F914" i="3" s="1"/>
  <c r="E915" i="3"/>
  <c r="D915" i="3" s="1"/>
  <c r="F915" i="3" s="1"/>
  <c r="E916" i="3"/>
  <c r="D916" i="3" s="1"/>
  <c r="F916" i="3" s="1"/>
  <c r="E917" i="3"/>
  <c r="D917" i="3" s="1"/>
  <c r="F917" i="3" s="1"/>
  <c r="E918" i="3"/>
  <c r="D918" i="3" s="1"/>
  <c r="F918" i="3" s="1"/>
  <c r="E919" i="3"/>
  <c r="D919" i="3" s="1"/>
  <c r="F919" i="3" s="1"/>
  <c r="E920" i="3"/>
  <c r="D920" i="3" s="1"/>
  <c r="F920" i="3" s="1"/>
  <c r="E921" i="3"/>
  <c r="D921" i="3" s="1"/>
  <c r="F921" i="3" s="1"/>
  <c r="E922" i="3"/>
  <c r="D922" i="3" s="1"/>
  <c r="F922" i="3" s="1"/>
  <c r="E923" i="3"/>
  <c r="D923" i="3" s="1"/>
  <c r="F923" i="3" s="1"/>
  <c r="E924" i="3"/>
  <c r="D924" i="3" s="1"/>
  <c r="F924" i="3" s="1"/>
  <c r="E925" i="3"/>
  <c r="D925" i="3" s="1"/>
  <c r="F925" i="3" s="1"/>
  <c r="E926" i="3"/>
  <c r="D926" i="3" s="1"/>
  <c r="F926" i="3" s="1"/>
  <c r="E927" i="3"/>
  <c r="D927" i="3" s="1"/>
  <c r="F927" i="3" s="1"/>
  <c r="E928" i="3"/>
  <c r="D928" i="3" s="1"/>
  <c r="F928" i="3" s="1"/>
  <c r="E929" i="3"/>
  <c r="D929" i="3" s="1"/>
  <c r="F929" i="3" s="1"/>
  <c r="E930" i="3"/>
  <c r="D930" i="3" s="1"/>
  <c r="F930" i="3" s="1"/>
  <c r="E931" i="3"/>
  <c r="D931" i="3" s="1"/>
  <c r="F931" i="3" s="1"/>
  <c r="E932" i="3"/>
  <c r="D932" i="3" s="1"/>
  <c r="F932" i="3" s="1"/>
  <c r="E933" i="3"/>
  <c r="D933" i="3" s="1"/>
  <c r="F933" i="3" s="1"/>
  <c r="E934" i="3"/>
  <c r="D934" i="3" s="1"/>
  <c r="F934" i="3" s="1"/>
  <c r="E935" i="3"/>
  <c r="D935" i="3" s="1"/>
  <c r="F935" i="3" s="1"/>
  <c r="E936" i="3"/>
  <c r="D936" i="3" s="1"/>
  <c r="F936" i="3" s="1"/>
  <c r="E937" i="3"/>
  <c r="D937" i="3" s="1"/>
  <c r="F937" i="3" s="1"/>
  <c r="E938" i="3"/>
  <c r="D938" i="3" s="1"/>
  <c r="F938" i="3" s="1"/>
  <c r="E939" i="3"/>
  <c r="D939" i="3" s="1"/>
  <c r="F939" i="3" s="1"/>
  <c r="E940" i="3"/>
  <c r="D940" i="3" s="1"/>
  <c r="F940" i="3" s="1"/>
  <c r="E941" i="3"/>
  <c r="D941" i="3" s="1"/>
  <c r="F941" i="3" s="1"/>
  <c r="E942" i="3"/>
  <c r="D942" i="3" s="1"/>
  <c r="F942" i="3" s="1"/>
  <c r="E943" i="3"/>
  <c r="D943" i="3" s="1"/>
  <c r="F943" i="3" s="1"/>
  <c r="E944" i="3"/>
  <c r="D944" i="3" s="1"/>
  <c r="F944" i="3" s="1"/>
  <c r="E945" i="3"/>
  <c r="D945" i="3" s="1"/>
  <c r="F945" i="3" s="1"/>
  <c r="E946" i="3"/>
  <c r="D946" i="3" s="1"/>
  <c r="F946" i="3" s="1"/>
  <c r="E947" i="3"/>
  <c r="D947" i="3" s="1"/>
  <c r="F947" i="3" s="1"/>
  <c r="E948" i="3"/>
  <c r="D948" i="3" s="1"/>
  <c r="F948" i="3" s="1"/>
  <c r="E949" i="3"/>
  <c r="D949" i="3" s="1"/>
  <c r="F949" i="3" s="1"/>
  <c r="E950" i="3"/>
  <c r="D950" i="3" s="1"/>
  <c r="F950" i="3" s="1"/>
  <c r="E951" i="3"/>
  <c r="D951" i="3" s="1"/>
  <c r="F951" i="3" s="1"/>
  <c r="E952" i="3"/>
  <c r="D952" i="3" s="1"/>
  <c r="F952" i="3" s="1"/>
  <c r="E953" i="3"/>
  <c r="D953" i="3" s="1"/>
  <c r="F953" i="3" s="1"/>
  <c r="E954" i="3"/>
  <c r="D954" i="3" s="1"/>
  <c r="F954" i="3" s="1"/>
  <c r="E955" i="3"/>
  <c r="D955" i="3" s="1"/>
  <c r="F955" i="3" s="1"/>
  <c r="E956" i="3"/>
  <c r="D956" i="3" s="1"/>
  <c r="F956" i="3" s="1"/>
  <c r="E957" i="3"/>
  <c r="D957" i="3" s="1"/>
  <c r="F957" i="3" s="1"/>
  <c r="E958" i="3"/>
  <c r="D958" i="3" s="1"/>
  <c r="F958" i="3" s="1"/>
  <c r="E959" i="3"/>
  <c r="D959" i="3" s="1"/>
  <c r="F959" i="3" s="1"/>
  <c r="E960" i="3"/>
  <c r="D960" i="3" s="1"/>
  <c r="F960" i="3" s="1"/>
  <c r="E961" i="3"/>
  <c r="D961" i="3" s="1"/>
  <c r="F961" i="3" s="1"/>
  <c r="E962" i="3"/>
  <c r="D962" i="3" s="1"/>
  <c r="F962" i="3" s="1"/>
  <c r="E963" i="3"/>
  <c r="D963" i="3" s="1"/>
  <c r="F963" i="3" s="1"/>
  <c r="E964" i="3"/>
  <c r="D964" i="3" s="1"/>
  <c r="F964" i="3" s="1"/>
  <c r="E965" i="3"/>
  <c r="D965" i="3" s="1"/>
  <c r="F965" i="3" s="1"/>
  <c r="E966" i="3"/>
  <c r="D966" i="3" s="1"/>
  <c r="F966" i="3" s="1"/>
  <c r="E967" i="3"/>
  <c r="D967" i="3" s="1"/>
  <c r="F967" i="3" s="1"/>
  <c r="E968" i="3"/>
  <c r="D968" i="3" s="1"/>
  <c r="F968" i="3" s="1"/>
  <c r="E969" i="3"/>
  <c r="D969" i="3" s="1"/>
  <c r="F969" i="3" s="1"/>
  <c r="E970" i="3"/>
  <c r="D970" i="3" s="1"/>
  <c r="F970" i="3" s="1"/>
  <c r="E971" i="3"/>
  <c r="D971" i="3" s="1"/>
  <c r="F971" i="3" s="1"/>
  <c r="E972" i="3"/>
  <c r="D972" i="3" s="1"/>
  <c r="F972" i="3" s="1"/>
  <c r="E973" i="3"/>
  <c r="D973" i="3" s="1"/>
  <c r="F973" i="3" s="1"/>
  <c r="E974" i="3"/>
  <c r="D974" i="3" s="1"/>
  <c r="F974" i="3" s="1"/>
  <c r="E975" i="3"/>
  <c r="D975" i="3" s="1"/>
  <c r="F975" i="3" s="1"/>
  <c r="E976" i="3"/>
  <c r="D976" i="3" s="1"/>
  <c r="F976" i="3" s="1"/>
  <c r="E977" i="3"/>
  <c r="D977" i="3" s="1"/>
  <c r="F977" i="3" s="1"/>
  <c r="E978" i="3"/>
  <c r="D978" i="3" s="1"/>
  <c r="F978" i="3" s="1"/>
  <c r="E979" i="3"/>
  <c r="D979" i="3" s="1"/>
  <c r="F979" i="3" s="1"/>
  <c r="E980" i="3"/>
  <c r="D980" i="3" s="1"/>
  <c r="F980" i="3" s="1"/>
  <c r="E981" i="3"/>
  <c r="D981" i="3" s="1"/>
  <c r="F981" i="3" s="1"/>
  <c r="E982" i="3"/>
  <c r="D982" i="3" s="1"/>
  <c r="F982" i="3" s="1"/>
  <c r="E983" i="3"/>
  <c r="D983" i="3" s="1"/>
  <c r="F983" i="3" s="1"/>
  <c r="E984" i="3"/>
  <c r="D984" i="3" s="1"/>
  <c r="F984" i="3" s="1"/>
  <c r="E985" i="3"/>
  <c r="D985" i="3" s="1"/>
  <c r="F985" i="3" s="1"/>
  <c r="E986" i="3"/>
  <c r="D986" i="3" s="1"/>
  <c r="F986" i="3" s="1"/>
  <c r="E987" i="3"/>
  <c r="D987" i="3" s="1"/>
  <c r="F987" i="3" s="1"/>
  <c r="E988" i="3"/>
  <c r="D988" i="3" s="1"/>
  <c r="F988" i="3" s="1"/>
  <c r="E989" i="3"/>
  <c r="D989" i="3" s="1"/>
  <c r="F989" i="3" s="1"/>
  <c r="E990" i="3"/>
  <c r="D990" i="3" s="1"/>
  <c r="F990" i="3" s="1"/>
  <c r="E991" i="3"/>
  <c r="D991" i="3" s="1"/>
  <c r="F991" i="3" s="1"/>
  <c r="E992" i="3"/>
  <c r="D992" i="3" s="1"/>
  <c r="F992" i="3" s="1"/>
  <c r="E993" i="3"/>
  <c r="D993" i="3" s="1"/>
  <c r="F993" i="3" s="1"/>
  <c r="E994" i="3"/>
  <c r="D994" i="3" s="1"/>
  <c r="F994" i="3" s="1"/>
  <c r="E995" i="3"/>
  <c r="D995" i="3" s="1"/>
  <c r="F995" i="3" s="1"/>
  <c r="E996" i="3"/>
  <c r="D996" i="3" s="1"/>
  <c r="F996" i="3" s="1"/>
  <c r="E997" i="3"/>
  <c r="D997" i="3" s="1"/>
  <c r="F997" i="3" s="1"/>
  <c r="E998" i="3"/>
  <c r="D998" i="3" s="1"/>
  <c r="F998" i="3" s="1"/>
  <c r="E999" i="3"/>
  <c r="D999" i="3" s="1"/>
  <c r="F999" i="3" s="1"/>
  <c r="E1000" i="3"/>
  <c r="D1000" i="3" s="1"/>
  <c r="F1000" i="3" s="1"/>
  <c r="E1001" i="3"/>
  <c r="D1001" i="3" s="1"/>
  <c r="F1001" i="3" s="1"/>
  <c r="E1002" i="3"/>
  <c r="D1002" i="3" s="1"/>
  <c r="F1002" i="3" s="1"/>
  <c r="E1003" i="3"/>
  <c r="D1003" i="3" s="1"/>
  <c r="F1003" i="3" s="1"/>
  <c r="E1004" i="3"/>
  <c r="D1004" i="3" s="1"/>
  <c r="F1004" i="3" s="1"/>
  <c r="E1005" i="3"/>
  <c r="D1005" i="3" s="1"/>
  <c r="F1005" i="3" s="1"/>
  <c r="E1006" i="3"/>
  <c r="D1006" i="3" s="1"/>
  <c r="F1006" i="3" s="1"/>
  <c r="E1007" i="3"/>
  <c r="D1007" i="3" s="1"/>
  <c r="F1007" i="3" s="1"/>
  <c r="E1008" i="3"/>
  <c r="D1008" i="3" s="1"/>
  <c r="F1008" i="3" s="1"/>
  <c r="E1009" i="3"/>
  <c r="D1009" i="3" s="1"/>
  <c r="F1009" i="3" s="1"/>
  <c r="E1010" i="3"/>
  <c r="D1010" i="3" s="1"/>
  <c r="F1010" i="3" s="1"/>
  <c r="E1011" i="3"/>
  <c r="D1011" i="3" s="1"/>
  <c r="F1011" i="3" s="1"/>
  <c r="E1012" i="3"/>
  <c r="D1012" i="3" s="1"/>
  <c r="F1012" i="3" s="1"/>
  <c r="E1013" i="3"/>
  <c r="D1013" i="3" s="1"/>
  <c r="F1013" i="3" s="1"/>
  <c r="E1014" i="3"/>
  <c r="D1014" i="3" s="1"/>
  <c r="F1014" i="3" s="1"/>
  <c r="E1015" i="3"/>
  <c r="D1015" i="3" s="1"/>
  <c r="F1015" i="3" s="1"/>
  <c r="E1016" i="3"/>
  <c r="D1016" i="3" s="1"/>
  <c r="F1016" i="3" s="1"/>
  <c r="E1017" i="3"/>
  <c r="D1017" i="3" s="1"/>
  <c r="F1017" i="3" s="1"/>
  <c r="E1018" i="3"/>
  <c r="D1018" i="3" s="1"/>
  <c r="F1018" i="3" s="1"/>
  <c r="E1019" i="3"/>
  <c r="D1019" i="3" s="1"/>
  <c r="F1019" i="3" s="1"/>
  <c r="E1020" i="3"/>
  <c r="D1020" i="3" s="1"/>
  <c r="F1020" i="3" s="1"/>
  <c r="E1021" i="3"/>
  <c r="D1021" i="3" s="1"/>
  <c r="F1021" i="3" s="1"/>
  <c r="E1022" i="3"/>
  <c r="D1022" i="3" s="1"/>
  <c r="F1022" i="3" s="1"/>
  <c r="E1023" i="3"/>
  <c r="D1023" i="3" s="1"/>
  <c r="F1023" i="3" s="1"/>
  <c r="E1024" i="3"/>
  <c r="D1024" i="3" s="1"/>
  <c r="F1024" i="3" s="1"/>
  <c r="E1025" i="3"/>
  <c r="D1025" i="3" s="1"/>
  <c r="F1025" i="3" s="1"/>
  <c r="E1026" i="3"/>
  <c r="D1026" i="3" s="1"/>
  <c r="F1026" i="3" s="1"/>
  <c r="E1027" i="3"/>
  <c r="D1027" i="3" s="1"/>
  <c r="F1027" i="3" s="1"/>
  <c r="E1028" i="3"/>
  <c r="D1028" i="3" s="1"/>
  <c r="F1028" i="3" s="1"/>
  <c r="E1029" i="3"/>
  <c r="D1029" i="3" s="1"/>
  <c r="F1029" i="3" s="1"/>
  <c r="E1030" i="3"/>
  <c r="D1030" i="3" s="1"/>
  <c r="F1030" i="3" s="1"/>
  <c r="E1031" i="3"/>
  <c r="D1031" i="3" s="1"/>
  <c r="F1031" i="3" s="1"/>
  <c r="E1032" i="3"/>
  <c r="D1032" i="3" s="1"/>
  <c r="F1032" i="3" s="1"/>
  <c r="E1033" i="3"/>
  <c r="D1033" i="3" s="1"/>
  <c r="F1033" i="3" s="1"/>
  <c r="E1034" i="3"/>
  <c r="D1034" i="3" s="1"/>
  <c r="F1034" i="3" s="1"/>
  <c r="E1035" i="3"/>
  <c r="D1035" i="3" s="1"/>
  <c r="F1035" i="3" s="1"/>
  <c r="E1036" i="3"/>
  <c r="D1036" i="3" s="1"/>
  <c r="F1036" i="3" s="1"/>
  <c r="E1037" i="3"/>
  <c r="D1037" i="3" s="1"/>
  <c r="F1037" i="3" s="1"/>
  <c r="E1038" i="3"/>
  <c r="D1038" i="3" s="1"/>
  <c r="F1038" i="3" s="1"/>
  <c r="E1039" i="3"/>
  <c r="D1039" i="3" s="1"/>
  <c r="F1039" i="3" s="1"/>
  <c r="E1040" i="3"/>
  <c r="D1040" i="3" s="1"/>
  <c r="F1040" i="3" s="1"/>
  <c r="E1041" i="3"/>
  <c r="D1041" i="3" s="1"/>
  <c r="F1041" i="3" s="1"/>
  <c r="E1042" i="3"/>
  <c r="D1042" i="3" s="1"/>
  <c r="F1042" i="3" s="1"/>
  <c r="E1043" i="3"/>
  <c r="D1043" i="3" s="1"/>
  <c r="F1043" i="3" s="1"/>
  <c r="E1044" i="3"/>
  <c r="D1044" i="3" s="1"/>
  <c r="F1044" i="3" s="1"/>
  <c r="E1045" i="3"/>
  <c r="D1045" i="3" s="1"/>
  <c r="F1045" i="3" s="1"/>
  <c r="E1046" i="3"/>
  <c r="D1046" i="3" s="1"/>
  <c r="F1046" i="3" s="1"/>
  <c r="E1047" i="3"/>
  <c r="D1047" i="3" s="1"/>
  <c r="F1047" i="3" s="1"/>
  <c r="E1048" i="3"/>
  <c r="D1048" i="3" s="1"/>
  <c r="F1048" i="3" s="1"/>
  <c r="E1049" i="3"/>
  <c r="D1049" i="3" s="1"/>
  <c r="F1049" i="3" s="1"/>
  <c r="E1050" i="3"/>
  <c r="D1050" i="3" s="1"/>
  <c r="F1050" i="3" s="1"/>
  <c r="E1051" i="3"/>
  <c r="D1051" i="3" s="1"/>
  <c r="F1051" i="3" s="1"/>
  <c r="E1052" i="3"/>
  <c r="D1052" i="3" s="1"/>
  <c r="F1052" i="3" s="1"/>
  <c r="E1053" i="3"/>
  <c r="D1053" i="3" s="1"/>
  <c r="F1053" i="3" s="1"/>
  <c r="E1054" i="3"/>
  <c r="D1054" i="3" s="1"/>
  <c r="F1054" i="3" s="1"/>
  <c r="E1055" i="3"/>
  <c r="D1055" i="3" s="1"/>
  <c r="F1055" i="3" s="1"/>
  <c r="E1056" i="3"/>
  <c r="D1056" i="3" s="1"/>
  <c r="F1056" i="3" s="1"/>
  <c r="E1057" i="3"/>
  <c r="D1057" i="3" s="1"/>
  <c r="F1057" i="3" s="1"/>
  <c r="E1058" i="3"/>
  <c r="D1058" i="3" s="1"/>
  <c r="F1058" i="3" s="1"/>
  <c r="E1059" i="3"/>
  <c r="D1059" i="3" s="1"/>
  <c r="F1059" i="3" s="1"/>
  <c r="E1060" i="3"/>
  <c r="D1060" i="3" s="1"/>
  <c r="F1060" i="3" s="1"/>
  <c r="E1061" i="3"/>
  <c r="D1061" i="3" s="1"/>
  <c r="F1061" i="3" s="1"/>
  <c r="E1062" i="3"/>
  <c r="D1062" i="3" s="1"/>
  <c r="F1062" i="3" s="1"/>
  <c r="E1063" i="3"/>
  <c r="D1063" i="3" s="1"/>
  <c r="F1063" i="3" s="1"/>
  <c r="E1064" i="3"/>
  <c r="D1064" i="3" s="1"/>
  <c r="F1064" i="3" s="1"/>
  <c r="E1065" i="3"/>
  <c r="D1065" i="3" s="1"/>
  <c r="F1065" i="3" s="1"/>
  <c r="E1066" i="3"/>
  <c r="D1066" i="3" s="1"/>
  <c r="F1066" i="3" s="1"/>
  <c r="E1067" i="3"/>
  <c r="D1067" i="3" s="1"/>
  <c r="F1067" i="3" s="1"/>
  <c r="E1068" i="3"/>
  <c r="D1068" i="3" s="1"/>
  <c r="F1068" i="3" s="1"/>
  <c r="E1069" i="3"/>
  <c r="D1069" i="3" s="1"/>
  <c r="F1069" i="3" s="1"/>
  <c r="E1070" i="3"/>
  <c r="D1070" i="3" s="1"/>
  <c r="F1070" i="3" s="1"/>
  <c r="E1071" i="3"/>
  <c r="D1071" i="3" s="1"/>
  <c r="F1071" i="3" s="1"/>
  <c r="E1072" i="3"/>
  <c r="D1072" i="3" s="1"/>
  <c r="F1072" i="3" s="1"/>
  <c r="E1073" i="3"/>
  <c r="D1073" i="3" s="1"/>
  <c r="F1073" i="3" s="1"/>
  <c r="E1074" i="3"/>
  <c r="D1074" i="3" s="1"/>
  <c r="F1074" i="3" s="1"/>
  <c r="E1075" i="3"/>
  <c r="D1075" i="3" s="1"/>
  <c r="F1075" i="3" s="1"/>
  <c r="E1076" i="3"/>
  <c r="D1076" i="3" s="1"/>
  <c r="F1076" i="3" s="1"/>
  <c r="E1077" i="3"/>
  <c r="D1077" i="3" s="1"/>
  <c r="F1077" i="3" s="1"/>
  <c r="E1078" i="3"/>
  <c r="D1078" i="3" s="1"/>
  <c r="F1078" i="3" s="1"/>
  <c r="E1079" i="3"/>
  <c r="D1079" i="3" s="1"/>
  <c r="F1079" i="3" s="1"/>
  <c r="E1080" i="3"/>
  <c r="D1080" i="3" s="1"/>
  <c r="F1080" i="3" s="1"/>
  <c r="E1081" i="3"/>
  <c r="D1081" i="3" s="1"/>
  <c r="F1081" i="3" s="1"/>
  <c r="E1082" i="3"/>
  <c r="D1082" i="3" s="1"/>
  <c r="F1082" i="3" s="1"/>
  <c r="E1083" i="3"/>
  <c r="D1083" i="3" s="1"/>
  <c r="F1083" i="3" s="1"/>
  <c r="E1084" i="3"/>
  <c r="D1084" i="3" s="1"/>
  <c r="F1084" i="3" s="1"/>
  <c r="E1085" i="3"/>
  <c r="D1085" i="3" s="1"/>
  <c r="F1085" i="3" s="1"/>
  <c r="E1086" i="3"/>
  <c r="D1086" i="3" s="1"/>
  <c r="F1086" i="3" s="1"/>
  <c r="E1087" i="3"/>
  <c r="D1087" i="3" s="1"/>
  <c r="F1087" i="3" s="1"/>
  <c r="E1088" i="3"/>
  <c r="D1088" i="3" s="1"/>
  <c r="F1088" i="3" s="1"/>
  <c r="E1089" i="3"/>
  <c r="D1089" i="3" s="1"/>
  <c r="F1089" i="3" s="1"/>
  <c r="E1090" i="3"/>
  <c r="D1090" i="3" s="1"/>
  <c r="F1090" i="3" s="1"/>
  <c r="E1091" i="3"/>
  <c r="D1091" i="3" s="1"/>
  <c r="F1091" i="3" s="1"/>
  <c r="E1092" i="3"/>
  <c r="D1092" i="3" s="1"/>
  <c r="F1092" i="3" s="1"/>
  <c r="E1093" i="3"/>
  <c r="D1093" i="3" s="1"/>
  <c r="F1093" i="3" s="1"/>
  <c r="E1094" i="3"/>
  <c r="D1094" i="3" s="1"/>
  <c r="F1094" i="3" s="1"/>
  <c r="E1095" i="3"/>
  <c r="D1095" i="3" s="1"/>
  <c r="F1095" i="3" s="1"/>
  <c r="E1096" i="3"/>
  <c r="D1096" i="3" s="1"/>
  <c r="F1096" i="3" s="1"/>
  <c r="E1097" i="3"/>
  <c r="D1097" i="3" s="1"/>
  <c r="F1097" i="3" s="1"/>
  <c r="E1098" i="3"/>
  <c r="D1098" i="3" s="1"/>
  <c r="F1098" i="3" s="1"/>
  <c r="E1099" i="3"/>
  <c r="D1099" i="3" s="1"/>
  <c r="F1099" i="3" s="1"/>
  <c r="E1100" i="3"/>
  <c r="D1100" i="3" s="1"/>
  <c r="F1100" i="3" s="1"/>
  <c r="E1101" i="3"/>
  <c r="D1101" i="3" s="1"/>
  <c r="F1101" i="3" s="1"/>
  <c r="E1102" i="3"/>
  <c r="D1102" i="3" s="1"/>
  <c r="F1102" i="3" s="1"/>
  <c r="E1103" i="3"/>
  <c r="D1103" i="3" s="1"/>
  <c r="F1103" i="3" s="1"/>
  <c r="E1104" i="3"/>
  <c r="D1104" i="3" s="1"/>
  <c r="F1104" i="3" s="1"/>
  <c r="E1105" i="3"/>
  <c r="D1105" i="3" s="1"/>
  <c r="F1105" i="3" s="1"/>
  <c r="E1106" i="3"/>
  <c r="D1106" i="3" s="1"/>
  <c r="F1106" i="3" s="1"/>
  <c r="E1107" i="3"/>
  <c r="D1107" i="3" s="1"/>
  <c r="F1107" i="3" s="1"/>
  <c r="E1108" i="3"/>
  <c r="D1108" i="3" s="1"/>
  <c r="F1108" i="3" s="1"/>
  <c r="E1109" i="3"/>
  <c r="D1109" i="3" s="1"/>
  <c r="F1109" i="3" s="1"/>
  <c r="E1110" i="3"/>
  <c r="D1110" i="3" s="1"/>
  <c r="F1110" i="3" s="1"/>
  <c r="E1111" i="3"/>
  <c r="D1111" i="3" s="1"/>
  <c r="F1111" i="3" s="1"/>
  <c r="E1112" i="3"/>
  <c r="D1112" i="3" s="1"/>
  <c r="F1112" i="3" s="1"/>
  <c r="E1113" i="3"/>
  <c r="D1113" i="3" s="1"/>
  <c r="F1113" i="3" s="1"/>
  <c r="E1114" i="3"/>
  <c r="D1114" i="3" s="1"/>
  <c r="F1114" i="3" s="1"/>
  <c r="E1115" i="3"/>
  <c r="D1115" i="3" s="1"/>
  <c r="F1115" i="3" s="1"/>
  <c r="E1116" i="3"/>
  <c r="D1116" i="3" s="1"/>
  <c r="F1116" i="3" s="1"/>
  <c r="E1117" i="3"/>
  <c r="D1117" i="3" s="1"/>
  <c r="F1117" i="3" s="1"/>
  <c r="E1118" i="3"/>
  <c r="D1118" i="3" s="1"/>
  <c r="F1118" i="3" s="1"/>
  <c r="E1119" i="3"/>
  <c r="D1119" i="3" s="1"/>
  <c r="F1119" i="3" s="1"/>
  <c r="E1120" i="3"/>
  <c r="D1120" i="3" s="1"/>
  <c r="F1120" i="3" s="1"/>
  <c r="E1121" i="3"/>
  <c r="D1121" i="3" s="1"/>
  <c r="F1121" i="3" s="1"/>
  <c r="E1122" i="3"/>
  <c r="D1122" i="3" s="1"/>
  <c r="F1122" i="3" s="1"/>
  <c r="E1123" i="3"/>
  <c r="D1123" i="3" s="1"/>
  <c r="F1123" i="3" s="1"/>
  <c r="E1124" i="3"/>
  <c r="D1124" i="3" s="1"/>
  <c r="F1124" i="3" s="1"/>
  <c r="E1125" i="3"/>
  <c r="D1125" i="3" s="1"/>
  <c r="F1125" i="3" s="1"/>
  <c r="E1126" i="3"/>
  <c r="D1126" i="3" s="1"/>
  <c r="F1126" i="3" s="1"/>
  <c r="E1127" i="3"/>
  <c r="D1127" i="3" s="1"/>
  <c r="F1127" i="3" s="1"/>
  <c r="E1128" i="3"/>
  <c r="D1128" i="3" s="1"/>
  <c r="F1128" i="3" s="1"/>
  <c r="E1129" i="3"/>
  <c r="D1129" i="3" s="1"/>
  <c r="F1129" i="3" s="1"/>
  <c r="E1130" i="3"/>
  <c r="D1130" i="3" s="1"/>
  <c r="F1130" i="3" s="1"/>
  <c r="E1131" i="3"/>
  <c r="D1131" i="3" s="1"/>
  <c r="F1131" i="3" s="1"/>
  <c r="E1132" i="3"/>
  <c r="D1132" i="3" s="1"/>
  <c r="F1132" i="3" s="1"/>
  <c r="E1133" i="3"/>
  <c r="D1133" i="3" s="1"/>
  <c r="F1133" i="3" s="1"/>
  <c r="E1134" i="3"/>
  <c r="D1134" i="3" s="1"/>
  <c r="F1134" i="3" s="1"/>
  <c r="E1135" i="3"/>
  <c r="D1135" i="3" s="1"/>
  <c r="F1135" i="3" s="1"/>
  <c r="E1136" i="3"/>
  <c r="D1136" i="3" s="1"/>
  <c r="F1136" i="3" s="1"/>
  <c r="E1137" i="3"/>
  <c r="D1137" i="3" s="1"/>
  <c r="F1137" i="3" s="1"/>
  <c r="E1138" i="3"/>
  <c r="D1138" i="3" s="1"/>
  <c r="F1138" i="3" s="1"/>
  <c r="E1139" i="3"/>
  <c r="D1139" i="3" s="1"/>
  <c r="F1139" i="3" s="1"/>
  <c r="E1140" i="3"/>
  <c r="D1140" i="3" s="1"/>
  <c r="F1140" i="3" s="1"/>
  <c r="E1141" i="3"/>
  <c r="D1141" i="3" s="1"/>
  <c r="F1141" i="3" s="1"/>
  <c r="E1142" i="3"/>
  <c r="D1142" i="3" s="1"/>
  <c r="F1142" i="3" s="1"/>
  <c r="E1143" i="3"/>
  <c r="D1143" i="3" s="1"/>
  <c r="F1143" i="3" s="1"/>
  <c r="E1144" i="3"/>
  <c r="D1144" i="3" s="1"/>
  <c r="F1144" i="3" s="1"/>
  <c r="E1145" i="3"/>
  <c r="D1145" i="3" s="1"/>
  <c r="F1145" i="3" s="1"/>
  <c r="E1146" i="3"/>
  <c r="D1146" i="3" s="1"/>
  <c r="F1146" i="3" s="1"/>
  <c r="E1147" i="3"/>
  <c r="D1147" i="3" s="1"/>
  <c r="F1147" i="3" s="1"/>
  <c r="E1148" i="3"/>
  <c r="D1148" i="3" s="1"/>
  <c r="F1148" i="3" s="1"/>
  <c r="E1149" i="3"/>
  <c r="D1149" i="3" s="1"/>
  <c r="F1149" i="3" s="1"/>
  <c r="E1150" i="3"/>
  <c r="D1150" i="3" s="1"/>
  <c r="F1150" i="3" s="1"/>
  <c r="E1151" i="3"/>
  <c r="D1151" i="3" s="1"/>
  <c r="F1151" i="3" s="1"/>
  <c r="E1152" i="3"/>
  <c r="D1152" i="3" s="1"/>
  <c r="F1152" i="3" s="1"/>
  <c r="E1153" i="3"/>
  <c r="D1153" i="3" s="1"/>
  <c r="F1153" i="3" s="1"/>
  <c r="E1154" i="3"/>
  <c r="D1154" i="3" s="1"/>
  <c r="F1154" i="3" s="1"/>
  <c r="E1155" i="3"/>
  <c r="D1155" i="3" s="1"/>
  <c r="F1155" i="3" s="1"/>
  <c r="E1156" i="3"/>
  <c r="D1156" i="3" s="1"/>
  <c r="F1156" i="3" s="1"/>
  <c r="E1157" i="3"/>
  <c r="D1157" i="3" s="1"/>
  <c r="F1157" i="3" s="1"/>
  <c r="E1158" i="3"/>
  <c r="D1158" i="3" s="1"/>
  <c r="F1158" i="3" s="1"/>
  <c r="E1159" i="3"/>
  <c r="D1159" i="3" s="1"/>
  <c r="F1159" i="3" s="1"/>
  <c r="E1160" i="3"/>
  <c r="D1160" i="3" s="1"/>
  <c r="F1160" i="3" s="1"/>
  <c r="E1161" i="3"/>
  <c r="D1161" i="3" s="1"/>
  <c r="F1161" i="3" s="1"/>
  <c r="E1162" i="3"/>
  <c r="D1162" i="3" s="1"/>
  <c r="F1162" i="3" s="1"/>
  <c r="E1163" i="3"/>
  <c r="D1163" i="3" s="1"/>
  <c r="F1163" i="3" s="1"/>
  <c r="E1164" i="3"/>
  <c r="D1164" i="3" s="1"/>
  <c r="F1164" i="3" s="1"/>
  <c r="E1165" i="3"/>
  <c r="D1165" i="3" s="1"/>
  <c r="F1165" i="3" s="1"/>
  <c r="E1166" i="3"/>
  <c r="D1166" i="3" s="1"/>
  <c r="F1166" i="3" s="1"/>
  <c r="E1167" i="3"/>
  <c r="D1167" i="3" s="1"/>
  <c r="F1167" i="3" s="1"/>
  <c r="E1168" i="3"/>
  <c r="D1168" i="3" s="1"/>
  <c r="F1168" i="3" s="1"/>
  <c r="E1169" i="3"/>
  <c r="D1169" i="3" s="1"/>
  <c r="F1169" i="3" s="1"/>
  <c r="E1170" i="3"/>
  <c r="D1170" i="3" s="1"/>
  <c r="F1170" i="3" s="1"/>
  <c r="E1171" i="3"/>
  <c r="D1171" i="3" s="1"/>
  <c r="F1171" i="3" s="1"/>
  <c r="E1172" i="3"/>
  <c r="D1172" i="3" s="1"/>
  <c r="F1172" i="3" s="1"/>
  <c r="E1173" i="3"/>
  <c r="D1173" i="3" s="1"/>
  <c r="F1173" i="3" s="1"/>
  <c r="E1174" i="3"/>
  <c r="D1174" i="3" s="1"/>
  <c r="F1174" i="3" s="1"/>
  <c r="E1175" i="3"/>
  <c r="D1175" i="3" s="1"/>
  <c r="F1175" i="3" s="1"/>
  <c r="E1176" i="3"/>
  <c r="D1176" i="3" s="1"/>
  <c r="F1176" i="3" s="1"/>
  <c r="E1177" i="3"/>
  <c r="D1177" i="3" s="1"/>
  <c r="F1177" i="3" s="1"/>
  <c r="E1178" i="3"/>
  <c r="D1178" i="3" s="1"/>
  <c r="F1178" i="3" s="1"/>
  <c r="E1179" i="3"/>
  <c r="D1179" i="3" s="1"/>
  <c r="F1179" i="3" s="1"/>
  <c r="E1180" i="3"/>
  <c r="D1180" i="3" s="1"/>
  <c r="F1180" i="3" s="1"/>
  <c r="E1181" i="3"/>
  <c r="D1181" i="3" s="1"/>
  <c r="F1181" i="3" s="1"/>
  <c r="E1182" i="3"/>
  <c r="D1182" i="3" s="1"/>
  <c r="F1182" i="3" s="1"/>
  <c r="E1183" i="3"/>
  <c r="D1183" i="3" s="1"/>
  <c r="F1183" i="3" s="1"/>
  <c r="E1184" i="3"/>
  <c r="D1184" i="3" s="1"/>
  <c r="F1184" i="3" s="1"/>
  <c r="E1185" i="3"/>
  <c r="D1185" i="3" s="1"/>
  <c r="F1185" i="3" s="1"/>
  <c r="E1186" i="3"/>
  <c r="D1186" i="3" s="1"/>
  <c r="F1186" i="3" s="1"/>
  <c r="E1187" i="3"/>
  <c r="D1187" i="3" s="1"/>
  <c r="F1187" i="3" s="1"/>
  <c r="E1188" i="3"/>
  <c r="D1188" i="3" s="1"/>
  <c r="F1188" i="3" s="1"/>
  <c r="E1189" i="3"/>
  <c r="D1189" i="3" s="1"/>
  <c r="F1189" i="3" s="1"/>
  <c r="E1190" i="3"/>
  <c r="D1190" i="3" s="1"/>
  <c r="F1190" i="3" s="1"/>
  <c r="E1191" i="3"/>
  <c r="D1191" i="3" s="1"/>
  <c r="F1191" i="3" s="1"/>
  <c r="E1192" i="3"/>
  <c r="D1192" i="3" s="1"/>
  <c r="F1192" i="3" s="1"/>
  <c r="E1193" i="3"/>
  <c r="D1193" i="3" s="1"/>
  <c r="F1193" i="3" s="1"/>
  <c r="E1194" i="3"/>
  <c r="D1194" i="3" s="1"/>
  <c r="F1194" i="3" s="1"/>
  <c r="E1195" i="3"/>
  <c r="D1195" i="3" s="1"/>
  <c r="F1195" i="3" s="1"/>
  <c r="E1196" i="3"/>
  <c r="D1196" i="3" s="1"/>
  <c r="F1196" i="3" s="1"/>
  <c r="E1197" i="3"/>
  <c r="D1197" i="3" s="1"/>
  <c r="F1197" i="3" s="1"/>
  <c r="E1198" i="3"/>
  <c r="D1198" i="3" s="1"/>
  <c r="F1198" i="3" s="1"/>
  <c r="E1199" i="3"/>
  <c r="D1199" i="3" s="1"/>
  <c r="F1199" i="3" s="1"/>
  <c r="E1200" i="3"/>
  <c r="D1200" i="3" s="1"/>
  <c r="F1200" i="3" s="1"/>
  <c r="E1201" i="3"/>
  <c r="D1201" i="3" s="1"/>
  <c r="F1201" i="3" s="1"/>
  <c r="E1202" i="3"/>
  <c r="D1202" i="3" s="1"/>
  <c r="F1202" i="3" s="1"/>
  <c r="E1203" i="3"/>
  <c r="D1203" i="3" s="1"/>
  <c r="F1203" i="3" s="1"/>
  <c r="E1204" i="3"/>
  <c r="D1204" i="3" s="1"/>
  <c r="F1204" i="3" s="1"/>
  <c r="E1205" i="3"/>
  <c r="D1205" i="3" s="1"/>
  <c r="F1205" i="3" s="1"/>
  <c r="E1206" i="3"/>
  <c r="D1206" i="3" s="1"/>
  <c r="F1206" i="3" s="1"/>
  <c r="E1207" i="3"/>
  <c r="D1207" i="3" s="1"/>
  <c r="F1207" i="3" s="1"/>
  <c r="E1208" i="3"/>
  <c r="D1208" i="3" s="1"/>
  <c r="F1208" i="3" s="1"/>
  <c r="E1209" i="3"/>
  <c r="D1209" i="3" s="1"/>
  <c r="F1209" i="3" s="1"/>
  <c r="E1210" i="3"/>
  <c r="D1210" i="3" s="1"/>
  <c r="F1210" i="3" s="1"/>
  <c r="E1211" i="3"/>
  <c r="D1211" i="3" s="1"/>
  <c r="F1211" i="3" s="1"/>
  <c r="E1212" i="3"/>
  <c r="D1212" i="3" s="1"/>
  <c r="F1212" i="3" s="1"/>
  <c r="E1213" i="3"/>
  <c r="D1213" i="3" s="1"/>
  <c r="F1213" i="3" s="1"/>
  <c r="E1214" i="3"/>
  <c r="D1214" i="3" s="1"/>
  <c r="F1214" i="3" s="1"/>
  <c r="E1215" i="3"/>
  <c r="D1215" i="3" s="1"/>
  <c r="F1215" i="3" s="1"/>
  <c r="E1216" i="3"/>
  <c r="D1216" i="3" s="1"/>
  <c r="F1216" i="3" s="1"/>
  <c r="E1217" i="3"/>
  <c r="D1217" i="3" s="1"/>
  <c r="F1217" i="3" s="1"/>
  <c r="E1218" i="3"/>
  <c r="D1218" i="3" s="1"/>
  <c r="F1218" i="3" s="1"/>
  <c r="E1219" i="3"/>
  <c r="D1219" i="3" s="1"/>
  <c r="F1219" i="3" s="1"/>
  <c r="E1220" i="3"/>
  <c r="D1220" i="3" s="1"/>
  <c r="F1220" i="3" s="1"/>
  <c r="E1221" i="3"/>
  <c r="D1221" i="3" s="1"/>
  <c r="F1221" i="3" s="1"/>
  <c r="E1222" i="3"/>
  <c r="D1222" i="3" s="1"/>
  <c r="F1222" i="3" s="1"/>
  <c r="E1223" i="3"/>
  <c r="D1223" i="3" s="1"/>
  <c r="F1223" i="3" s="1"/>
  <c r="E1224" i="3"/>
  <c r="D1224" i="3" s="1"/>
  <c r="F1224" i="3" s="1"/>
  <c r="E1225" i="3"/>
  <c r="D1225" i="3" s="1"/>
  <c r="F1225" i="3" s="1"/>
  <c r="E1226" i="3"/>
  <c r="D1226" i="3" s="1"/>
  <c r="F1226" i="3" s="1"/>
  <c r="E1227" i="3"/>
  <c r="D1227" i="3" s="1"/>
  <c r="F1227" i="3" s="1"/>
  <c r="E1228" i="3"/>
  <c r="D1228" i="3" s="1"/>
  <c r="F1228" i="3" s="1"/>
  <c r="E1229" i="3"/>
  <c r="D1229" i="3" s="1"/>
  <c r="F1229" i="3" s="1"/>
  <c r="E1230" i="3"/>
  <c r="D1230" i="3" s="1"/>
  <c r="F1230" i="3" s="1"/>
  <c r="E1231" i="3"/>
  <c r="D1231" i="3" s="1"/>
  <c r="F1231" i="3" s="1"/>
  <c r="E1232" i="3"/>
  <c r="D1232" i="3" s="1"/>
  <c r="F1232" i="3" s="1"/>
  <c r="E1233" i="3"/>
  <c r="D1233" i="3" s="1"/>
  <c r="F1233" i="3" s="1"/>
  <c r="E1234" i="3"/>
  <c r="D1234" i="3" s="1"/>
  <c r="F1234" i="3" s="1"/>
  <c r="E1235" i="3"/>
  <c r="D1235" i="3" s="1"/>
  <c r="F1235" i="3" s="1"/>
  <c r="E1236" i="3"/>
  <c r="D1236" i="3" s="1"/>
  <c r="F1236" i="3" s="1"/>
  <c r="E1237" i="3"/>
  <c r="D1237" i="3" s="1"/>
  <c r="F1237" i="3" s="1"/>
  <c r="E1238" i="3"/>
  <c r="D1238" i="3" s="1"/>
  <c r="F1238" i="3" s="1"/>
  <c r="E1239" i="3"/>
  <c r="D1239" i="3" s="1"/>
  <c r="F1239" i="3" s="1"/>
  <c r="E1240" i="3"/>
  <c r="D1240" i="3" s="1"/>
  <c r="F1240" i="3" s="1"/>
  <c r="E1241" i="3"/>
  <c r="D1241" i="3" s="1"/>
  <c r="F1241" i="3" s="1"/>
  <c r="E1242" i="3"/>
  <c r="D1242" i="3" s="1"/>
  <c r="F1242" i="3" s="1"/>
  <c r="E1243" i="3"/>
  <c r="D1243" i="3" s="1"/>
  <c r="F1243" i="3" s="1"/>
  <c r="E1244" i="3"/>
  <c r="D1244" i="3" s="1"/>
  <c r="F1244" i="3" s="1"/>
  <c r="E1245" i="3"/>
  <c r="D1245" i="3" s="1"/>
  <c r="F1245" i="3" s="1"/>
  <c r="E1246" i="3"/>
  <c r="D1246" i="3" s="1"/>
  <c r="F1246" i="3" s="1"/>
  <c r="E1247" i="3"/>
  <c r="D1247" i="3" s="1"/>
  <c r="F1247" i="3" s="1"/>
  <c r="E1248" i="3"/>
  <c r="D1248" i="3" s="1"/>
  <c r="F1248" i="3" s="1"/>
  <c r="E1249" i="3"/>
  <c r="D1249" i="3" s="1"/>
  <c r="F1249" i="3" s="1"/>
  <c r="E1250" i="3"/>
  <c r="D1250" i="3" s="1"/>
  <c r="F1250" i="3" s="1"/>
  <c r="E1251" i="3"/>
  <c r="D1251" i="3" s="1"/>
  <c r="F1251" i="3" s="1"/>
  <c r="E1252" i="3"/>
  <c r="D1252" i="3" s="1"/>
  <c r="F1252" i="3" s="1"/>
  <c r="E1253" i="3"/>
  <c r="D1253" i="3" s="1"/>
  <c r="F1253" i="3" s="1"/>
  <c r="E1254" i="3"/>
  <c r="D1254" i="3" s="1"/>
  <c r="F1254" i="3" s="1"/>
  <c r="E1255" i="3"/>
  <c r="D1255" i="3" s="1"/>
  <c r="F1255" i="3" s="1"/>
  <c r="E1256" i="3"/>
  <c r="D1256" i="3" s="1"/>
  <c r="F1256" i="3" s="1"/>
  <c r="E1257" i="3"/>
  <c r="D1257" i="3" s="1"/>
  <c r="F1257" i="3" s="1"/>
  <c r="E1258" i="3"/>
  <c r="D1258" i="3" s="1"/>
  <c r="F1258" i="3" s="1"/>
  <c r="E1259" i="3"/>
  <c r="D1259" i="3" s="1"/>
  <c r="F1259" i="3" s="1"/>
  <c r="E1260" i="3"/>
  <c r="D1260" i="3" s="1"/>
  <c r="F1260" i="3" s="1"/>
  <c r="E1261" i="3"/>
  <c r="D1261" i="3" s="1"/>
  <c r="F1261" i="3" s="1"/>
  <c r="E1262" i="3"/>
  <c r="D1262" i="3" s="1"/>
  <c r="F1262" i="3" s="1"/>
  <c r="E1263" i="3"/>
  <c r="D1263" i="3" s="1"/>
  <c r="F1263" i="3" s="1"/>
  <c r="E1264" i="3"/>
  <c r="D1264" i="3" s="1"/>
  <c r="F1264" i="3" s="1"/>
  <c r="E1265" i="3"/>
  <c r="D1265" i="3" s="1"/>
  <c r="F1265" i="3" s="1"/>
  <c r="E1266" i="3"/>
  <c r="D1266" i="3" s="1"/>
  <c r="F1266" i="3" s="1"/>
  <c r="E1267" i="3"/>
  <c r="D1267" i="3" s="1"/>
  <c r="F1267" i="3" s="1"/>
  <c r="E1268" i="3"/>
  <c r="D1268" i="3" s="1"/>
  <c r="F1268" i="3" s="1"/>
  <c r="E1269" i="3"/>
  <c r="D1269" i="3" s="1"/>
  <c r="F1269" i="3" s="1"/>
  <c r="E1270" i="3"/>
  <c r="D1270" i="3" s="1"/>
  <c r="F1270" i="3" s="1"/>
  <c r="E1271" i="3"/>
  <c r="D1271" i="3" s="1"/>
  <c r="F1271" i="3" s="1"/>
  <c r="E1272" i="3"/>
  <c r="D1272" i="3" s="1"/>
  <c r="F1272" i="3" s="1"/>
  <c r="E1273" i="3"/>
  <c r="D1273" i="3" s="1"/>
  <c r="F1273" i="3" s="1"/>
  <c r="E1274" i="3"/>
  <c r="D1274" i="3" s="1"/>
  <c r="F1274" i="3" s="1"/>
  <c r="E1275" i="3"/>
  <c r="D1275" i="3" s="1"/>
  <c r="F1275" i="3" s="1"/>
  <c r="E1276" i="3"/>
  <c r="D1276" i="3" s="1"/>
  <c r="F1276" i="3" s="1"/>
  <c r="E1277" i="3"/>
  <c r="D1277" i="3" s="1"/>
  <c r="F1277" i="3" s="1"/>
  <c r="E1278" i="3"/>
  <c r="D1278" i="3" s="1"/>
  <c r="F1278" i="3" s="1"/>
  <c r="E1279" i="3"/>
  <c r="D1279" i="3" s="1"/>
  <c r="F1279" i="3" s="1"/>
  <c r="E1280" i="3"/>
  <c r="D1280" i="3" s="1"/>
  <c r="F1280" i="3" s="1"/>
  <c r="E1281" i="3"/>
  <c r="D1281" i="3" s="1"/>
  <c r="F1281" i="3" s="1"/>
  <c r="E1282" i="3"/>
  <c r="D1282" i="3" s="1"/>
  <c r="F1282" i="3" s="1"/>
  <c r="E1283" i="3"/>
  <c r="D1283" i="3" s="1"/>
  <c r="F1283" i="3" s="1"/>
  <c r="E1284" i="3"/>
  <c r="D1284" i="3" s="1"/>
  <c r="F1284" i="3" s="1"/>
  <c r="E1285" i="3"/>
  <c r="D1285" i="3" s="1"/>
  <c r="F1285" i="3" s="1"/>
  <c r="E1286" i="3"/>
  <c r="D1286" i="3" s="1"/>
  <c r="F1286" i="3" s="1"/>
  <c r="E1287" i="3"/>
  <c r="D1287" i="3" s="1"/>
  <c r="F1287" i="3" s="1"/>
  <c r="E1288" i="3"/>
  <c r="D1288" i="3" s="1"/>
  <c r="F1288" i="3" s="1"/>
  <c r="E1289" i="3"/>
  <c r="D1289" i="3" s="1"/>
  <c r="F1289" i="3" s="1"/>
  <c r="E1290" i="3"/>
  <c r="D1290" i="3" s="1"/>
  <c r="F1290" i="3" s="1"/>
  <c r="E1291" i="3"/>
  <c r="D1291" i="3" s="1"/>
  <c r="F1291" i="3" s="1"/>
  <c r="E1292" i="3"/>
  <c r="D1292" i="3" s="1"/>
  <c r="F1292" i="3" s="1"/>
  <c r="E1293" i="3"/>
  <c r="D1293" i="3" s="1"/>
  <c r="F1293" i="3" s="1"/>
  <c r="E1294" i="3"/>
  <c r="D1294" i="3" s="1"/>
  <c r="F1294" i="3" s="1"/>
  <c r="E1295" i="3"/>
  <c r="D1295" i="3" s="1"/>
  <c r="F1295" i="3" s="1"/>
  <c r="E1296" i="3"/>
  <c r="D1296" i="3" s="1"/>
  <c r="F1296" i="3" s="1"/>
  <c r="E1297" i="3"/>
  <c r="D1297" i="3" s="1"/>
  <c r="F1297" i="3" s="1"/>
  <c r="E1298" i="3"/>
  <c r="D1298" i="3" s="1"/>
  <c r="F1298" i="3" s="1"/>
  <c r="E1299" i="3"/>
  <c r="D1299" i="3" s="1"/>
  <c r="F1299" i="3" s="1"/>
  <c r="E1300" i="3"/>
  <c r="D1300" i="3" s="1"/>
  <c r="F1300" i="3" s="1"/>
  <c r="E1301" i="3"/>
  <c r="D1301" i="3" s="1"/>
  <c r="F1301" i="3" s="1"/>
  <c r="E1302" i="3"/>
  <c r="D1302" i="3" s="1"/>
  <c r="F1302" i="3" s="1"/>
  <c r="E1303" i="3"/>
  <c r="D1303" i="3" s="1"/>
  <c r="F1303" i="3" s="1"/>
  <c r="E1304" i="3"/>
  <c r="D1304" i="3" s="1"/>
  <c r="F1304" i="3" s="1"/>
  <c r="E1305" i="3"/>
  <c r="D1305" i="3" s="1"/>
  <c r="F1305" i="3" s="1"/>
  <c r="E1306" i="3"/>
  <c r="D1306" i="3" s="1"/>
  <c r="F1306" i="3" s="1"/>
  <c r="E1307" i="3"/>
  <c r="D1307" i="3" s="1"/>
  <c r="F1307" i="3" s="1"/>
  <c r="E1308" i="3"/>
  <c r="D1308" i="3" s="1"/>
  <c r="F1308" i="3" s="1"/>
  <c r="E1309" i="3"/>
  <c r="D1309" i="3" s="1"/>
  <c r="F1309" i="3" s="1"/>
  <c r="E1310" i="3"/>
  <c r="D1310" i="3" s="1"/>
  <c r="F1310" i="3" s="1"/>
  <c r="E1311" i="3"/>
  <c r="D1311" i="3" s="1"/>
  <c r="F1311" i="3" s="1"/>
  <c r="E1312" i="3"/>
  <c r="D1312" i="3" s="1"/>
  <c r="F1312" i="3" s="1"/>
  <c r="E1313" i="3"/>
  <c r="D1313" i="3" s="1"/>
  <c r="F1313" i="3" s="1"/>
  <c r="E1314" i="3"/>
  <c r="D1314" i="3" s="1"/>
  <c r="F1314" i="3" s="1"/>
  <c r="E1315" i="3"/>
  <c r="D1315" i="3" s="1"/>
  <c r="F1315" i="3" s="1"/>
  <c r="E1316" i="3"/>
  <c r="D1316" i="3" s="1"/>
  <c r="F1316" i="3" s="1"/>
  <c r="E1317" i="3"/>
  <c r="D1317" i="3" s="1"/>
  <c r="F1317" i="3" s="1"/>
  <c r="E1318" i="3"/>
  <c r="D1318" i="3" s="1"/>
  <c r="F1318" i="3" s="1"/>
  <c r="E1319" i="3"/>
  <c r="D1319" i="3" s="1"/>
  <c r="F1319" i="3" s="1"/>
  <c r="E1320" i="3"/>
  <c r="D1320" i="3" s="1"/>
  <c r="F1320" i="3" s="1"/>
  <c r="E1321" i="3"/>
  <c r="D1321" i="3" s="1"/>
  <c r="F1321" i="3" s="1"/>
  <c r="E1322" i="3"/>
  <c r="D1322" i="3" s="1"/>
  <c r="F1322" i="3" s="1"/>
  <c r="E1323" i="3"/>
  <c r="D1323" i="3" s="1"/>
  <c r="F1323" i="3" s="1"/>
  <c r="E1324" i="3"/>
  <c r="D1324" i="3" s="1"/>
  <c r="F1324" i="3" s="1"/>
  <c r="E1325" i="3"/>
  <c r="D1325" i="3" s="1"/>
  <c r="F1325" i="3" s="1"/>
  <c r="E1326" i="3"/>
  <c r="D1326" i="3" s="1"/>
  <c r="F1326" i="3" s="1"/>
  <c r="E1327" i="3"/>
  <c r="D1327" i="3" s="1"/>
  <c r="F1327" i="3" s="1"/>
  <c r="E1328" i="3"/>
  <c r="D1328" i="3" s="1"/>
  <c r="F1328" i="3" s="1"/>
  <c r="E1329" i="3"/>
  <c r="D1329" i="3" s="1"/>
  <c r="F1329" i="3" s="1"/>
  <c r="E1330" i="3"/>
  <c r="D1330" i="3" s="1"/>
  <c r="F1330" i="3" s="1"/>
  <c r="E1331" i="3"/>
  <c r="D1331" i="3" s="1"/>
  <c r="F1331" i="3" s="1"/>
  <c r="E1332" i="3"/>
  <c r="D1332" i="3" s="1"/>
  <c r="F1332" i="3" s="1"/>
  <c r="E1333" i="3"/>
  <c r="D1333" i="3" s="1"/>
  <c r="F1333" i="3" s="1"/>
  <c r="E1334" i="3"/>
  <c r="D1334" i="3" s="1"/>
  <c r="F1334" i="3" s="1"/>
  <c r="E1335" i="3"/>
  <c r="D1335" i="3" s="1"/>
  <c r="F1335" i="3" s="1"/>
  <c r="E1336" i="3"/>
  <c r="D1336" i="3" s="1"/>
  <c r="F1336" i="3" s="1"/>
  <c r="E1337" i="3"/>
  <c r="D1337" i="3" s="1"/>
  <c r="F1337" i="3" s="1"/>
  <c r="E1338" i="3"/>
  <c r="D1338" i="3" s="1"/>
  <c r="F1338" i="3" s="1"/>
  <c r="E1339" i="3"/>
  <c r="D1339" i="3" s="1"/>
  <c r="F1339" i="3" s="1"/>
  <c r="E1340" i="3"/>
  <c r="D1340" i="3" s="1"/>
  <c r="F1340" i="3" s="1"/>
  <c r="E1341" i="3"/>
  <c r="D1341" i="3" s="1"/>
  <c r="F1341" i="3" s="1"/>
  <c r="E1342" i="3"/>
  <c r="D1342" i="3" s="1"/>
  <c r="F1342" i="3" s="1"/>
  <c r="E1343" i="3"/>
  <c r="D1343" i="3" s="1"/>
  <c r="F1343" i="3" s="1"/>
  <c r="E1344" i="3"/>
  <c r="D1344" i="3" s="1"/>
  <c r="F1344" i="3" s="1"/>
  <c r="E1345" i="3"/>
  <c r="D1345" i="3" s="1"/>
  <c r="F1345" i="3" s="1"/>
  <c r="E1346" i="3"/>
  <c r="D1346" i="3" s="1"/>
  <c r="F1346" i="3" s="1"/>
  <c r="E1347" i="3"/>
  <c r="D1347" i="3" s="1"/>
  <c r="F1347" i="3" s="1"/>
  <c r="E1348" i="3"/>
  <c r="D1348" i="3" s="1"/>
  <c r="F1348" i="3" s="1"/>
  <c r="E1349" i="3"/>
  <c r="D1349" i="3" s="1"/>
  <c r="F1349" i="3" s="1"/>
  <c r="E1350" i="3"/>
  <c r="D1350" i="3" s="1"/>
  <c r="F1350" i="3" s="1"/>
  <c r="E1351" i="3"/>
  <c r="D1351" i="3" s="1"/>
  <c r="F1351" i="3" s="1"/>
  <c r="E1352" i="3"/>
  <c r="D1352" i="3" s="1"/>
  <c r="F1352" i="3" s="1"/>
  <c r="E1353" i="3"/>
  <c r="D1353" i="3" s="1"/>
  <c r="F1353" i="3" s="1"/>
  <c r="E1354" i="3"/>
  <c r="D1354" i="3" s="1"/>
  <c r="F1354" i="3" s="1"/>
  <c r="E1355" i="3"/>
  <c r="D1355" i="3" s="1"/>
  <c r="F1355" i="3" s="1"/>
  <c r="E1356" i="3"/>
  <c r="D1356" i="3" s="1"/>
  <c r="F1356" i="3" s="1"/>
  <c r="E1357" i="3"/>
  <c r="D1357" i="3" s="1"/>
  <c r="F1357" i="3" s="1"/>
  <c r="E1358" i="3"/>
  <c r="D1358" i="3" s="1"/>
  <c r="F1358" i="3" s="1"/>
  <c r="E1359" i="3"/>
  <c r="D1359" i="3" s="1"/>
  <c r="F1359" i="3" s="1"/>
  <c r="E1360" i="3"/>
  <c r="D1360" i="3" s="1"/>
  <c r="F1360" i="3" s="1"/>
  <c r="E1361" i="3"/>
  <c r="D1361" i="3" s="1"/>
  <c r="F1361" i="3" s="1"/>
  <c r="E1362" i="3"/>
  <c r="D1362" i="3" s="1"/>
  <c r="F1362" i="3" s="1"/>
  <c r="E1363" i="3"/>
  <c r="D1363" i="3" s="1"/>
  <c r="F1363" i="3" s="1"/>
  <c r="E1364" i="3"/>
  <c r="D1364" i="3" s="1"/>
  <c r="F1364" i="3" s="1"/>
  <c r="E1365" i="3"/>
  <c r="D1365" i="3" s="1"/>
  <c r="F1365" i="3" s="1"/>
  <c r="E1366" i="3"/>
  <c r="D1366" i="3" s="1"/>
  <c r="F1366" i="3" s="1"/>
  <c r="E1367" i="3"/>
  <c r="D1367" i="3" s="1"/>
  <c r="F1367" i="3" s="1"/>
  <c r="E1368" i="3"/>
  <c r="D1368" i="3" s="1"/>
  <c r="F1368" i="3" s="1"/>
  <c r="E1369" i="3"/>
  <c r="D1369" i="3" s="1"/>
  <c r="F1369" i="3" s="1"/>
  <c r="E1370" i="3"/>
  <c r="D1370" i="3" s="1"/>
  <c r="F1370" i="3" s="1"/>
  <c r="E1371" i="3"/>
  <c r="D1371" i="3" s="1"/>
  <c r="F1371" i="3" s="1"/>
  <c r="E1372" i="3"/>
  <c r="D1372" i="3" s="1"/>
  <c r="F1372" i="3" s="1"/>
  <c r="E1373" i="3"/>
  <c r="D1373" i="3" s="1"/>
  <c r="F1373" i="3" s="1"/>
  <c r="E1374" i="3"/>
  <c r="D1374" i="3" s="1"/>
  <c r="F1374" i="3" s="1"/>
  <c r="E1375" i="3"/>
  <c r="D1375" i="3" s="1"/>
  <c r="F1375" i="3" s="1"/>
  <c r="E1376" i="3"/>
  <c r="D1376" i="3" s="1"/>
  <c r="F1376" i="3" s="1"/>
  <c r="E1377" i="3"/>
  <c r="D1377" i="3" s="1"/>
  <c r="F1377" i="3" s="1"/>
  <c r="E1378" i="3"/>
  <c r="D1378" i="3" s="1"/>
  <c r="F1378" i="3" s="1"/>
  <c r="E1379" i="3"/>
  <c r="D1379" i="3" s="1"/>
  <c r="F1379" i="3" s="1"/>
  <c r="E1380" i="3"/>
  <c r="D1380" i="3" s="1"/>
  <c r="F1380" i="3" s="1"/>
  <c r="E1381" i="3"/>
  <c r="D1381" i="3" s="1"/>
  <c r="F1381" i="3" s="1"/>
  <c r="E1382" i="3"/>
  <c r="D1382" i="3" s="1"/>
  <c r="F1382" i="3" s="1"/>
  <c r="E1383" i="3"/>
  <c r="D1383" i="3" s="1"/>
  <c r="F1383" i="3" s="1"/>
  <c r="E1384" i="3"/>
  <c r="D1384" i="3" s="1"/>
  <c r="F1384" i="3" s="1"/>
  <c r="E1385" i="3"/>
  <c r="D1385" i="3" s="1"/>
  <c r="F1385" i="3" s="1"/>
  <c r="E1386" i="3"/>
  <c r="D1386" i="3" s="1"/>
  <c r="F1386" i="3" s="1"/>
  <c r="E1387" i="3"/>
  <c r="D1387" i="3" s="1"/>
  <c r="F1387" i="3" s="1"/>
  <c r="E1388" i="3"/>
  <c r="D1388" i="3" s="1"/>
  <c r="F1388" i="3" s="1"/>
  <c r="E1389" i="3"/>
  <c r="D1389" i="3" s="1"/>
  <c r="F1389" i="3" s="1"/>
  <c r="E1390" i="3"/>
  <c r="D1390" i="3" s="1"/>
  <c r="F1390" i="3" s="1"/>
  <c r="E1391" i="3"/>
  <c r="D1391" i="3" s="1"/>
  <c r="F1391" i="3" s="1"/>
  <c r="E1392" i="3"/>
  <c r="D1392" i="3" s="1"/>
  <c r="F1392" i="3" s="1"/>
  <c r="E1393" i="3"/>
  <c r="D1393" i="3" s="1"/>
  <c r="F1393" i="3" s="1"/>
  <c r="E1394" i="3"/>
  <c r="D1394" i="3" s="1"/>
  <c r="F1394" i="3" s="1"/>
  <c r="E1395" i="3"/>
  <c r="D1395" i="3" s="1"/>
  <c r="F1395" i="3" s="1"/>
  <c r="E1396" i="3"/>
  <c r="D1396" i="3" s="1"/>
  <c r="F1396" i="3" s="1"/>
  <c r="E1397" i="3"/>
  <c r="D1397" i="3" s="1"/>
  <c r="F1397" i="3" s="1"/>
  <c r="E1398" i="3"/>
  <c r="D1398" i="3" s="1"/>
  <c r="F1398" i="3" s="1"/>
  <c r="E1399" i="3"/>
  <c r="D1399" i="3" s="1"/>
  <c r="F1399" i="3" s="1"/>
  <c r="E1400" i="3"/>
  <c r="D1400" i="3" s="1"/>
  <c r="F1400" i="3" s="1"/>
  <c r="E1401" i="3"/>
  <c r="D1401" i="3" s="1"/>
  <c r="F1401" i="3" s="1"/>
  <c r="E1402" i="3"/>
  <c r="D1402" i="3" s="1"/>
  <c r="F1402" i="3" s="1"/>
  <c r="E1403" i="3"/>
  <c r="D1403" i="3" s="1"/>
  <c r="F1403" i="3" s="1"/>
  <c r="E1404" i="3"/>
  <c r="D1404" i="3" s="1"/>
  <c r="F1404" i="3" s="1"/>
  <c r="E1405" i="3"/>
  <c r="D1405" i="3" s="1"/>
  <c r="F1405" i="3" s="1"/>
  <c r="E1406" i="3"/>
  <c r="D1406" i="3" s="1"/>
  <c r="F1406" i="3" s="1"/>
  <c r="E1407" i="3"/>
  <c r="D1407" i="3" s="1"/>
  <c r="F1407" i="3" s="1"/>
  <c r="E1408" i="3"/>
  <c r="D1408" i="3" s="1"/>
  <c r="F1408" i="3" s="1"/>
  <c r="E1409" i="3"/>
  <c r="D1409" i="3" s="1"/>
  <c r="F1409" i="3" s="1"/>
  <c r="E1410" i="3"/>
  <c r="D1410" i="3" s="1"/>
  <c r="F1410" i="3" s="1"/>
  <c r="E1411" i="3"/>
  <c r="D1411" i="3" s="1"/>
  <c r="F1411" i="3" s="1"/>
  <c r="E1412" i="3"/>
  <c r="D1412" i="3" s="1"/>
  <c r="F1412" i="3" s="1"/>
  <c r="E1413" i="3"/>
  <c r="D1413" i="3" s="1"/>
  <c r="F1413" i="3" s="1"/>
  <c r="E1414" i="3"/>
  <c r="D1414" i="3" s="1"/>
  <c r="F1414" i="3" s="1"/>
  <c r="E1415" i="3"/>
  <c r="D1415" i="3" s="1"/>
  <c r="F1415" i="3" s="1"/>
  <c r="E1416" i="3"/>
  <c r="D1416" i="3" s="1"/>
  <c r="F1416" i="3" s="1"/>
  <c r="E1417" i="3"/>
  <c r="D1417" i="3" s="1"/>
  <c r="F1417" i="3" s="1"/>
  <c r="E1418" i="3"/>
  <c r="D1418" i="3" s="1"/>
  <c r="F1418" i="3" s="1"/>
  <c r="E1419" i="3"/>
  <c r="D1419" i="3" s="1"/>
  <c r="F1419" i="3" s="1"/>
  <c r="E1420" i="3"/>
  <c r="D1420" i="3" s="1"/>
  <c r="F1420" i="3" s="1"/>
  <c r="E1421" i="3"/>
  <c r="D1421" i="3" s="1"/>
  <c r="F1421" i="3" s="1"/>
  <c r="E1422" i="3"/>
  <c r="D1422" i="3" s="1"/>
  <c r="F1422" i="3" s="1"/>
  <c r="E1423" i="3"/>
  <c r="D1423" i="3" s="1"/>
  <c r="F1423" i="3" s="1"/>
  <c r="E1424" i="3"/>
  <c r="D1424" i="3" s="1"/>
  <c r="F1424" i="3" s="1"/>
  <c r="E1425" i="3"/>
  <c r="D1425" i="3" s="1"/>
  <c r="F1425" i="3" s="1"/>
  <c r="E1426" i="3"/>
  <c r="D1426" i="3" s="1"/>
  <c r="F1426" i="3" s="1"/>
  <c r="E1427" i="3"/>
  <c r="D1427" i="3" s="1"/>
  <c r="F1427" i="3" s="1"/>
  <c r="E1428" i="3"/>
  <c r="D1428" i="3" s="1"/>
  <c r="F1428" i="3" s="1"/>
  <c r="E1429" i="3"/>
  <c r="D1429" i="3" s="1"/>
  <c r="F1429" i="3" s="1"/>
  <c r="E1430" i="3"/>
  <c r="D1430" i="3" s="1"/>
  <c r="F1430" i="3" s="1"/>
  <c r="E1431" i="3"/>
  <c r="D1431" i="3" s="1"/>
  <c r="F1431" i="3" s="1"/>
  <c r="E1432" i="3"/>
  <c r="D1432" i="3" s="1"/>
  <c r="F1432" i="3" s="1"/>
  <c r="E1433" i="3"/>
  <c r="D1433" i="3" s="1"/>
  <c r="F1433" i="3" s="1"/>
  <c r="E1434" i="3"/>
  <c r="D1434" i="3" s="1"/>
  <c r="F1434" i="3" s="1"/>
  <c r="E1435" i="3"/>
  <c r="D1435" i="3" s="1"/>
  <c r="F1435" i="3" s="1"/>
  <c r="E1436" i="3"/>
  <c r="D1436" i="3" s="1"/>
  <c r="F1436" i="3" s="1"/>
  <c r="E1437" i="3"/>
  <c r="D1437" i="3" s="1"/>
  <c r="F1437" i="3" s="1"/>
  <c r="E1438" i="3"/>
  <c r="D1438" i="3" s="1"/>
  <c r="F1438" i="3" s="1"/>
  <c r="E1439" i="3"/>
  <c r="D1439" i="3" s="1"/>
  <c r="F1439" i="3" s="1"/>
  <c r="E1440" i="3"/>
  <c r="D1440" i="3" s="1"/>
  <c r="F1440" i="3" s="1"/>
  <c r="E1441" i="3"/>
  <c r="D1441" i="3" s="1"/>
  <c r="F1441" i="3" s="1"/>
  <c r="E1442" i="3"/>
  <c r="D1442" i="3" s="1"/>
  <c r="F1442" i="3" s="1"/>
  <c r="E1443" i="3"/>
  <c r="D1443" i="3" s="1"/>
  <c r="F1443" i="3" s="1"/>
  <c r="E1444" i="3"/>
  <c r="D1444" i="3" s="1"/>
  <c r="F1444" i="3" s="1"/>
  <c r="E1445" i="3"/>
  <c r="D1445" i="3" s="1"/>
  <c r="F1445" i="3" s="1"/>
  <c r="E1446" i="3"/>
  <c r="D1446" i="3" s="1"/>
  <c r="F1446" i="3" s="1"/>
  <c r="E1447" i="3"/>
  <c r="D1447" i="3" s="1"/>
  <c r="F1447" i="3" s="1"/>
  <c r="E1448" i="3"/>
  <c r="D1448" i="3" s="1"/>
  <c r="F1448" i="3" s="1"/>
  <c r="E1449" i="3"/>
  <c r="D1449" i="3" s="1"/>
  <c r="F1449" i="3" s="1"/>
  <c r="E1450" i="3"/>
  <c r="D1450" i="3" s="1"/>
  <c r="F1450" i="3" s="1"/>
  <c r="E1451" i="3"/>
  <c r="D1451" i="3" s="1"/>
  <c r="F1451" i="3" s="1"/>
  <c r="E1452" i="3"/>
  <c r="D1452" i="3" s="1"/>
  <c r="F1452" i="3" s="1"/>
  <c r="E1453" i="3"/>
  <c r="D1453" i="3" s="1"/>
  <c r="F1453" i="3" s="1"/>
  <c r="E1454" i="3"/>
  <c r="D1454" i="3" s="1"/>
  <c r="F1454" i="3" s="1"/>
  <c r="E1455" i="3"/>
  <c r="D1455" i="3" s="1"/>
  <c r="F1455" i="3" s="1"/>
  <c r="E1456" i="3"/>
  <c r="D1456" i="3" s="1"/>
  <c r="F1456" i="3" s="1"/>
  <c r="E1457" i="3"/>
  <c r="D1457" i="3" s="1"/>
  <c r="F1457" i="3" s="1"/>
  <c r="E1458" i="3"/>
  <c r="D1458" i="3" s="1"/>
  <c r="F1458" i="3" s="1"/>
  <c r="E1459" i="3"/>
  <c r="D1459" i="3" s="1"/>
  <c r="F1459" i="3" s="1"/>
  <c r="E1460" i="3"/>
  <c r="D1460" i="3" s="1"/>
  <c r="F1460" i="3" s="1"/>
  <c r="E1461" i="3"/>
  <c r="D1461" i="3" s="1"/>
  <c r="F1461" i="3" s="1"/>
  <c r="E1462" i="3"/>
  <c r="D1462" i="3" s="1"/>
  <c r="F1462" i="3" s="1"/>
  <c r="E1463" i="3"/>
  <c r="D1463" i="3" s="1"/>
  <c r="F1463" i="3" s="1"/>
  <c r="E1464" i="3"/>
  <c r="D1464" i="3" s="1"/>
  <c r="F1464" i="3" s="1"/>
  <c r="E1465" i="3"/>
  <c r="D1465" i="3" s="1"/>
  <c r="F1465" i="3" s="1"/>
  <c r="E1466" i="3"/>
  <c r="D1466" i="3" s="1"/>
  <c r="F1466" i="3" s="1"/>
  <c r="E1467" i="3"/>
  <c r="D1467" i="3" s="1"/>
  <c r="F1467" i="3" s="1"/>
  <c r="E1468" i="3"/>
  <c r="D1468" i="3" s="1"/>
  <c r="F1468" i="3" s="1"/>
  <c r="E1469" i="3"/>
  <c r="D1469" i="3" s="1"/>
  <c r="F1469" i="3" s="1"/>
  <c r="E1470" i="3"/>
  <c r="D1470" i="3" s="1"/>
  <c r="F1470" i="3" s="1"/>
  <c r="E1471" i="3"/>
  <c r="D1471" i="3" s="1"/>
  <c r="F1471" i="3" s="1"/>
  <c r="E1472" i="3"/>
  <c r="D1472" i="3" s="1"/>
  <c r="F1472" i="3" s="1"/>
  <c r="E1473" i="3"/>
  <c r="D1473" i="3" s="1"/>
  <c r="F1473" i="3" s="1"/>
  <c r="E1474" i="3"/>
  <c r="D1474" i="3" s="1"/>
  <c r="F1474" i="3" s="1"/>
  <c r="E1475" i="3"/>
  <c r="D1475" i="3" s="1"/>
  <c r="F1475" i="3" s="1"/>
  <c r="E1476" i="3"/>
  <c r="D1476" i="3" s="1"/>
  <c r="F1476" i="3" s="1"/>
  <c r="E1477" i="3"/>
  <c r="D1477" i="3" s="1"/>
  <c r="F1477" i="3" s="1"/>
  <c r="E1478" i="3"/>
  <c r="D1478" i="3" s="1"/>
  <c r="F1478" i="3" s="1"/>
  <c r="E1479" i="3"/>
  <c r="D1479" i="3" s="1"/>
  <c r="F1479" i="3" s="1"/>
  <c r="E1480" i="3"/>
  <c r="D1480" i="3" s="1"/>
  <c r="F1480" i="3" s="1"/>
  <c r="E1481" i="3"/>
  <c r="D1481" i="3" s="1"/>
  <c r="F1481" i="3" s="1"/>
  <c r="E1482" i="3"/>
  <c r="D1482" i="3" s="1"/>
  <c r="F1482" i="3" s="1"/>
  <c r="E1483" i="3"/>
  <c r="D1483" i="3" s="1"/>
  <c r="F1483" i="3" s="1"/>
  <c r="E1484" i="3"/>
  <c r="D1484" i="3" s="1"/>
  <c r="F1484" i="3" s="1"/>
  <c r="E1485" i="3"/>
  <c r="D1485" i="3" s="1"/>
  <c r="F1485" i="3" s="1"/>
  <c r="E1486" i="3"/>
  <c r="D1486" i="3" s="1"/>
  <c r="F1486" i="3" s="1"/>
  <c r="E1487" i="3"/>
  <c r="D1487" i="3" s="1"/>
  <c r="F1487" i="3" s="1"/>
  <c r="E1488" i="3"/>
  <c r="D1488" i="3" s="1"/>
  <c r="F1488" i="3" s="1"/>
  <c r="E1489" i="3"/>
  <c r="D1489" i="3" s="1"/>
  <c r="F1489" i="3" s="1"/>
  <c r="E1490" i="3"/>
  <c r="D1490" i="3" s="1"/>
  <c r="F1490" i="3" s="1"/>
  <c r="E1491" i="3"/>
  <c r="D1491" i="3" s="1"/>
  <c r="F1491" i="3" s="1"/>
  <c r="E1492" i="3"/>
  <c r="D1492" i="3" s="1"/>
  <c r="F1492" i="3" s="1"/>
  <c r="E1493" i="3"/>
  <c r="D1493" i="3" s="1"/>
  <c r="F1493" i="3" s="1"/>
  <c r="E1494" i="3"/>
  <c r="D1494" i="3" s="1"/>
  <c r="F1494" i="3" s="1"/>
  <c r="E1495" i="3"/>
  <c r="D1495" i="3" s="1"/>
  <c r="F1495" i="3" s="1"/>
  <c r="E1496" i="3"/>
  <c r="D1496" i="3" s="1"/>
  <c r="F1496" i="3" s="1"/>
  <c r="E1497" i="3"/>
  <c r="D1497" i="3" s="1"/>
  <c r="F1497" i="3" s="1"/>
  <c r="E1498" i="3"/>
  <c r="D1498" i="3" s="1"/>
  <c r="F1498" i="3" s="1"/>
  <c r="E1499" i="3"/>
  <c r="D1499" i="3" s="1"/>
  <c r="F1499" i="3" s="1"/>
  <c r="E1500" i="3"/>
  <c r="D1500" i="3" s="1"/>
  <c r="F1500" i="3" s="1"/>
  <c r="E1501" i="3"/>
  <c r="D1501" i="3" s="1"/>
  <c r="F1501" i="3" s="1"/>
  <c r="E1502" i="3"/>
  <c r="D1502" i="3" s="1"/>
  <c r="F1502" i="3" s="1"/>
  <c r="E1503" i="3"/>
  <c r="D1503" i="3" s="1"/>
  <c r="F1503" i="3" s="1"/>
  <c r="E1504" i="3"/>
  <c r="D1504" i="3" s="1"/>
  <c r="F1504" i="3" s="1"/>
  <c r="E1505" i="3"/>
  <c r="D1505" i="3" s="1"/>
  <c r="F1505" i="3" s="1"/>
  <c r="E1506" i="3"/>
  <c r="D1506" i="3" s="1"/>
  <c r="F1506" i="3" s="1"/>
  <c r="E1507" i="3"/>
  <c r="D1507" i="3" s="1"/>
  <c r="F1507" i="3" s="1"/>
  <c r="E1508" i="3"/>
  <c r="D1508" i="3" s="1"/>
  <c r="F1508" i="3" s="1"/>
  <c r="E1509" i="3"/>
  <c r="D1509" i="3" s="1"/>
  <c r="F1509" i="3" s="1"/>
  <c r="E1510" i="3"/>
  <c r="D1510" i="3" s="1"/>
  <c r="F1510" i="3" s="1"/>
  <c r="E1511" i="3"/>
  <c r="D1511" i="3" s="1"/>
  <c r="F1511" i="3" s="1"/>
  <c r="E1512" i="3"/>
  <c r="D1512" i="3" s="1"/>
  <c r="F1512" i="3" s="1"/>
  <c r="E1513" i="3"/>
  <c r="D1513" i="3" s="1"/>
  <c r="F1513" i="3" s="1"/>
  <c r="E1514" i="3"/>
  <c r="D1514" i="3" s="1"/>
  <c r="F1514" i="3" s="1"/>
  <c r="E1515" i="3"/>
  <c r="D1515" i="3" s="1"/>
  <c r="F1515" i="3" s="1"/>
  <c r="E1516" i="3"/>
  <c r="D1516" i="3" s="1"/>
  <c r="F1516" i="3" s="1"/>
  <c r="E1517" i="3"/>
  <c r="D1517" i="3" s="1"/>
  <c r="F1517" i="3" s="1"/>
  <c r="E1518" i="3"/>
  <c r="D1518" i="3" s="1"/>
  <c r="F1518" i="3" s="1"/>
  <c r="E1519" i="3"/>
  <c r="D1519" i="3" s="1"/>
  <c r="F1519" i="3" s="1"/>
  <c r="E1520" i="3"/>
  <c r="D1520" i="3" s="1"/>
  <c r="F1520" i="3" s="1"/>
  <c r="E1521" i="3"/>
  <c r="D1521" i="3" s="1"/>
  <c r="F1521" i="3" s="1"/>
  <c r="E1522" i="3"/>
  <c r="D1522" i="3" s="1"/>
  <c r="F1522" i="3" s="1"/>
  <c r="E1523" i="3"/>
  <c r="D1523" i="3" s="1"/>
  <c r="F1523" i="3" s="1"/>
  <c r="E1524" i="3"/>
  <c r="D1524" i="3" s="1"/>
  <c r="F1524" i="3" s="1"/>
  <c r="E1525" i="3"/>
  <c r="D1525" i="3" s="1"/>
  <c r="F1525" i="3" s="1"/>
  <c r="E1526" i="3"/>
  <c r="D1526" i="3" s="1"/>
  <c r="F1526" i="3" s="1"/>
  <c r="E1527" i="3"/>
  <c r="D1527" i="3" s="1"/>
  <c r="F1527" i="3" s="1"/>
  <c r="E1528" i="3"/>
  <c r="D1528" i="3" s="1"/>
  <c r="F1528" i="3" s="1"/>
  <c r="E1529" i="3"/>
  <c r="D1529" i="3" s="1"/>
  <c r="F1529" i="3" s="1"/>
  <c r="E1530" i="3"/>
  <c r="D1530" i="3" s="1"/>
  <c r="F1530" i="3" s="1"/>
  <c r="E1531" i="3"/>
  <c r="D1531" i="3" s="1"/>
  <c r="F1531" i="3" s="1"/>
  <c r="E1532" i="3"/>
  <c r="D1532" i="3" s="1"/>
  <c r="F1532" i="3" s="1"/>
  <c r="E1533" i="3"/>
  <c r="D1533" i="3" s="1"/>
  <c r="F1533" i="3" s="1"/>
  <c r="E1534" i="3"/>
  <c r="D1534" i="3" s="1"/>
  <c r="F1534" i="3" s="1"/>
  <c r="E1535" i="3"/>
  <c r="D1535" i="3" s="1"/>
  <c r="F1535" i="3" s="1"/>
  <c r="E1536" i="3"/>
  <c r="D1536" i="3" s="1"/>
  <c r="F1536" i="3" s="1"/>
  <c r="E1537" i="3"/>
  <c r="D1537" i="3" s="1"/>
  <c r="F1537" i="3" s="1"/>
  <c r="E1538" i="3"/>
  <c r="D1538" i="3" s="1"/>
  <c r="F1538" i="3" s="1"/>
  <c r="E1539" i="3"/>
  <c r="D1539" i="3" s="1"/>
  <c r="F1539" i="3" s="1"/>
  <c r="E1540" i="3"/>
  <c r="D1540" i="3" s="1"/>
  <c r="F1540" i="3" s="1"/>
  <c r="E1541" i="3"/>
  <c r="D1541" i="3" s="1"/>
  <c r="F1541" i="3" s="1"/>
  <c r="E1542" i="3"/>
  <c r="D1542" i="3" s="1"/>
  <c r="F1542" i="3" s="1"/>
  <c r="E1543" i="3"/>
  <c r="D1543" i="3" s="1"/>
  <c r="F1543" i="3" s="1"/>
  <c r="E1544" i="3"/>
  <c r="D1544" i="3" s="1"/>
  <c r="F1544" i="3" s="1"/>
  <c r="E1545" i="3"/>
  <c r="D1545" i="3" s="1"/>
  <c r="F1545" i="3" s="1"/>
  <c r="E1546" i="3"/>
  <c r="D1546" i="3" s="1"/>
  <c r="F1546" i="3" s="1"/>
  <c r="E1547" i="3"/>
  <c r="D1547" i="3" s="1"/>
  <c r="F1547" i="3" s="1"/>
  <c r="E1548" i="3"/>
  <c r="D1548" i="3" s="1"/>
  <c r="F1548" i="3" s="1"/>
  <c r="E1549" i="3"/>
  <c r="D1549" i="3" s="1"/>
  <c r="F1549" i="3" s="1"/>
  <c r="E1550" i="3"/>
  <c r="D1550" i="3" s="1"/>
  <c r="F1550" i="3" s="1"/>
  <c r="E1551" i="3"/>
  <c r="D1551" i="3" s="1"/>
  <c r="F1551" i="3" s="1"/>
  <c r="E1552" i="3"/>
  <c r="D1552" i="3" s="1"/>
  <c r="F1552" i="3" s="1"/>
  <c r="E1553" i="3"/>
  <c r="D1553" i="3" s="1"/>
  <c r="F1553" i="3" s="1"/>
  <c r="E1554" i="3"/>
  <c r="D1554" i="3" s="1"/>
  <c r="F1554" i="3" s="1"/>
  <c r="E1555" i="3"/>
  <c r="D1555" i="3" s="1"/>
  <c r="F1555" i="3" s="1"/>
  <c r="E1556" i="3"/>
  <c r="D1556" i="3" s="1"/>
  <c r="F1556" i="3" s="1"/>
  <c r="E1557" i="3"/>
  <c r="D1557" i="3" s="1"/>
  <c r="F1557" i="3" s="1"/>
  <c r="E1558" i="3"/>
  <c r="D1558" i="3" s="1"/>
  <c r="F1558" i="3" s="1"/>
  <c r="E1559" i="3"/>
  <c r="D1559" i="3" s="1"/>
  <c r="F1559" i="3" s="1"/>
  <c r="E1560" i="3"/>
  <c r="D1560" i="3" s="1"/>
  <c r="F1560" i="3" s="1"/>
  <c r="E1561" i="3"/>
  <c r="D1561" i="3" s="1"/>
  <c r="F1561" i="3" s="1"/>
  <c r="E1562" i="3"/>
  <c r="D1562" i="3" s="1"/>
  <c r="F1562" i="3" s="1"/>
  <c r="E1563" i="3"/>
  <c r="D1563" i="3" s="1"/>
  <c r="F1563" i="3" s="1"/>
  <c r="E1564" i="3"/>
  <c r="D1564" i="3" s="1"/>
  <c r="F1564" i="3" s="1"/>
  <c r="E1565" i="3"/>
  <c r="D1565" i="3" s="1"/>
  <c r="F1565" i="3" s="1"/>
  <c r="E1566" i="3"/>
  <c r="D1566" i="3" s="1"/>
  <c r="F1566" i="3" s="1"/>
  <c r="E1567" i="3"/>
  <c r="D1567" i="3" s="1"/>
  <c r="F1567" i="3" s="1"/>
  <c r="E1568" i="3"/>
  <c r="D1568" i="3" s="1"/>
  <c r="F1568" i="3" s="1"/>
  <c r="E1569" i="3"/>
  <c r="D1569" i="3" s="1"/>
  <c r="F1569" i="3" s="1"/>
  <c r="E1570" i="3"/>
  <c r="D1570" i="3" s="1"/>
  <c r="F1570" i="3" s="1"/>
  <c r="E1571" i="3"/>
  <c r="D1571" i="3" s="1"/>
  <c r="F1571" i="3" s="1"/>
  <c r="E1572" i="3"/>
  <c r="D1572" i="3" s="1"/>
  <c r="F1572" i="3" s="1"/>
  <c r="E1573" i="3"/>
  <c r="D1573" i="3" s="1"/>
  <c r="F1573" i="3" s="1"/>
  <c r="E1574" i="3"/>
  <c r="D1574" i="3" s="1"/>
  <c r="F1574" i="3" s="1"/>
  <c r="E1575" i="3"/>
  <c r="D1575" i="3" s="1"/>
  <c r="F1575" i="3" s="1"/>
  <c r="E1576" i="3"/>
  <c r="D1576" i="3" s="1"/>
  <c r="F1576" i="3" s="1"/>
  <c r="E1577" i="3"/>
  <c r="D1577" i="3" s="1"/>
  <c r="F1577" i="3" s="1"/>
  <c r="E1578" i="3"/>
  <c r="D1578" i="3" s="1"/>
  <c r="F1578" i="3" s="1"/>
  <c r="E1579" i="3"/>
  <c r="D1579" i="3" s="1"/>
  <c r="F1579" i="3" s="1"/>
  <c r="E1580" i="3"/>
  <c r="D1580" i="3" s="1"/>
  <c r="F1580" i="3" s="1"/>
  <c r="E1581" i="3"/>
  <c r="D1581" i="3" s="1"/>
  <c r="F1581" i="3" s="1"/>
  <c r="E1582" i="3"/>
  <c r="D1582" i="3" s="1"/>
  <c r="F1582" i="3" s="1"/>
  <c r="E1583" i="3"/>
  <c r="D1583" i="3" s="1"/>
  <c r="F1583" i="3" s="1"/>
  <c r="E1584" i="3"/>
  <c r="D1584" i="3" s="1"/>
  <c r="F1584" i="3" s="1"/>
  <c r="E1585" i="3"/>
  <c r="D1585" i="3" s="1"/>
  <c r="F1585" i="3" s="1"/>
  <c r="E1586" i="3"/>
  <c r="D1586" i="3" s="1"/>
  <c r="F1586" i="3" s="1"/>
  <c r="E1587" i="3"/>
  <c r="D1587" i="3" s="1"/>
  <c r="F1587" i="3" s="1"/>
  <c r="E1588" i="3"/>
  <c r="D1588" i="3" s="1"/>
  <c r="F1588" i="3" s="1"/>
  <c r="E1589" i="3"/>
  <c r="D1589" i="3" s="1"/>
  <c r="F1589" i="3" s="1"/>
  <c r="E1590" i="3"/>
  <c r="D1590" i="3" s="1"/>
  <c r="F1590" i="3" s="1"/>
  <c r="E1591" i="3"/>
  <c r="D1591" i="3" s="1"/>
  <c r="F1591" i="3" s="1"/>
  <c r="E1592" i="3"/>
  <c r="D1592" i="3" s="1"/>
  <c r="F1592" i="3" s="1"/>
  <c r="E1593" i="3"/>
  <c r="D1593" i="3" s="1"/>
  <c r="F1593" i="3" s="1"/>
  <c r="E1594" i="3"/>
  <c r="D1594" i="3" s="1"/>
  <c r="F1594" i="3" s="1"/>
  <c r="E1595" i="3"/>
  <c r="D1595" i="3" s="1"/>
  <c r="F1595" i="3" s="1"/>
  <c r="E1596" i="3"/>
  <c r="D1596" i="3" s="1"/>
  <c r="F1596" i="3" s="1"/>
  <c r="E1597" i="3"/>
  <c r="D1597" i="3" s="1"/>
  <c r="F1597" i="3" s="1"/>
  <c r="E1598" i="3"/>
  <c r="D1598" i="3" s="1"/>
  <c r="F1598" i="3" s="1"/>
  <c r="E1599" i="3"/>
  <c r="D1599" i="3" s="1"/>
  <c r="F1599" i="3" s="1"/>
  <c r="E1600" i="3"/>
  <c r="D1600" i="3" s="1"/>
  <c r="F1600" i="3" s="1"/>
  <c r="E1601" i="3"/>
  <c r="D1601" i="3" s="1"/>
  <c r="F1601" i="3" s="1"/>
  <c r="E1602" i="3"/>
  <c r="D1602" i="3" s="1"/>
  <c r="F1602" i="3" s="1"/>
  <c r="E1603" i="3"/>
  <c r="D1603" i="3" s="1"/>
  <c r="F1603" i="3" s="1"/>
  <c r="E1604" i="3"/>
  <c r="D1604" i="3" s="1"/>
  <c r="F1604" i="3" s="1"/>
  <c r="E1605" i="3"/>
  <c r="D1605" i="3" s="1"/>
  <c r="F1605" i="3" s="1"/>
  <c r="E1606" i="3"/>
  <c r="D1606" i="3" s="1"/>
  <c r="F1606" i="3" s="1"/>
  <c r="E1607" i="3"/>
  <c r="D1607" i="3" s="1"/>
  <c r="F1607" i="3" s="1"/>
  <c r="E1608" i="3"/>
  <c r="D1608" i="3" s="1"/>
  <c r="F1608" i="3" s="1"/>
  <c r="E1609" i="3"/>
  <c r="D1609" i="3" s="1"/>
  <c r="F1609" i="3" s="1"/>
  <c r="E1610" i="3"/>
  <c r="D1610" i="3" s="1"/>
  <c r="F1610" i="3" s="1"/>
  <c r="E1611" i="3"/>
  <c r="D1611" i="3" s="1"/>
  <c r="F1611" i="3" s="1"/>
  <c r="E1612" i="3"/>
  <c r="D1612" i="3" s="1"/>
  <c r="F1612" i="3" s="1"/>
  <c r="E1613" i="3"/>
  <c r="D1613" i="3" s="1"/>
  <c r="F1613" i="3" s="1"/>
  <c r="E1614" i="3"/>
  <c r="D1614" i="3" s="1"/>
  <c r="F1614" i="3" s="1"/>
  <c r="E1615" i="3"/>
  <c r="D1615" i="3" s="1"/>
  <c r="F1615" i="3" s="1"/>
  <c r="E1616" i="3"/>
  <c r="D1616" i="3" s="1"/>
  <c r="F1616" i="3" s="1"/>
  <c r="E1617" i="3"/>
  <c r="D1617" i="3" s="1"/>
  <c r="F1617" i="3" s="1"/>
  <c r="E1618" i="3"/>
  <c r="D1618" i="3" s="1"/>
  <c r="F1618" i="3" s="1"/>
  <c r="E1619" i="3"/>
  <c r="D1619" i="3" s="1"/>
  <c r="F1619" i="3" s="1"/>
  <c r="E1620" i="3"/>
  <c r="D1620" i="3" s="1"/>
  <c r="F1620" i="3" s="1"/>
  <c r="E1621" i="3"/>
  <c r="D1621" i="3" s="1"/>
  <c r="F1621" i="3" s="1"/>
  <c r="E1622" i="3"/>
  <c r="D1622" i="3" s="1"/>
  <c r="F1622" i="3" s="1"/>
  <c r="E1623" i="3"/>
  <c r="D1623" i="3" s="1"/>
  <c r="F1623" i="3" s="1"/>
  <c r="E1624" i="3"/>
  <c r="D1624" i="3" s="1"/>
  <c r="F1624" i="3" s="1"/>
  <c r="E1625" i="3"/>
  <c r="D1625" i="3" s="1"/>
  <c r="F1625" i="3" s="1"/>
  <c r="E1626" i="3"/>
  <c r="D1626" i="3" s="1"/>
  <c r="F1626" i="3" s="1"/>
  <c r="E1627" i="3"/>
  <c r="D1627" i="3" s="1"/>
  <c r="F1627" i="3" s="1"/>
  <c r="E1628" i="3"/>
  <c r="D1628" i="3" s="1"/>
  <c r="F1628" i="3" s="1"/>
  <c r="E1629" i="3"/>
  <c r="D1629" i="3" s="1"/>
  <c r="F1629" i="3" s="1"/>
  <c r="E1630" i="3"/>
  <c r="D1630" i="3" s="1"/>
  <c r="F1630" i="3" s="1"/>
  <c r="E1631" i="3"/>
  <c r="D1631" i="3" s="1"/>
  <c r="F1631" i="3" s="1"/>
  <c r="E1632" i="3"/>
  <c r="D1632" i="3" s="1"/>
  <c r="F1632" i="3" s="1"/>
  <c r="E1633" i="3"/>
  <c r="D1633" i="3" s="1"/>
  <c r="F1633" i="3" s="1"/>
  <c r="E1634" i="3"/>
  <c r="D1634" i="3" s="1"/>
  <c r="F1634" i="3" s="1"/>
  <c r="E1635" i="3"/>
  <c r="D1635" i="3" s="1"/>
  <c r="F1635" i="3" s="1"/>
  <c r="E1636" i="3"/>
  <c r="D1636" i="3" s="1"/>
  <c r="F1636" i="3" s="1"/>
  <c r="E1637" i="3"/>
  <c r="D1637" i="3" s="1"/>
  <c r="F1637" i="3" s="1"/>
  <c r="E1638" i="3"/>
  <c r="D1638" i="3" s="1"/>
  <c r="F1638" i="3" s="1"/>
  <c r="E1639" i="3"/>
  <c r="D1639" i="3" s="1"/>
  <c r="F1639" i="3" s="1"/>
  <c r="E1640" i="3"/>
  <c r="D1640" i="3" s="1"/>
  <c r="F1640" i="3" s="1"/>
  <c r="E1641" i="3"/>
  <c r="D1641" i="3" s="1"/>
  <c r="F1641" i="3" s="1"/>
  <c r="E1642" i="3"/>
  <c r="D1642" i="3" s="1"/>
  <c r="F1642" i="3" s="1"/>
  <c r="E1643" i="3"/>
  <c r="D1643" i="3" s="1"/>
  <c r="F1643" i="3" s="1"/>
  <c r="E1644" i="3"/>
  <c r="D1644" i="3" s="1"/>
  <c r="F1644" i="3" s="1"/>
  <c r="E1645" i="3"/>
  <c r="D1645" i="3" s="1"/>
  <c r="F1645" i="3" s="1"/>
  <c r="E1646" i="3"/>
  <c r="D1646" i="3" s="1"/>
  <c r="F1646" i="3" s="1"/>
  <c r="E1647" i="3"/>
  <c r="D1647" i="3" s="1"/>
  <c r="F1647" i="3" s="1"/>
  <c r="E1648" i="3"/>
  <c r="D1648" i="3" s="1"/>
  <c r="F1648" i="3" s="1"/>
  <c r="E1649" i="3"/>
  <c r="D1649" i="3" s="1"/>
  <c r="F1649" i="3" s="1"/>
  <c r="E1650" i="3"/>
  <c r="D1650" i="3" s="1"/>
  <c r="F1650" i="3" s="1"/>
  <c r="E1651" i="3"/>
  <c r="D1651" i="3" s="1"/>
  <c r="F1651" i="3" s="1"/>
  <c r="E1652" i="3"/>
  <c r="D1652" i="3" s="1"/>
  <c r="F1652" i="3" s="1"/>
  <c r="E1653" i="3"/>
  <c r="D1653" i="3" s="1"/>
  <c r="F1653" i="3" s="1"/>
  <c r="E1654" i="3"/>
  <c r="D1654" i="3" s="1"/>
  <c r="F1654" i="3" s="1"/>
  <c r="E1655" i="3"/>
  <c r="D1655" i="3" s="1"/>
  <c r="F1655" i="3" s="1"/>
  <c r="E1656" i="3"/>
  <c r="D1656" i="3" s="1"/>
  <c r="F1656" i="3" s="1"/>
  <c r="E1657" i="3"/>
  <c r="D1657" i="3" s="1"/>
  <c r="F1657" i="3" s="1"/>
  <c r="E1658" i="3"/>
  <c r="D1658" i="3" s="1"/>
  <c r="F1658" i="3" s="1"/>
  <c r="E1659" i="3"/>
  <c r="D1659" i="3" s="1"/>
  <c r="F1659" i="3" s="1"/>
  <c r="E1660" i="3"/>
  <c r="D1660" i="3" s="1"/>
  <c r="F1660" i="3" s="1"/>
  <c r="E1661" i="3"/>
  <c r="D1661" i="3" s="1"/>
  <c r="F1661" i="3" s="1"/>
  <c r="E1662" i="3"/>
  <c r="D1662" i="3" s="1"/>
  <c r="F1662" i="3" s="1"/>
  <c r="E1663" i="3"/>
  <c r="D1663" i="3" s="1"/>
  <c r="F1663" i="3" s="1"/>
  <c r="E1664" i="3"/>
  <c r="D1664" i="3" s="1"/>
  <c r="F1664" i="3" s="1"/>
  <c r="E1665" i="3"/>
  <c r="D1665" i="3" s="1"/>
  <c r="F1665" i="3" s="1"/>
  <c r="E1666" i="3"/>
  <c r="D1666" i="3" s="1"/>
  <c r="F1666" i="3" s="1"/>
  <c r="E1667" i="3"/>
  <c r="D1667" i="3" s="1"/>
  <c r="F1667" i="3" s="1"/>
  <c r="E1668" i="3"/>
  <c r="D1668" i="3" s="1"/>
  <c r="F1668" i="3" s="1"/>
  <c r="E1669" i="3"/>
  <c r="D1669" i="3" s="1"/>
  <c r="F1669" i="3" s="1"/>
  <c r="E1670" i="3"/>
  <c r="D1670" i="3" s="1"/>
  <c r="F1670" i="3" s="1"/>
  <c r="E1671" i="3"/>
  <c r="D1671" i="3" s="1"/>
  <c r="F1671" i="3" s="1"/>
  <c r="E1672" i="3"/>
  <c r="D1672" i="3" s="1"/>
  <c r="F1672" i="3" s="1"/>
  <c r="E1673" i="3"/>
  <c r="D1673" i="3" s="1"/>
  <c r="F1673" i="3" s="1"/>
  <c r="E1674" i="3"/>
  <c r="D1674" i="3" s="1"/>
  <c r="F1674" i="3" s="1"/>
  <c r="E1675" i="3"/>
  <c r="D1675" i="3" s="1"/>
  <c r="F1675" i="3" s="1"/>
  <c r="E1676" i="3"/>
  <c r="D1676" i="3" s="1"/>
  <c r="F1676" i="3" s="1"/>
  <c r="E1677" i="3"/>
  <c r="D1677" i="3" s="1"/>
  <c r="F1677" i="3" s="1"/>
  <c r="E1678" i="3"/>
  <c r="D1678" i="3" s="1"/>
  <c r="F1678" i="3" s="1"/>
  <c r="E1679" i="3"/>
  <c r="D1679" i="3" s="1"/>
  <c r="F1679" i="3" s="1"/>
  <c r="E1680" i="3"/>
  <c r="D1680" i="3" s="1"/>
  <c r="F1680" i="3" s="1"/>
  <c r="E1681" i="3"/>
  <c r="D1681" i="3" s="1"/>
  <c r="F1681" i="3" s="1"/>
  <c r="E1682" i="3"/>
  <c r="D1682" i="3" s="1"/>
  <c r="F1682" i="3" s="1"/>
  <c r="E1683" i="3"/>
  <c r="D1683" i="3" s="1"/>
  <c r="F1683" i="3" s="1"/>
  <c r="E1684" i="3"/>
  <c r="D1684" i="3" s="1"/>
  <c r="F1684" i="3" s="1"/>
  <c r="E1685" i="3"/>
  <c r="D1685" i="3" s="1"/>
  <c r="F1685" i="3" s="1"/>
  <c r="E1686" i="3"/>
  <c r="D1686" i="3" s="1"/>
  <c r="F1686" i="3" s="1"/>
  <c r="E1687" i="3"/>
  <c r="D1687" i="3" s="1"/>
  <c r="F1687" i="3" s="1"/>
  <c r="E1688" i="3"/>
  <c r="D1688" i="3" s="1"/>
  <c r="F1688" i="3" s="1"/>
  <c r="E1689" i="3"/>
  <c r="D1689" i="3" s="1"/>
  <c r="F1689" i="3" s="1"/>
  <c r="E1690" i="3"/>
  <c r="D1690" i="3" s="1"/>
  <c r="F1690" i="3" s="1"/>
  <c r="E1691" i="3"/>
  <c r="D1691" i="3" s="1"/>
  <c r="F1691" i="3" s="1"/>
  <c r="E1692" i="3"/>
  <c r="D1692" i="3" s="1"/>
  <c r="F1692" i="3" s="1"/>
  <c r="E1693" i="3"/>
  <c r="D1693" i="3" s="1"/>
  <c r="F1693" i="3" s="1"/>
  <c r="E1694" i="3"/>
  <c r="D1694" i="3" s="1"/>
  <c r="F1694" i="3" s="1"/>
  <c r="E1695" i="3"/>
  <c r="D1695" i="3" s="1"/>
  <c r="F1695" i="3" s="1"/>
  <c r="E1696" i="3"/>
  <c r="D1696" i="3" s="1"/>
  <c r="F1696" i="3" s="1"/>
  <c r="E1697" i="3"/>
  <c r="D1697" i="3" s="1"/>
  <c r="F1697" i="3" s="1"/>
  <c r="E1698" i="3"/>
  <c r="D1698" i="3" s="1"/>
  <c r="F1698" i="3" s="1"/>
  <c r="E1699" i="3"/>
  <c r="D1699" i="3" s="1"/>
  <c r="F1699" i="3" s="1"/>
  <c r="E1700" i="3"/>
  <c r="D1700" i="3" s="1"/>
  <c r="F1700" i="3" s="1"/>
  <c r="E1701" i="3"/>
  <c r="D1701" i="3" s="1"/>
  <c r="F1701" i="3" s="1"/>
  <c r="E1702" i="3"/>
  <c r="D1702" i="3" s="1"/>
  <c r="F1702" i="3" s="1"/>
  <c r="E1703" i="3"/>
  <c r="D1703" i="3" s="1"/>
  <c r="F1703" i="3" s="1"/>
  <c r="E1704" i="3"/>
  <c r="D1704" i="3" s="1"/>
  <c r="F1704" i="3" s="1"/>
  <c r="E1705" i="3"/>
  <c r="D1705" i="3" s="1"/>
  <c r="F1705" i="3" s="1"/>
  <c r="E1706" i="3"/>
  <c r="D1706" i="3" s="1"/>
  <c r="F1706" i="3" s="1"/>
  <c r="E1707" i="3"/>
  <c r="D1707" i="3" s="1"/>
  <c r="F1707" i="3" s="1"/>
  <c r="E1708" i="3"/>
  <c r="D1708" i="3" s="1"/>
  <c r="F1708" i="3" s="1"/>
  <c r="E1709" i="3"/>
  <c r="D1709" i="3" s="1"/>
  <c r="F1709" i="3" s="1"/>
  <c r="E1710" i="3"/>
  <c r="D1710" i="3" s="1"/>
  <c r="F1710" i="3" s="1"/>
  <c r="E1711" i="3"/>
  <c r="D1711" i="3" s="1"/>
  <c r="F1711" i="3" s="1"/>
  <c r="E1712" i="3"/>
  <c r="D1712" i="3" s="1"/>
  <c r="F1712" i="3" s="1"/>
  <c r="E1713" i="3"/>
  <c r="D1713" i="3" s="1"/>
  <c r="F1713" i="3" s="1"/>
  <c r="E1714" i="3"/>
  <c r="D1714" i="3" s="1"/>
  <c r="F1714" i="3" s="1"/>
  <c r="E1715" i="3"/>
  <c r="D1715" i="3" s="1"/>
  <c r="F1715" i="3" s="1"/>
  <c r="E1716" i="3"/>
  <c r="D1716" i="3" s="1"/>
  <c r="F1716" i="3" s="1"/>
  <c r="E1717" i="3"/>
  <c r="D1717" i="3" s="1"/>
  <c r="F1717" i="3" s="1"/>
  <c r="E1718" i="3"/>
  <c r="D1718" i="3" s="1"/>
  <c r="F1718" i="3" s="1"/>
  <c r="E1719" i="3"/>
  <c r="D1719" i="3" s="1"/>
  <c r="F1719" i="3" s="1"/>
  <c r="E1720" i="3"/>
  <c r="D1720" i="3" s="1"/>
  <c r="F1720" i="3" s="1"/>
  <c r="E1721" i="3"/>
  <c r="D1721" i="3" s="1"/>
  <c r="F1721" i="3" s="1"/>
  <c r="E1722" i="3"/>
  <c r="D1722" i="3" s="1"/>
  <c r="F1722" i="3" s="1"/>
  <c r="E1723" i="3"/>
  <c r="D1723" i="3" s="1"/>
  <c r="F1723" i="3" s="1"/>
  <c r="E1724" i="3"/>
  <c r="D1724" i="3" s="1"/>
  <c r="F1724" i="3" s="1"/>
  <c r="E1725" i="3"/>
  <c r="D1725" i="3" s="1"/>
  <c r="F1725" i="3" s="1"/>
  <c r="E1726" i="3"/>
  <c r="D1726" i="3" s="1"/>
  <c r="F1726" i="3" s="1"/>
  <c r="E1727" i="3"/>
  <c r="D1727" i="3" s="1"/>
  <c r="F1727" i="3" s="1"/>
  <c r="E1728" i="3"/>
  <c r="D1728" i="3" s="1"/>
  <c r="F1728" i="3" s="1"/>
  <c r="E1729" i="3"/>
  <c r="D1729" i="3" s="1"/>
  <c r="F1729" i="3" s="1"/>
  <c r="E1730" i="3"/>
  <c r="D1730" i="3" s="1"/>
  <c r="F1730" i="3" s="1"/>
  <c r="E1731" i="3"/>
  <c r="D1731" i="3" s="1"/>
  <c r="F1731" i="3" s="1"/>
  <c r="E1732" i="3"/>
  <c r="D1732" i="3" s="1"/>
  <c r="F1732" i="3" s="1"/>
  <c r="E1733" i="3"/>
  <c r="D1733" i="3" s="1"/>
  <c r="F1733" i="3" s="1"/>
  <c r="E1734" i="3"/>
  <c r="D1734" i="3" s="1"/>
  <c r="F1734" i="3" s="1"/>
  <c r="E1735" i="3"/>
  <c r="D1735" i="3" s="1"/>
  <c r="F1735" i="3" s="1"/>
  <c r="E1736" i="3"/>
  <c r="D1736" i="3" s="1"/>
  <c r="F1736" i="3" s="1"/>
  <c r="E1737" i="3"/>
  <c r="D1737" i="3" s="1"/>
  <c r="F1737" i="3" s="1"/>
  <c r="E1738" i="3"/>
  <c r="D1738" i="3" s="1"/>
  <c r="F1738" i="3" s="1"/>
  <c r="E1739" i="3"/>
  <c r="D1739" i="3" s="1"/>
  <c r="F1739" i="3" s="1"/>
  <c r="E1740" i="3"/>
  <c r="D1740" i="3" s="1"/>
  <c r="F1740" i="3" s="1"/>
  <c r="E1741" i="3"/>
  <c r="D1741" i="3" s="1"/>
  <c r="F1741" i="3" s="1"/>
  <c r="E1742" i="3"/>
  <c r="D1742" i="3" s="1"/>
  <c r="F1742" i="3" s="1"/>
  <c r="E1743" i="3"/>
  <c r="D1743" i="3" s="1"/>
  <c r="F1743" i="3" s="1"/>
  <c r="E1744" i="3"/>
  <c r="D1744" i="3" s="1"/>
  <c r="F1744" i="3" s="1"/>
  <c r="E1745" i="3"/>
  <c r="D1745" i="3" s="1"/>
  <c r="F1745" i="3" s="1"/>
  <c r="E1746" i="3"/>
  <c r="D1746" i="3" s="1"/>
  <c r="F1746" i="3" s="1"/>
  <c r="E1747" i="3"/>
  <c r="D1747" i="3" s="1"/>
  <c r="F1747" i="3" s="1"/>
  <c r="E1748" i="3"/>
  <c r="D1748" i="3" s="1"/>
  <c r="F1748" i="3" s="1"/>
  <c r="E1749" i="3"/>
  <c r="D1749" i="3" s="1"/>
  <c r="F1749" i="3" s="1"/>
  <c r="E1750" i="3"/>
  <c r="D1750" i="3" s="1"/>
  <c r="F1750" i="3" s="1"/>
  <c r="E1751" i="3"/>
  <c r="D1751" i="3" s="1"/>
  <c r="F1751" i="3" s="1"/>
  <c r="E1752" i="3"/>
  <c r="D1752" i="3" s="1"/>
  <c r="F1752" i="3" s="1"/>
  <c r="E1753" i="3"/>
  <c r="D1753" i="3" s="1"/>
  <c r="F1753" i="3" s="1"/>
  <c r="E1754" i="3"/>
  <c r="D1754" i="3" s="1"/>
  <c r="F1754" i="3" s="1"/>
  <c r="E1755" i="3"/>
  <c r="D1755" i="3" s="1"/>
  <c r="F1755" i="3" s="1"/>
  <c r="E1756" i="3"/>
  <c r="D1756" i="3" s="1"/>
  <c r="F1756" i="3" s="1"/>
  <c r="E1757" i="3"/>
  <c r="D1757" i="3" s="1"/>
  <c r="F1757" i="3" s="1"/>
  <c r="E1758" i="3"/>
  <c r="D1758" i="3" s="1"/>
  <c r="F1758" i="3" s="1"/>
  <c r="E1759" i="3"/>
  <c r="D1759" i="3" s="1"/>
  <c r="F1759" i="3" s="1"/>
  <c r="E1760" i="3"/>
  <c r="D1760" i="3" s="1"/>
  <c r="F1760" i="3" s="1"/>
  <c r="E1761" i="3"/>
  <c r="D1761" i="3" s="1"/>
  <c r="F1761" i="3" s="1"/>
  <c r="E1762" i="3"/>
  <c r="D1762" i="3" s="1"/>
  <c r="F1762" i="3" s="1"/>
  <c r="E1763" i="3"/>
  <c r="D1763" i="3" s="1"/>
  <c r="F1763" i="3" s="1"/>
  <c r="E1764" i="3"/>
  <c r="D1764" i="3" s="1"/>
  <c r="F1764" i="3" s="1"/>
  <c r="E1765" i="3"/>
  <c r="D1765" i="3" s="1"/>
  <c r="F1765" i="3" s="1"/>
  <c r="E1766" i="3"/>
  <c r="D1766" i="3" s="1"/>
  <c r="F1766" i="3" s="1"/>
  <c r="E1767" i="3"/>
  <c r="D1767" i="3" s="1"/>
  <c r="F1767" i="3" s="1"/>
  <c r="E1768" i="3"/>
  <c r="D1768" i="3" s="1"/>
  <c r="F1768" i="3" s="1"/>
  <c r="E1769" i="3"/>
  <c r="D1769" i="3" s="1"/>
  <c r="F1769" i="3" s="1"/>
  <c r="E1770" i="3"/>
  <c r="D1770" i="3" s="1"/>
  <c r="F1770" i="3" s="1"/>
  <c r="E1771" i="3"/>
  <c r="D1771" i="3" s="1"/>
  <c r="F1771" i="3" s="1"/>
  <c r="E1772" i="3"/>
  <c r="D1772" i="3" s="1"/>
  <c r="F1772" i="3" s="1"/>
  <c r="E1773" i="3"/>
  <c r="D1773" i="3" s="1"/>
  <c r="F1773" i="3" s="1"/>
  <c r="E1774" i="3"/>
  <c r="D1774" i="3" s="1"/>
  <c r="F1774" i="3" s="1"/>
  <c r="E1775" i="3"/>
  <c r="D1775" i="3" s="1"/>
  <c r="F1775" i="3" s="1"/>
  <c r="E1776" i="3"/>
  <c r="D1776" i="3" s="1"/>
  <c r="F1776" i="3" s="1"/>
  <c r="E1777" i="3"/>
  <c r="D1777" i="3" s="1"/>
  <c r="F1777" i="3" s="1"/>
  <c r="E1778" i="3"/>
  <c r="D1778" i="3" s="1"/>
  <c r="F1778" i="3" s="1"/>
  <c r="E1779" i="3"/>
  <c r="D1779" i="3" s="1"/>
  <c r="F1779" i="3" s="1"/>
  <c r="E1780" i="3"/>
  <c r="D1780" i="3" s="1"/>
  <c r="F1780" i="3" s="1"/>
  <c r="E1781" i="3"/>
  <c r="D1781" i="3" s="1"/>
  <c r="F1781" i="3" s="1"/>
  <c r="E1782" i="3"/>
  <c r="D1782" i="3" s="1"/>
  <c r="F1782" i="3" s="1"/>
  <c r="E1783" i="3"/>
  <c r="D1783" i="3" s="1"/>
  <c r="F1783" i="3" s="1"/>
  <c r="E1784" i="3"/>
  <c r="D1784" i="3" s="1"/>
  <c r="F1784" i="3" s="1"/>
  <c r="E1785" i="3"/>
  <c r="D1785" i="3" s="1"/>
  <c r="F1785" i="3" s="1"/>
  <c r="E1786" i="3"/>
  <c r="D1786" i="3" s="1"/>
  <c r="F1786" i="3" s="1"/>
  <c r="E1787" i="3"/>
  <c r="D1787" i="3" s="1"/>
  <c r="F1787" i="3" s="1"/>
  <c r="E1788" i="3"/>
  <c r="D1788" i="3" s="1"/>
  <c r="F1788" i="3" s="1"/>
  <c r="E1789" i="3"/>
  <c r="D1789" i="3" s="1"/>
  <c r="F1789" i="3" s="1"/>
  <c r="E1790" i="3"/>
  <c r="D1790" i="3" s="1"/>
  <c r="F1790" i="3" s="1"/>
  <c r="E1791" i="3"/>
  <c r="D1791" i="3" s="1"/>
  <c r="F1791" i="3" s="1"/>
  <c r="E1792" i="3"/>
  <c r="D1792" i="3" s="1"/>
  <c r="F1792" i="3" s="1"/>
  <c r="E1793" i="3"/>
  <c r="D1793" i="3" s="1"/>
  <c r="F1793" i="3" s="1"/>
  <c r="E1794" i="3"/>
  <c r="D1794" i="3" s="1"/>
  <c r="F1794" i="3" s="1"/>
  <c r="E1795" i="3"/>
  <c r="D1795" i="3" s="1"/>
  <c r="F1795" i="3" s="1"/>
  <c r="E1796" i="3"/>
  <c r="D1796" i="3" s="1"/>
  <c r="F1796" i="3" s="1"/>
  <c r="E1797" i="3"/>
  <c r="D1797" i="3" s="1"/>
  <c r="F1797" i="3" s="1"/>
  <c r="E1798" i="3"/>
  <c r="D1798" i="3" s="1"/>
  <c r="F1798" i="3" s="1"/>
  <c r="E1799" i="3"/>
  <c r="D1799" i="3" s="1"/>
  <c r="F1799" i="3" s="1"/>
  <c r="E1800" i="3"/>
  <c r="D1800" i="3" s="1"/>
  <c r="F1800" i="3" s="1"/>
  <c r="E1801" i="3"/>
  <c r="D1801" i="3" s="1"/>
  <c r="F1801" i="3" s="1"/>
  <c r="E1802" i="3"/>
  <c r="D1802" i="3" s="1"/>
  <c r="F1802" i="3" s="1"/>
  <c r="E1803" i="3"/>
  <c r="D1803" i="3" s="1"/>
  <c r="F1803" i="3" s="1"/>
  <c r="E1804" i="3"/>
  <c r="D1804" i="3" s="1"/>
  <c r="F1804" i="3" s="1"/>
  <c r="E1805" i="3"/>
  <c r="D1805" i="3" s="1"/>
  <c r="F1805" i="3" s="1"/>
  <c r="E1806" i="3"/>
  <c r="D1806" i="3" s="1"/>
  <c r="F1806" i="3" s="1"/>
  <c r="E1807" i="3"/>
  <c r="D1807" i="3" s="1"/>
  <c r="F1807" i="3" s="1"/>
  <c r="E1808" i="3"/>
  <c r="D1808" i="3" s="1"/>
  <c r="F1808" i="3" s="1"/>
  <c r="E1809" i="3"/>
  <c r="D1809" i="3" s="1"/>
  <c r="F1809" i="3" s="1"/>
  <c r="E1810" i="3"/>
  <c r="D1810" i="3" s="1"/>
  <c r="F1810" i="3" s="1"/>
  <c r="E1811" i="3"/>
  <c r="D1811" i="3" s="1"/>
  <c r="F1811" i="3" s="1"/>
  <c r="E1812" i="3"/>
  <c r="D1812" i="3" s="1"/>
  <c r="F1812" i="3" s="1"/>
  <c r="E1813" i="3"/>
  <c r="D1813" i="3" s="1"/>
  <c r="F1813" i="3" s="1"/>
  <c r="E1814" i="3"/>
  <c r="D1814" i="3" s="1"/>
  <c r="F1814" i="3" s="1"/>
  <c r="E1815" i="3"/>
  <c r="D1815" i="3" s="1"/>
  <c r="F1815" i="3" s="1"/>
  <c r="E1816" i="3"/>
  <c r="D1816" i="3" s="1"/>
  <c r="F1816" i="3" s="1"/>
  <c r="E1817" i="3"/>
  <c r="D1817" i="3" s="1"/>
  <c r="F1817" i="3" s="1"/>
  <c r="E1818" i="3"/>
  <c r="D1818" i="3" s="1"/>
  <c r="F1818" i="3" s="1"/>
  <c r="E1819" i="3"/>
  <c r="D1819" i="3" s="1"/>
  <c r="F1819" i="3" s="1"/>
  <c r="E1820" i="3"/>
  <c r="D1820" i="3" s="1"/>
  <c r="F1820" i="3" s="1"/>
  <c r="E1821" i="3"/>
  <c r="D1821" i="3" s="1"/>
  <c r="F1821" i="3" s="1"/>
  <c r="E1822" i="3"/>
  <c r="D1822" i="3" s="1"/>
  <c r="F1822" i="3" s="1"/>
  <c r="E1823" i="3"/>
  <c r="D1823" i="3" s="1"/>
  <c r="F1823" i="3" s="1"/>
  <c r="E1824" i="3"/>
  <c r="D1824" i="3" s="1"/>
  <c r="F1824" i="3" s="1"/>
  <c r="E1825" i="3"/>
  <c r="D1825" i="3" s="1"/>
  <c r="F1825" i="3" s="1"/>
  <c r="E1826" i="3"/>
  <c r="D1826" i="3" s="1"/>
  <c r="F1826" i="3" s="1"/>
  <c r="E1827" i="3"/>
  <c r="D1827" i="3" s="1"/>
  <c r="F1827" i="3" s="1"/>
  <c r="E1828" i="3"/>
  <c r="D1828" i="3" s="1"/>
  <c r="F1828" i="3" s="1"/>
  <c r="E1829" i="3"/>
  <c r="D1829" i="3" s="1"/>
  <c r="F1829" i="3" s="1"/>
  <c r="E1830" i="3"/>
  <c r="D1830" i="3" s="1"/>
  <c r="F1830" i="3" s="1"/>
  <c r="E1831" i="3"/>
  <c r="D1831" i="3" s="1"/>
  <c r="F1831" i="3" s="1"/>
  <c r="E1832" i="3"/>
  <c r="D1832" i="3" s="1"/>
  <c r="F1832" i="3" s="1"/>
  <c r="E1833" i="3"/>
  <c r="D1833" i="3" s="1"/>
  <c r="F1833" i="3" s="1"/>
  <c r="E1834" i="3"/>
  <c r="D1834" i="3" s="1"/>
  <c r="F1834" i="3" s="1"/>
  <c r="E1835" i="3"/>
  <c r="D1835" i="3" s="1"/>
  <c r="F1835" i="3" s="1"/>
  <c r="E1836" i="3"/>
  <c r="D1836" i="3" s="1"/>
  <c r="F1836" i="3" s="1"/>
  <c r="E1837" i="3"/>
  <c r="D1837" i="3" s="1"/>
  <c r="F1837" i="3" s="1"/>
  <c r="E1838" i="3"/>
  <c r="D1838" i="3" s="1"/>
  <c r="F1838" i="3" s="1"/>
  <c r="E1839" i="3"/>
  <c r="D1839" i="3" s="1"/>
  <c r="F1839" i="3" s="1"/>
  <c r="E1840" i="3"/>
  <c r="D1840" i="3" s="1"/>
  <c r="F1840" i="3" s="1"/>
  <c r="E1841" i="3"/>
  <c r="D1841" i="3" s="1"/>
  <c r="F1841" i="3" s="1"/>
  <c r="E1842" i="3"/>
  <c r="D1842" i="3" s="1"/>
  <c r="F1842" i="3" s="1"/>
  <c r="E1843" i="3"/>
  <c r="D1843" i="3" s="1"/>
  <c r="F1843" i="3" s="1"/>
  <c r="E1844" i="3"/>
  <c r="D1844" i="3" s="1"/>
  <c r="F1844" i="3" s="1"/>
  <c r="E1845" i="3"/>
  <c r="D1845" i="3" s="1"/>
  <c r="F1845" i="3" s="1"/>
  <c r="E1846" i="3"/>
  <c r="D1846" i="3" s="1"/>
  <c r="F1846" i="3" s="1"/>
  <c r="E1847" i="3"/>
  <c r="D1847" i="3" s="1"/>
  <c r="F1847" i="3" s="1"/>
  <c r="E1848" i="3"/>
  <c r="D1848" i="3" s="1"/>
  <c r="F1848" i="3" s="1"/>
  <c r="E1849" i="3"/>
  <c r="D1849" i="3" s="1"/>
  <c r="F1849" i="3" s="1"/>
  <c r="E1850" i="3"/>
  <c r="D1850" i="3" s="1"/>
  <c r="F1850" i="3" s="1"/>
  <c r="E1851" i="3"/>
  <c r="D1851" i="3" s="1"/>
  <c r="F1851" i="3" s="1"/>
  <c r="E1852" i="3"/>
  <c r="D1852" i="3" s="1"/>
  <c r="F1852" i="3" s="1"/>
  <c r="E1853" i="3"/>
  <c r="D1853" i="3" s="1"/>
  <c r="F1853" i="3" s="1"/>
  <c r="E1854" i="3"/>
  <c r="D1854" i="3" s="1"/>
  <c r="F1854" i="3" s="1"/>
  <c r="E1855" i="3"/>
  <c r="D1855" i="3" s="1"/>
  <c r="F1855" i="3" s="1"/>
  <c r="E1856" i="3"/>
  <c r="D1856" i="3" s="1"/>
  <c r="F1856" i="3" s="1"/>
  <c r="E1857" i="3"/>
  <c r="D1857" i="3" s="1"/>
  <c r="F1857" i="3" s="1"/>
  <c r="E1858" i="3"/>
  <c r="D1858" i="3" s="1"/>
  <c r="F1858" i="3" s="1"/>
  <c r="E1859" i="3"/>
  <c r="D1859" i="3" s="1"/>
  <c r="F1859" i="3" s="1"/>
  <c r="E1860" i="3"/>
  <c r="D1860" i="3" s="1"/>
  <c r="F1860" i="3" s="1"/>
  <c r="E1861" i="3"/>
  <c r="D1861" i="3" s="1"/>
  <c r="F1861" i="3" s="1"/>
  <c r="E1862" i="3"/>
  <c r="D1862" i="3" s="1"/>
  <c r="F1862" i="3" s="1"/>
  <c r="E1863" i="3"/>
  <c r="D1863" i="3" s="1"/>
  <c r="F1863" i="3" s="1"/>
  <c r="E1864" i="3"/>
  <c r="D1864" i="3" s="1"/>
  <c r="F1864" i="3" s="1"/>
  <c r="E1865" i="3"/>
  <c r="D1865" i="3" s="1"/>
  <c r="F1865" i="3" s="1"/>
  <c r="E1866" i="3"/>
  <c r="D1866" i="3" s="1"/>
  <c r="F1866" i="3" s="1"/>
  <c r="E1867" i="3"/>
  <c r="D1867" i="3" s="1"/>
  <c r="F1867" i="3" s="1"/>
  <c r="E1868" i="3"/>
  <c r="D1868" i="3" s="1"/>
  <c r="F1868" i="3" s="1"/>
  <c r="E1869" i="3"/>
  <c r="D1869" i="3" s="1"/>
  <c r="F1869" i="3" s="1"/>
  <c r="E1870" i="3"/>
  <c r="D1870" i="3" s="1"/>
  <c r="F1870" i="3" s="1"/>
  <c r="E1871" i="3"/>
  <c r="D1871" i="3" s="1"/>
  <c r="F1871" i="3" s="1"/>
  <c r="E1872" i="3"/>
  <c r="D1872" i="3" s="1"/>
  <c r="F1872" i="3" s="1"/>
  <c r="E1873" i="3"/>
  <c r="D1873" i="3" s="1"/>
  <c r="F1873" i="3" s="1"/>
  <c r="E1874" i="3"/>
  <c r="D1874" i="3" s="1"/>
  <c r="F1874" i="3" s="1"/>
  <c r="E1875" i="3"/>
  <c r="D1875" i="3" s="1"/>
  <c r="F1875" i="3" s="1"/>
  <c r="E1876" i="3"/>
  <c r="D1876" i="3" s="1"/>
  <c r="F1876" i="3" s="1"/>
  <c r="E1877" i="3"/>
  <c r="D1877" i="3" s="1"/>
  <c r="F1877" i="3" s="1"/>
  <c r="E1878" i="3"/>
  <c r="D1878" i="3" s="1"/>
  <c r="F1878" i="3" s="1"/>
  <c r="E1879" i="3"/>
  <c r="D1879" i="3" s="1"/>
  <c r="F1879" i="3" s="1"/>
  <c r="E1880" i="3"/>
  <c r="D1880" i="3" s="1"/>
  <c r="F1880" i="3" s="1"/>
  <c r="E1881" i="3"/>
  <c r="D1881" i="3" s="1"/>
  <c r="F1881" i="3" s="1"/>
  <c r="E1882" i="3"/>
  <c r="D1882" i="3" s="1"/>
  <c r="F1882" i="3" s="1"/>
  <c r="E1883" i="3"/>
  <c r="D1883" i="3" s="1"/>
  <c r="F1883" i="3" s="1"/>
  <c r="E1884" i="3"/>
  <c r="D1884" i="3" s="1"/>
  <c r="F1884" i="3" s="1"/>
  <c r="E1885" i="3"/>
  <c r="D1885" i="3" s="1"/>
  <c r="F1885" i="3" s="1"/>
  <c r="E1886" i="3"/>
  <c r="D1886" i="3" s="1"/>
  <c r="F1886" i="3" s="1"/>
  <c r="E1887" i="3"/>
  <c r="D1887" i="3" s="1"/>
  <c r="F1887" i="3" s="1"/>
  <c r="E1888" i="3"/>
  <c r="D1888" i="3" s="1"/>
  <c r="F1888" i="3" s="1"/>
  <c r="E1889" i="3"/>
  <c r="D1889" i="3" s="1"/>
  <c r="F1889" i="3" s="1"/>
  <c r="E1890" i="3"/>
  <c r="D1890" i="3" s="1"/>
  <c r="F1890" i="3" s="1"/>
  <c r="E1891" i="3"/>
  <c r="D1891" i="3" s="1"/>
  <c r="F1891" i="3" s="1"/>
  <c r="E1892" i="3"/>
  <c r="D1892" i="3" s="1"/>
  <c r="F1892" i="3" s="1"/>
  <c r="E1893" i="3"/>
  <c r="D1893" i="3" s="1"/>
  <c r="F1893" i="3" s="1"/>
  <c r="E1894" i="3"/>
  <c r="D1894" i="3" s="1"/>
  <c r="F1894" i="3" s="1"/>
  <c r="E1895" i="3"/>
  <c r="D1895" i="3" s="1"/>
  <c r="F1895" i="3" s="1"/>
  <c r="E1896" i="3"/>
  <c r="D1896" i="3" s="1"/>
  <c r="F1896" i="3" s="1"/>
  <c r="E1897" i="3"/>
  <c r="D1897" i="3" s="1"/>
  <c r="F1897" i="3" s="1"/>
  <c r="E1898" i="3"/>
  <c r="D1898" i="3" s="1"/>
  <c r="F1898" i="3" s="1"/>
  <c r="E1899" i="3"/>
  <c r="D1899" i="3" s="1"/>
  <c r="F1899" i="3" s="1"/>
  <c r="E1900" i="3"/>
  <c r="D1900" i="3" s="1"/>
  <c r="F1900" i="3" s="1"/>
  <c r="E1901" i="3"/>
  <c r="D1901" i="3" s="1"/>
  <c r="F1901" i="3" s="1"/>
  <c r="E1902" i="3"/>
  <c r="D1902" i="3" s="1"/>
  <c r="F1902" i="3" s="1"/>
  <c r="E1903" i="3"/>
  <c r="D1903" i="3" s="1"/>
  <c r="F1903" i="3" s="1"/>
  <c r="E1904" i="3"/>
  <c r="D1904" i="3" s="1"/>
  <c r="F1904" i="3" s="1"/>
  <c r="E1905" i="3"/>
  <c r="D1905" i="3" s="1"/>
  <c r="F1905" i="3" s="1"/>
  <c r="E1906" i="3"/>
  <c r="D1906" i="3" s="1"/>
  <c r="F1906" i="3" s="1"/>
  <c r="E1907" i="3"/>
  <c r="D1907" i="3" s="1"/>
  <c r="F1907" i="3" s="1"/>
  <c r="E1908" i="3"/>
  <c r="D1908" i="3" s="1"/>
  <c r="F1908" i="3" s="1"/>
  <c r="E1909" i="3"/>
  <c r="D1909" i="3" s="1"/>
  <c r="F1909" i="3" s="1"/>
  <c r="E1910" i="3"/>
  <c r="D1910" i="3" s="1"/>
  <c r="F1910" i="3" s="1"/>
  <c r="E1911" i="3"/>
  <c r="D1911" i="3" s="1"/>
  <c r="F1911" i="3" s="1"/>
  <c r="E1912" i="3"/>
  <c r="D1912" i="3" s="1"/>
  <c r="F1912" i="3" s="1"/>
  <c r="E1913" i="3"/>
  <c r="D1913" i="3" s="1"/>
  <c r="F1913" i="3" s="1"/>
  <c r="E1914" i="3"/>
  <c r="D1914" i="3" s="1"/>
  <c r="F1914" i="3" s="1"/>
  <c r="E1915" i="3"/>
  <c r="D1915" i="3" s="1"/>
  <c r="F1915" i="3" s="1"/>
  <c r="E1916" i="3"/>
  <c r="D1916" i="3" s="1"/>
  <c r="F1916" i="3" s="1"/>
  <c r="E1917" i="3"/>
  <c r="D1917" i="3" s="1"/>
  <c r="F1917" i="3" s="1"/>
  <c r="E1918" i="3"/>
  <c r="D1918" i="3" s="1"/>
  <c r="F1918" i="3" s="1"/>
  <c r="E1919" i="3"/>
  <c r="D1919" i="3" s="1"/>
  <c r="F1919" i="3" s="1"/>
  <c r="E1920" i="3"/>
  <c r="D1920" i="3" s="1"/>
  <c r="F1920" i="3" s="1"/>
  <c r="E1921" i="3"/>
  <c r="D1921" i="3" s="1"/>
  <c r="F1921" i="3" s="1"/>
  <c r="E1922" i="3"/>
  <c r="D1922" i="3" s="1"/>
  <c r="F1922" i="3" s="1"/>
  <c r="E1923" i="3"/>
  <c r="D1923" i="3" s="1"/>
  <c r="F1923" i="3" s="1"/>
  <c r="E1924" i="3"/>
  <c r="D1924" i="3" s="1"/>
  <c r="F1924" i="3" s="1"/>
  <c r="E1925" i="3"/>
  <c r="D1925" i="3" s="1"/>
  <c r="F1925" i="3" s="1"/>
  <c r="E1926" i="3"/>
  <c r="D1926" i="3" s="1"/>
  <c r="F1926" i="3" s="1"/>
  <c r="E1927" i="3"/>
  <c r="D1927" i="3" s="1"/>
  <c r="F1927" i="3" s="1"/>
  <c r="E1928" i="3"/>
  <c r="D1928" i="3" s="1"/>
  <c r="F1928" i="3" s="1"/>
  <c r="E1929" i="3"/>
  <c r="D1929" i="3" s="1"/>
  <c r="F1929" i="3" s="1"/>
  <c r="E1930" i="3"/>
  <c r="D1930" i="3" s="1"/>
  <c r="F1930" i="3" s="1"/>
  <c r="E1931" i="3"/>
  <c r="D1931" i="3" s="1"/>
  <c r="F1931" i="3" s="1"/>
  <c r="E1932" i="3"/>
  <c r="D1932" i="3" s="1"/>
  <c r="F1932" i="3" s="1"/>
  <c r="E1933" i="3"/>
  <c r="D1933" i="3" s="1"/>
  <c r="F1933" i="3" s="1"/>
  <c r="E1934" i="3"/>
  <c r="D1934" i="3" s="1"/>
  <c r="F1934" i="3" s="1"/>
  <c r="E1935" i="3"/>
  <c r="D1935" i="3" s="1"/>
  <c r="F1935" i="3" s="1"/>
  <c r="E1936" i="3"/>
  <c r="D1936" i="3" s="1"/>
  <c r="F1936" i="3" s="1"/>
  <c r="E1937" i="3"/>
  <c r="D1937" i="3" s="1"/>
  <c r="F1937" i="3" s="1"/>
  <c r="E1938" i="3"/>
  <c r="D1938" i="3" s="1"/>
  <c r="F1938" i="3" s="1"/>
  <c r="E1939" i="3"/>
  <c r="D1939" i="3" s="1"/>
  <c r="F1939" i="3" s="1"/>
  <c r="E1940" i="3"/>
  <c r="D1940" i="3" s="1"/>
  <c r="F1940" i="3" s="1"/>
  <c r="E1941" i="3"/>
  <c r="D1941" i="3" s="1"/>
  <c r="F1941" i="3" s="1"/>
  <c r="E1942" i="3"/>
  <c r="D1942" i="3" s="1"/>
  <c r="F1942" i="3" s="1"/>
  <c r="E1943" i="3"/>
  <c r="D1943" i="3" s="1"/>
  <c r="F1943" i="3" s="1"/>
  <c r="E1944" i="3"/>
  <c r="D1944" i="3" s="1"/>
  <c r="F1944" i="3" s="1"/>
  <c r="E1945" i="3"/>
  <c r="D1945" i="3" s="1"/>
  <c r="F1945" i="3" s="1"/>
  <c r="E1946" i="3"/>
  <c r="D1946" i="3" s="1"/>
  <c r="F1946" i="3" s="1"/>
  <c r="E1947" i="3"/>
  <c r="D1947" i="3" s="1"/>
  <c r="F1947" i="3" s="1"/>
  <c r="E1948" i="3"/>
  <c r="D1948" i="3" s="1"/>
  <c r="F1948" i="3" s="1"/>
  <c r="E1949" i="3"/>
  <c r="D1949" i="3" s="1"/>
  <c r="F1949" i="3" s="1"/>
  <c r="E1950" i="3"/>
  <c r="D1950" i="3" s="1"/>
  <c r="F1950" i="3" s="1"/>
  <c r="E1951" i="3"/>
  <c r="D1951" i="3" s="1"/>
  <c r="F1951" i="3" s="1"/>
  <c r="E1952" i="3"/>
  <c r="D1952" i="3" s="1"/>
  <c r="F1952" i="3" s="1"/>
  <c r="E1953" i="3"/>
  <c r="D1953" i="3" s="1"/>
  <c r="F1953" i="3" s="1"/>
  <c r="E1954" i="3"/>
  <c r="D1954" i="3" s="1"/>
  <c r="F1954" i="3" s="1"/>
  <c r="E1955" i="3"/>
  <c r="D1955" i="3" s="1"/>
  <c r="F1955" i="3" s="1"/>
  <c r="E1956" i="3"/>
  <c r="D1956" i="3" s="1"/>
  <c r="F1956" i="3" s="1"/>
  <c r="E1957" i="3"/>
  <c r="D1957" i="3" s="1"/>
  <c r="F1957" i="3" s="1"/>
  <c r="E1958" i="3"/>
  <c r="D1958" i="3" s="1"/>
  <c r="F1958" i="3" s="1"/>
  <c r="E1959" i="3"/>
  <c r="D1959" i="3" s="1"/>
  <c r="F1959" i="3" s="1"/>
  <c r="E1960" i="3"/>
  <c r="D1960" i="3" s="1"/>
  <c r="F1960" i="3" s="1"/>
  <c r="E1961" i="3"/>
  <c r="D1961" i="3" s="1"/>
  <c r="F1961" i="3" s="1"/>
  <c r="E1962" i="3"/>
  <c r="D1962" i="3" s="1"/>
  <c r="F1962" i="3" s="1"/>
  <c r="E1963" i="3"/>
  <c r="D1963" i="3" s="1"/>
  <c r="F1963" i="3" s="1"/>
  <c r="E1964" i="3"/>
  <c r="D1964" i="3" s="1"/>
  <c r="F1964" i="3" s="1"/>
  <c r="E1965" i="3"/>
  <c r="D1965" i="3" s="1"/>
  <c r="F1965" i="3" s="1"/>
  <c r="E1966" i="3"/>
  <c r="D1966" i="3" s="1"/>
  <c r="F1966" i="3" s="1"/>
  <c r="E1967" i="3"/>
  <c r="D1967" i="3" s="1"/>
  <c r="F1967" i="3" s="1"/>
  <c r="E1968" i="3"/>
  <c r="D1968" i="3" s="1"/>
  <c r="F1968" i="3" s="1"/>
  <c r="E1969" i="3"/>
  <c r="D1969" i="3" s="1"/>
  <c r="F1969" i="3" s="1"/>
  <c r="E1970" i="3"/>
  <c r="D1970" i="3" s="1"/>
  <c r="F1970" i="3" s="1"/>
  <c r="E1971" i="3"/>
  <c r="D1971" i="3" s="1"/>
  <c r="F1971" i="3" s="1"/>
  <c r="E1972" i="3"/>
  <c r="D1972" i="3" s="1"/>
  <c r="F1972" i="3" s="1"/>
  <c r="E1973" i="3"/>
  <c r="D1973" i="3" s="1"/>
  <c r="F1973" i="3" s="1"/>
  <c r="E1974" i="3"/>
  <c r="D1974" i="3" s="1"/>
  <c r="F1974" i="3" s="1"/>
  <c r="E1975" i="3"/>
  <c r="D1975" i="3" s="1"/>
  <c r="F1975" i="3" s="1"/>
  <c r="E1976" i="3"/>
  <c r="D1976" i="3" s="1"/>
  <c r="F1976" i="3" s="1"/>
  <c r="E1977" i="3"/>
  <c r="D1977" i="3" s="1"/>
  <c r="F1977" i="3" s="1"/>
  <c r="E1978" i="3"/>
  <c r="D1978" i="3" s="1"/>
  <c r="F1978" i="3" s="1"/>
  <c r="E1979" i="3"/>
  <c r="D1979" i="3" s="1"/>
  <c r="F1979" i="3" s="1"/>
  <c r="E1980" i="3"/>
  <c r="D1980" i="3" s="1"/>
  <c r="F1980" i="3" s="1"/>
  <c r="E1981" i="3"/>
  <c r="D1981" i="3" s="1"/>
  <c r="F1981" i="3" s="1"/>
  <c r="E1982" i="3"/>
  <c r="D1982" i="3" s="1"/>
  <c r="F1982" i="3" s="1"/>
  <c r="E1983" i="3"/>
  <c r="D1983" i="3" s="1"/>
  <c r="F1983" i="3" s="1"/>
  <c r="E1984" i="3"/>
  <c r="D1984" i="3" s="1"/>
  <c r="F1984" i="3" s="1"/>
  <c r="E1985" i="3"/>
  <c r="D1985" i="3" s="1"/>
  <c r="F1985" i="3" s="1"/>
  <c r="E1986" i="3"/>
  <c r="D1986" i="3" s="1"/>
  <c r="F1986" i="3" s="1"/>
  <c r="E1987" i="3"/>
  <c r="D1987" i="3" s="1"/>
  <c r="F1987" i="3" s="1"/>
  <c r="E1988" i="3"/>
  <c r="D1988" i="3" s="1"/>
  <c r="F1988" i="3" s="1"/>
  <c r="E1989" i="3"/>
  <c r="D1989" i="3" s="1"/>
  <c r="F1989" i="3" s="1"/>
  <c r="E1990" i="3"/>
  <c r="D1990" i="3" s="1"/>
  <c r="F1990" i="3" s="1"/>
  <c r="E1991" i="3"/>
  <c r="D1991" i="3" s="1"/>
  <c r="F1991" i="3" s="1"/>
  <c r="E1992" i="3"/>
  <c r="D1992" i="3" s="1"/>
  <c r="F1992" i="3" s="1"/>
  <c r="E1993" i="3"/>
  <c r="D1993" i="3" s="1"/>
  <c r="F1993" i="3" s="1"/>
  <c r="E1994" i="3"/>
  <c r="D1994" i="3" s="1"/>
  <c r="F1994" i="3" s="1"/>
  <c r="E1995" i="3"/>
  <c r="D1995" i="3" s="1"/>
  <c r="F1995" i="3" s="1"/>
  <c r="E1996" i="3"/>
  <c r="D1996" i="3" s="1"/>
  <c r="F1996" i="3" s="1"/>
  <c r="E1997" i="3"/>
  <c r="D1997" i="3" s="1"/>
  <c r="F1997" i="3" s="1"/>
  <c r="E1998" i="3"/>
  <c r="D1998" i="3" s="1"/>
  <c r="F1998" i="3" s="1"/>
  <c r="E1999" i="3"/>
  <c r="D1999" i="3" s="1"/>
  <c r="F1999" i="3" s="1"/>
  <c r="E2000" i="3"/>
  <c r="D2000" i="3" s="1"/>
  <c r="F2000" i="3" s="1"/>
  <c r="E2001" i="3"/>
  <c r="D2001" i="3" s="1"/>
  <c r="F2001" i="3" s="1"/>
  <c r="E2002" i="3"/>
  <c r="D2002" i="3" s="1"/>
  <c r="F2002" i="3" s="1"/>
  <c r="E2003" i="3"/>
  <c r="D2003" i="3" s="1"/>
  <c r="F2003" i="3" s="1"/>
  <c r="E2004" i="3"/>
  <c r="D2004" i="3" s="1"/>
  <c r="F2004" i="3" s="1"/>
  <c r="E2005" i="3"/>
  <c r="D2005" i="3" s="1"/>
  <c r="F2005" i="3" s="1"/>
  <c r="E2006" i="3"/>
  <c r="D2006" i="3" s="1"/>
  <c r="F2006" i="3" s="1"/>
  <c r="E2007" i="3"/>
  <c r="D2007" i="3" s="1"/>
  <c r="F2007" i="3" s="1"/>
  <c r="E2008" i="3"/>
  <c r="D2008" i="3" s="1"/>
  <c r="F2008" i="3" s="1"/>
  <c r="E2009" i="3"/>
  <c r="D2009" i="3" s="1"/>
  <c r="F2009" i="3" s="1"/>
  <c r="E2010" i="3"/>
  <c r="D2010" i="3" s="1"/>
  <c r="F2010" i="3" s="1"/>
  <c r="E2011" i="3"/>
  <c r="D2011" i="3" s="1"/>
  <c r="F2011" i="3" s="1"/>
  <c r="E2012" i="3"/>
  <c r="D2012" i="3" s="1"/>
  <c r="F2012" i="3" s="1"/>
  <c r="E2013" i="3"/>
  <c r="D2013" i="3" s="1"/>
  <c r="F2013" i="3" s="1"/>
  <c r="E2014" i="3"/>
  <c r="D2014" i="3" s="1"/>
  <c r="F2014" i="3" s="1"/>
  <c r="E2015" i="3"/>
  <c r="D2015" i="3" s="1"/>
  <c r="F2015" i="3" s="1"/>
  <c r="E2016" i="3"/>
  <c r="D2016" i="3" s="1"/>
  <c r="F2016" i="3" s="1"/>
  <c r="E2017" i="3"/>
  <c r="D2017" i="3" s="1"/>
  <c r="F2017" i="3" s="1"/>
  <c r="E2018" i="3"/>
  <c r="D2018" i="3" s="1"/>
  <c r="F2018" i="3" s="1"/>
  <c r="E2019" i="3"/>
  <c r="D2019" i="3" s="1"/>
  <c r="F2019" i="3" s="1"/>
  <c r="E2020" i="3"/>
  <c r="D2020" i="3" s="1"/>
  <c r="F2020" i="3" s="1"/>
  <c r="E2021" i="3"/>
  <c r="D2021" i="3" s="1"/>
  <c r="F2021" i="3" s="1"/>
  <c r="E2022" i="3"/>
  <c r="D2022" i="3" s="1"/>
  <c r="F2022" i="3" s="1"/>
  <c r="E2023" i="3"/>
  <c r="D2023" i="3" s="1"/>
  <c r="F2023" i="3" s="1"/>
  <c r="E2024" i="3"/>
  <c r="D2024" i="3" s="1"/>
  <c r="F2024" i="3" s="1"/>
  <c r="E2025" i="3"/>
  <c r="D2025" i="3" s="1"/>
  <c r="F2025" i="3" s="1"/>
  <c r="E2026" i="3"/>
  <c r="D2026" i="3" s="1"/>
  <c r="F2026" i="3" s="1"/>
  <c r="E2027" i="3"/>
  <c r="D2027" i="3" s="1"/>
  <c r="F2027" i="3" s="1"/>
  <c r="E2028" i="3"/>
  <c r="D2028" i="3" s="1"/>
  <c r="F2028" i="3" s="1"/>
  <c r="E2029" i="3"/>
  <c r="D2029" i="3" s="1"/>
  <c r="F2029" i="3" s="1"/>
  <c r="E2030" i="3"/>
  <c r="D2030" i="3" s="1"/>
  <c r="F2030" i="3" s="1"/>
  <c r="E2031" i="3"/>
  <c r="D2031" i="3" s="1"/>
  <c r="F2031" i="3" s="1"/>
  <c r="E2032" i="3"/>
  <c r="D2032" i="3" s="1"/>
  <c r="F2032" i="3" s="1"/>
  <c r="E2033" i="3"/>
  <c r="D2033" i="3" s="1"/>
  <c r="F2033" i="3" s="1"/>
  <c r="E2034" i="3"/>
  <c r="D2034" i="3" s="1"/>
  <c r="F2034" i="3" s="1"/>
  <c r="E2035" i="3"/>
  <c r="D2035" i="3" s="1"/>
  <c r="F2035" i="3" s="1"/>
  <c r="E2036" i="3"/>
  <c r="D2036" i="3" s="1"/>
  <c r="F2036" i="3" s="1"/>
  <c r="E2037" i="3"/>
  <c r="D2037" i="3" s="1"/>
  <c r="F2037" i="3" s="1"/>
  <c r="E2038" i="3"/>
  <c r="D2038" i="3" s="1"/>
  <c r="F2038" i="3" s="1"/>
  <c r="E2039" i="3"/>
  <c r="D2039" i="3" s="1"/>
  <c r="F2039" i="3" s="1"/>
  <c r="E2040" i="3"/>
  <c r="D2040" i="3" s="1"/>
  <c r="F2040" i="3" s="1"/>
  <c r="E2041" i="3"/>
  <c r="D2041" i="3" s="1"/>
  <c r="F2041" i="3" s="1"/>
  <c r="E2042" i="3"/>
  <c r="D2042" i="3" s="1"/>
  <c r="F2042" i="3" s="1"/>
  <c r="E2043" i="3"/>
  <c r="D2043" i="3" s="1"/>
  <c r="F2043" i="3" s="1"/>
  <c r="E2044" i="3"/>
  <c r="D2044" i="3" s="1"/>
  <c r="F2044" i="3" s="1"/>
  <c r="E2045" i="3"/>
  <c r="D2045" i="3" s="1"/>
  <c r="F2045" i="3" s="1"/>
  <c r="E2046" i="3"/>
  <c r="D2046" i="3" s="1"/>
  <c r="F2046" i="3" s="1"/>
  <c r="E2047" i="3"/>
  <c r="D2047" i="3" s="1"/>
  <c r="F2047" i="3" s="1"/>
  <c r="E2048" i="3"/>
  <c r="D2048" i="3" s="1"/>
  <c r="F2048" i="3" s="1"/>
  <c r="E2049" i="3"/>
  <c r="D2049" i="3" s="1"/>
  <c r="F2049" i="3" s="1"/>
  <c r="E2050" i="3"/>
  <c r="D2050" i="3" s="1"/>
  <c r="F2050" i="3" s="1"/>
  <c r="E2051" i="3"/>
  <c r="D2051" i="3" s="1"/>
  <c r="F2051" i="3" s="1"/>
  <c r="E2052" i="3"/>
  <c r="D2052" i="3" s="1"/>
  <c r="F2052" i="3" s="1"/>
  <c r="E2053" i="3"/>
  <c r="D2053" i="3" s="1"/>
  <c r="F2053" i="3" s="1"/>
  <c r="E2054" i="3"/>
  <c r="D2054" i="3" s="1"/>
  <c r="F2054" i="3" s="1"/>
  <c r="E2055" i="3"/>
  <c r="D2055" i="3" s="1"/>
  <c r="F2055" i="3" s="1"/>
  <c r="E2056" i="3"/>
  <c r="D2056" i="3" s="1"/>
  <c r="F2056" i="3" s="1"/>
  <c r="E2057" i="3"/>
  <c r="D2057" i="3" s="1"/>
  <c r="F2057" i="3" s="1"/>
  <c r="E2058" i="3"/>
  <c r="D2058" i="3" s="1"/>
  <c r="F2058" i="3" s="1"/>
  <c r="E2059" i="3"/>
  <c r="D2059" i="3" s="1"/>
  <c r="F2059" i="3" s="1"/>
  <c r="E2060" i="3"/>
  <c r="D2060" i="3" s="1"/>
  <c r="F2060" i="3" s="1"/>
  <c r="E2061" i="3"/>
  <c r="D2061" i="3" s="1"/>
  <c r="F2061" i="3" s="1"/>
  <c r="E2062" i="3"/>
  <c r="D2062" i="3" s="1"/>
  <c r="F2062" i="3" s="1"/>
  <c r="E2063" i="3"/>
  <c r="D2063" i="3" s="1"/>
  <c r="F2063" i="3" s="1"/>
  <c r="E2064" i="3"/>
  <c r="D2064" i="3" s="1"/>
  <c r="F2064" i="3" s="1"/>
  <c r="E2065" i="3"/>
  <c r="D2065" i="3" s="1"/>
  <c r="F2065" i="3" s="1"/>
  <c r="E2066" i="3"/>
  <c r="D2066" i="3" s="1"/>
  <c r="F2066" i="3" s="1"/>
  <c r="E2067" i="3"/>
  <c r="D2067" i="3" s="1"/>
  <c r="F2067" i="3" s="1"/>
  <c r="E2068" i="3"/>
  <c r="D2068" i="3" s="1"/>
  <c r="F2068" i="3" s="1"/>
  <c r="E2069" i="3"/>
  <c r="D2069" i="3" s="1"/>
  <c r="F2069" i="3" s="1"/>
  <c r="E2070" i="3"/>
  <c r="D2070" i="3" s="1"/>
  <c r="F2070" i="3" s="1"/>
  <c r="E2071" i="3"/>
  <c r="D2071" i="3" s="1"/>
  <c r="F2071" i="3" s="1"/>
  <c r="E2072" i="3"/>
  <c r="D2072" i="3" s="1"/>
  <c r="F2072" i="3" s="1"/>
  <c r="E2073" i="3"/>
  <c r="D2073" i="3" s="1"/>
  <c r="F2073" i="3" s="1"/>
  <c r="E2074" i="3"/>
  <c r="D2074" i="3" s="1"/>
  <c r="F2074" i="3" s="1"/>
  <c r="E2075" i="3"/>
  <c r="D2075" i="3" s="1"/>
  <c r="F2075" i="3" s="1"/>
  <c r="E2076" i="3"/>
  <c r="D2076" i="3" s="1"/>
  <c r="F2076" i="3" s="1"/>
  <c r="E2077" i="3"/>
  <c r="D2077" i="3" s="1"/>
  <c r="F2077" i="3" s="1"/>
  <c r="E2078" i="3"/>
  <c r="D2078" i="3" s="1"/>
  <c r="F2078" i="3" s="1"/>
  <c r="E2079" i="3"/>
  <c r="D2079" i="3" s="1"/>
  <c r="F2079" i="3" s="1"/>
  <c r="E2080" i="3"/>
  <c r="D2080" i="3" s="1"/>
  <c r="F2080" i="3" s="1"/>
  <c r="E2081" i="3"/>
  <c r="D2081" i="3" s="1"/>
  <c r="F2081" i="3" s="1"/>
  <c r="E2082" i="3"/>
  <c r="D2082" i="3" s="1"/>
  <c r="F2082" i="3" s="1"/>
  <c r="E2083" i="3"/>
  <c r="D2083" i="3" s="1"/>
  <c r="F2083" i="3" s="1"/>
  <c r="E2084" i="3"/>
  <c r="D2084" i="3" s="1"/>
  <c r="F2084" i="3" s="1"/>
  <c r="E2085" i="3"/>
  <c r="D2085" i="3" s="1"/>
  <c r="F2085" i="3" s="1"/>
  <c r="E2086" i="3"/>
  <c r="D2086" i="3" s="1"/>
  <c r="F2086" i="3" s="1"/>
  <c r="E2087" i="3"/>
  <c r="D2087" i="3" s="1"/>
  <c r="F2087" i="3" s="1"/>
  <c r="E2088" i="3"/>
  <c r="D2088" i="3" s="1"/>
  <c r="F2088" i="3" s="1"/>
  <c r="E2089" i="3"/>
  <c r="D2089" i="3" s="1"/>
  <c r="F2089" i="3" s="1"/>
  <c r="E2090" i="3"/>
  <c r="D2090" i="3" s="1"/>
  <c r="F2090" i="3" s="1"/>
  <c r="E2091" i="3"/>
  <c r="D2091" i="3" s="1"/>
  <c r="F2091" i="3" s="1"/>
  <c r="E2092" i="3"/>
  <c r="D2092" i="3" s="1"/>
  <c r="F2092" i="3" s="1"/>
  <c r="E2093" i="3"/>
  <c r="D2093" i="3" s="1"/>
  <c r="F2093" i="3" s="1"/>
  <c r="E2094" i="3"/>
  <c r="D2094" i="3" s="1"/>
  <c r="F2094" i="3" s="1"/>
  <c r="E2095" i="3"/>
  <c r="D2095" i="3" s="1"/>
  <c r="F2095" i="3" s="1"/>
  <c r="E2096" i="3"/>
  <c r="D2096" i="3" s="1"/>
  <c r="F2096" i="3" s="1"/>
  <c r="E2097" i="3"/>
  <c r="D2097" i="3" s="1"/>
  <c r="F2097" i="3" s="1"/>
  <c r="E2098" i="3"/>
  <c r="D2098" i="3" s="1"/>
  <c r="F2098" i="3" s="1"/>
  <c r="E2099" i="3"/>
  <c r="D2099" i="3" s="1"/>
  <c r="F2099" i="3" s="1"/>
  <c r="E2100" i="3"/>
  <c r="D2100" i="3" s="1"/>
  <c r="F2100" i="3" s="1"/>
  <c r="E2101" i="3"/>
  <c r="D2101" i="3" s="1"/>
  <c r="F2101" i="3" s="1"/>
  <c r="E2102" i="3"/>
  <c r="D2102" i="3" s="1"/>
  <c r="F2102" i="3" s="1"/>
  <c r="E2103" i="3"/>
  <c r="D2103" i="3" s="1"/>
  <c r="F2103" i="3" s="1"/>
  <c r="E2104" i="3"/>
  <c r="D2104" i="3" s="1"/>
  <c r="F2104" i="3" s="1"/>
  <c r="E2105" i="3"/>
  <c r="D2105" i="3" s="1"/>
  <c r="F2105" i="3" s="1"/>
  <c r="E2106" i="3"/>
  <c r="D2106" i="3" s="1"/>
  <c r="F2106" i="3" s="1"/>
  <c r="E2107" i="3"/>
  <c r="D2107" i="3" s="1"/>
  <c r="F2107" i="3" s="1"/>
  <c r="E2108" i="3"/>
  <c r="D2108" i="3" s="1"/>
  <c r="F2108" i="3" s="1"/>
  <c r="E2109" i="3"/>
  <c r="D2109" i="3" s="1"/>
  <c r="F2109" i="3" s="1"/>
  <c r="E2110" i="3"/>
  <c r="D2110" i="3" s="1"/>
  <c r="F2110" i="3" s="1"/>
  <c r="E2111" i="3"/>
  <c r="D2111" i="3" s="1"/>
  <c r="F2111" i="3" s="1"/>
  <c r="E2112" i="3"/>
  <c r="D2112" i="3" s="1"/>
  <c r="F2112" i="3" s="1"/>
  <c r="E2113" i="3"/>
  <c r="D2113" i="3" s="1"/>
  <c r="F2113" i="3" s="1"/>
  <c r="E2114" i="3"/>
  <c r="D2114" i="3" s="1"/>
  <c r="F2114" i="3" s="1"/>
  <c r="E2115" i="3"/>
  <c r="D2115" i="3" s="1"/>
  <c r="F2115" i="3" s="1"/>
  <c r="E2116" i="3"/>
  <c r="D2116" i="3" s="1"/>
  <c r="F2116" i="3" s="1"/>
  <c r="E2117" i="3"/>
  <c r="D2117" i="3" s="1"/>
  <c r="F2117" i="3" s="1"/>
  <c r="E2118" i="3"/>
  <c r="D2118" i="3" s="1"/>
  <c r="F2118" i="3" s="1"/>
  <c r="E2119" i="3"/>
  <c r="D2119" i="3" s="1"/>
  <c r="F2119" i="3" s="1"/>
  <c r="E2120" i="3"/>
  <c r="D2120" i="3" s="1"/>
  <c r="F2120" i="3" s="1"/>
  <c r="E2121" i="3"/>
  <c r="D2121" i="3" s="1"/>
  <c r="F2121" i="3" s="1"/>
  <c r="E2122" i="3"/>
  <c r="D2122" i="3" s="1"/>
  <c r="F2122" i="3" s="1"/>
  <c r="E2123" i="3"/>
  <c r="D2123" i="3" s="1"/>
  <c r="F2123" i="3" s="1"/>
  <c r="E2124" i="3"/>
  <c r="D2124" i="3" s="1"/>
  <c r="F2124" i="3" s="1"/>
  <c r="E2125" i="3"/>
  <c r="D2125" i="3" s="1"/>
  <c r="F2125" i="3" s="1"/>
  <c r="E2126" i="3"/>
  <c r="D2126" i="3" s="1"/>
  <c r="F2126" i="3" s="1"/>
  <c r="E2127" i="3"/>
  <c r="D2127" i="3" s="1"/>
  <c r="F2127" i="3" s="1"/>
  <c r="E2128" i="3"/>
  <c r="D2128" i="3" s="1"/>
  <c r="F2128" i="3" s="1"/>
  <c r="E2129" i="3"/>
  <c r="D2129" i="3" s="1"/>
  <c r="F2129" i="3" s="1"/>
  <c r="E2130" i="3"/>
  <c r="D2130" i="3" s="1"/>
  <c r="F2130" i="3" s="1"/>
  <c r="E2131" i="3"/>
  <c r="D2131" i="3" s="1"/>
  <c r="F2131" i="3" s="1"/>
  <c r="E2132" i="3"/>
  <c r="D2132" i="3" s="1"/>
  <c r="F2132" i="3" s="1"/>
  <c r="E2133" i="3"/>
  <c r="D2133" i="3" s="1"/>
  <c r="F2133" i="3" s="1"/>
  <c r="E2134" i="3"/>
  <c r="D2134" i="3" s="1"/>
  <c r="F2134" i="3" s="1"/>
  <c r="E2135" i="3"/>
  <c r="D2135" i="3" s="1"/>
  <c r="F2135" i="3" s="1"/>
  <c r="E2136" i="3"/>
  <c r="D2136" i="3" s="1"/>
  <c r="F2136" i="3" s="1"/>
  <c r="E2137" i="3"/>
  <c r="D2137" i="3" s="1"/>
  <c r="F2137" i="3" s="1"/>
  <c r="E2138" i="3"/>
  <c r="D2138" i="3" s="1"/>
  <c r="F2138" i="3" s="1"/>
  <c r="E2139" i="3"/>
  <c r="D2139" i="3" s="1"/>
  <c r="F2139" i="3" s="1"/>
  <c r="E2140" i="3"/>
  <c r="D2140" i="3" s="1"/>
  <c r="F2140" i="3" s="1"/>
  <c r="E2141" i="3"/>
  <c r="D2141" i="3" s="1"/>
  <c r="F2141" i="3" s="1"/>
  <c r="E2142" i="3"/>
  <c r="D2142" i="3" s="1"/>
  <c r="F2142" i="3" s="1"/>
  <c r="E2143" i="3"/>
  <c r="D2143" i="3" s="1"/>
  <c r="F2143" i="3" s="1"/>
  <c r="E2144" i="3"/>
  <c r="D2144" i="3" s="1"/>
  <c r="F2144" i="3" s="1"/>
  <c r="E2145" i="3"/>
  <c r="D2145" i="3" s="1"/>
  <c r="F2145" i="3" s="1"/>
  <c r="E2146" i="3"/>
  <c r="D2146" i="3" s="1"/>
  <c r="F2146" i="3" s="1"/>
  <c r="E2147" i="3"/>
  <c r="D2147" i="3" s="1"/>
  <c r="F2147" i="3" s="1"/>
  <c r="E2148" i="3"/>
  <c r="D2148" i="3" s="1"/>
  <c r="F2148" i="3" s="1"/>
  <c r="E2149" i="3"/>
  <c r="D2149" i="3" s="1"/>
  <c r="F2149" i="3" s="1"/>
  <c r="E2150" i="3"/>
  <c r="D2150" i="3" s="1"/>
  <c r="F2150" i="3" s="1"/>
  <c r="E2151" i="3"/>
  <c r="D2151" i="3" s="1"/>
  <c r="F2151" i="3" s="1"/>
  <c r="E2152" i="3"/>
  <c r="D2152" i="3" s="1"/>
  <c r="F2152" i="3" s="1"/>
  <c r="E2153" i="3"/>
  <c r="D2153" i="3" s="1"/>
  <c r="F2153" i="3" s="1"/>
  <c r="E2154" i="3"/>
  <c r="D2154" i="3" s="1"/>
  <c r="F2154" i="3" s="1"/>
  <c r="E2155" i="3"/>
  <c r="D2155" i="3" s="1"/>
  <c r="F2155" i="3" s="1"/>
  <c r="E2156" i="3"/>
  <c r="D2156" i="3" s="1"/>
  <c r="F2156" i="3" s="1"/>
  <c r="E2157" i="3"/>
  <c r="D2157" i="3" s="1"/>
  <c r="F2157" i="3" s="1"/>
  <c r="E2158" i="3"/>
  <c r="D2158" i="3" s="1"/>
  <c r="F2158" i="3" s="1"/>
  <c r="E2159" i="3"/>
  <c r="D2159" i="3" s="1"/>
  <c r="F2159" i="3" s="1"/>
  <c r="E2160" i="3"/>
  <c r="D2160" i="3" s="1"/>
  <c r="F2160" i="3" s="1"/>
  <c r="E2161" i="3"/>
  <c r="D2161" i="3" s="1"/>
  <c r="F2161" i="3" s="1"/>
  <c r="E2162" i="3"/>
  <c r="D2162" i="3" s="1"/>
  <c r="F2162" i="3" s="1"/>
  <c r="E2163" i="3"/>
  <c r="D2163" i="3" s="1"/>
  <c r="F2163" i="3" s="1"/>
  <c r="E2164" i="3"/>
  <c r="D2164" i="3" s="1"/>
  <c r="F2164" i="3" s="1"/>
  <c r="E2165" i="3"/>
  <c r="D2165" i="3" s="1"/>
  <c r="F2165" i="3" s="1"/>
  <c r="E2166" i="3"/>
  <c r="D2166" i="3" s="1"/>
  <c r="F2166" i="3" s="1"/>
  <c r="E2167" i="3"/>
  <c r="D2167" i="3" s="1"/>
  <c r="F2167" i="3" s="1"/>
  <c r="E2168" i="3"/>
  <c r="D2168" i="3" s="1"/>
  <c r="F2168" i="3" s="1"/>
  <c r="E2169" i="3"/>
  <c r="D2169" i="3" s="1"/>
  <c r="F2169" i="3" s="1"/>
  <c r="E2170" i="3"/>
  <c r="D2170" i="3" s="1"/>
  <c r="F2170" i="3" s="1"/>
  <c r="E2171" i="3"/>
  <c r="D2171" i="3" s="1"/>
  <c r="F2171" i="3" s="1"/>
  <c r="E2172" i="3"/>
  <c r="D2172" i="3" s="1"/>
  <c r="F2172" i="3" s="1"/>
  <c r="E2173" i="3"/>
  <c r="D2173" i="3" s="1"/>
  <c r="F2173" i="3" s="1"/>
  <c r="E2174" i="3"/>
  <c r="D2174" i="3" s="1"/>
  <c r="F2174" i="3" s="1"/>
  <c r="E2175" i="3"/>
  <c r="D2175" i="3" s="1"/>
  <c r="F2175" i="3" s="1"/>
  <c r="E2176" i="3"/>
  <c r="D2176" i="3" s="1"/>
  <c r="F2176" i="3" s="1"/>
  <c r="E2177" i="3"/>
  <c r="D2177" i="3" s="1"/>
  <c r="F2177" i="3" s="1"/>
  <c r="E2178" i="3"/>
  <c r="D2178" i="3" s="1"/>
  <c r="F2178" i="3" s="1"/>
  <c r="E2179" i="3"/>
  <c r="D2179" i="3" s="1"/>
  <c r="F2179" i="3" s="1"/>
  <c r="E2180" i="3"/>
  <c r="D2180" i="3" s="1"/>
  <c r="F2180" i="3" s="1"/>
  <c r="E2181" i="3"/>
  <c r="D2181" i="3" s="1"/>
  <c r="F2181" i="3" s="1"/>
  <c r="E2182" i="3"/>
  <c r="D2182" i="3" s="1"/>
  <c r="F2182" i="3" s="1"/>
  <c r="E2183" i="3"/>
  <c r="D2183" i="3" s="1"/>
  <c r="F2183" i="3" s="1"/>
  <c r="E2184" i="3"/>
  <c r="D2184" i="3" s="1"/>
  <c r="F2184" i="3" s="1"/>
  <c r="E2185" i="3"/>
  <c r="D2185" i="3" s="1"/>
  <c r="F2185" i="3" s="1"/>
  <c r="E2186" i="3"/>
  <c r="D2186" i="3" s="1"/>
  <c r="F2186" i="3" s="1"/>
  <c r="E2187" i="3"/>
  <c r="D2187" i="3" s="1"/>
  <c r="F2187" i="3" s="1"/>
  <c r="E2188" i="3"/>
  <c r="D2188" i="3" s="1"/>
  <c r="F2188" i="3" s="1"/>
  <c r="E2189" i="3"/>
  <c r="D2189" i="3" s="1"/>
  <c r="F2189" i="3" s="1"/>
  <c r="E2190" i="3"/>
  <c r="D2190" i="3" s="1"/>
  <c r="F2190" i="3" s="1"/>
  <c r="E2191" i="3"/>
  <c r="D2191" i="3" s="1"/>
  <c r="F2191" i="3" s="1"/>
  <c r="E2192" i="3"/>
  <c r="D2192" i="3" s="1"/>
  <c r="F2192" i="3" s="1"/>
  <c r="E2193" i="3"/>
  <c r="D2193" i="3" s="1"/>
  <c r="F2193" i="3" s="1"/>
  <c r="E2194" i="3"/>
  <c r="D2194" i="3" s="1"/>
  <c r="F2194" i="3" s="1"/>
  <c r="E2195" i="3"/>
  <c r="D2195" i="3" s="1"/>
  <c r="F2195" i="3" s="1"/>
  <c r="E2196" i="3"/>
  <c r="D2196" i="3" s="1"/>
  <c r="F2196" i="3" s="1"/>
  <c r="E2197" i="3"/>
  <c r="D2197" i="3" s="1"/>
  <c r="F2197" i="3" s="1"/>
  <c r="E2198" i="3"/>
  <c r="D2198" i="3" s="1"/>
  <c r="F2198" i="3" s="1"/>
  <c r="E2199" i="3"/>
  <c r="D2199" i="3" s="1"/>
  <c r="F2199" i="3" s="1"/>
  <c r="E2200" i="3"/>
  <c r="D2200" i="3" s="1"/>
  <c r="F2200" i="3" s="1"/>
  <c r="E2201" i="3"/>
  <c r="D2201" i="3" s="1"/>
  <c r="F2201" i="3" s="1"/>
  <c r="E2202" i="3"/>
  <c r="D2202" i="3" s="1"/>
  <c r="F2202" i="3" s="1"/>
  <c r="E2203" i="3"/>
  <c r="D2203" i="3" s="1"/>
  <c r="F2203" i="3" s="1"/>
  <c r="E2204" i="3"/>
  <c r="D2204" i="3" s="1"/>
  <c r="F2204" i="3" s="1"/>
  <c r="E2205" i="3"/>
  <c r="D2205" i="3" s="1"/>
  <c r="F2205" i="3" s="1"/>
  <c r="E2206" i="3"/>
  <c r="D2206" i="3" s="1"/>
  <c r="F2206" i="3" s="1"/>
  <c r="E2207" i="3"/>
  <c r="D2207" i="3" s="1"/>
  <c r="F2207" i="3" s="1"/>
  <c r="E2208" i="3"/>
  <c r="D2208" i="3" s="1"/>
  <c r="F2208" i="3" s="1"/>
  <c r="E2209" i="3"/>
  <c r="D2209" i="3" s="1"/>
  <c r="F2209" i="3" s="1"/>
  <c r="E2210" i="3"/>
  <c r="D2210" i="3" s="1"/>
  <c r="F2210" i="3" s="1"/>
  <c r="E2211" i="3"/>
  <c r="D2211" i="3" s="1"/>
  <c r="F2211" i="3" s="1"/>
  <c r="E2212" i="3"/>
  <c r="D2212" i="3" s="1"/>
  <c r="F2212" i="3" s="1"/>
  <c r="E2213" i="3"/>
  <c r="D2213" i="3" s="1"/>
  <c r="F2213" i="3" s="1"/>
  <c r="E2214" i="3"/>
  <c r="D2214" i="3" s="1"/>
  <c r="F2214" i="3" s="1"/>
  <c r="E2215" i="3"/>
  <c r="D2215" i="3" s="1"/>
  <c r="F2215" i="3" s="1"/>
  <c r="E2216" i="3"/>
  <c r="D2216" i="3" s="1"/>
  <c r="F2216" i="3" s="1"/>
  <c r="E2217" i="3"/>
  <c r="D2217" i="3" s="1"/>
  <c r="F2217" i="3" s="1"/>
  <c r="E2218" i="3"/>
  <c r="D2218" i="3" s="1"/>
  <c r="F2218" i="3" s="1"/>
  <c r="E2219" i="3"/>
  <c r="D2219" i="3" s="1"/>
  <c r="F2219" i="3" s="1"/>
  <c r="E2220" i="3"/>
  <c r="D2220" i="3" s="1"/>
  <c r="F2220" i="3" s="1"/>
  <c r="E2221" i="3"/>
  <c r="D2221" i="3" s="1"/>
  <c r="F2221" i="3" s="1"/>
  <c r="E2222" i="3"/>
  <c r="D2222" i="3" s="1"/>
  <c r="F2222" i="3" s="1"/>
  <c r="E2223" i="3"/>
  <c r="D2223" i="3" s="1"/>
  <c r="F2223" i="3" s="1"/>
  <c r="E2224" i="3"/>
  <c r="D2224" i="3" s="1"/>
  <c r="F2224" i="3" s="1"/>
  <c r="E2225" i="3"/>
  <c r="D2225" i="3" s="1"/>
  <c r="F2225" i="3" s="1"/>
  <c r="E2226" i="3"/>
  <c r="D2226" i="3" s="1"/>
  <c r="F2226" i="3" s="1"/>
  <c r="E2227" i="3"/>
  <c r="D2227" i="3" s="1"/>
  <c r="F2227" i="3" s="1"/>
  <c r="E2228" i="3"/>
  <c r="D2228" i="3" s="1"/>
  <c r="F2228" i="3" s="1"/>
  <c r="E2229" i="3"/>
  <c r="D2229" i="3" s="1"/>
  <c r="F2229" i="3" s="1"/>
  <c r="E2230" i="3"/>
  <c r="D2230" i="3" s="1"/>
  <c r="F2230" i="3" s="1"/>
  <c r="E2231" i="3"/>
  <c r="D2231" i="3" s="1"/>
  <c r="F2231" i="3" s="1"/>
  <c r="E2232" i="3"/>
  <c r="D2232" i="3" s="1"/>
  <c r="F2232" i="3" s="1"/>
  <c r="E2233" i="3"/>
  <c r="D2233" i="3" s="1"/>
  <c r="F2233" i="3" s="1"/>
  <c r="E2234" i="3"/>
  <c r="D2234" i="3" s="1"/>
  <c r="F2234" i="3" s="1"/>
  <c r="E2235" i="3"/>
  <c r="D2235" i="3" s="1"/>
  <c r="F2235" i="3" s="1"/>
  <c r="E2236" i="3"/>
  <c r="D2236" i="3" s="1"/>
  <c r="F2236" i="3" s="1"/>
  <c r="E2237" i="3"/>
  <c r="D2237" i="3" s="1"/>
  <c r="F2237" i="3" s="1"/>
  <c r="E2238" i="3"/>
  <c r="D2238" i="3" s="1"/>
  <c r="F2238" i="3" s="1"/>
  <c r="E2239" i="3"/>
  <c r="D2239" i="3" s="1"/>
  <c r="F2239" i="3" s="1"/>
  <c r="E2240" i="3"/>
  <c r="D2240" i="3" s="1"/>
  <c r="F2240" i="3" s="1"/>
  <c r="E2241" i="3"/>
  <c r="D2241" i="3" s="1"/>
  <c r="F2241" i="3" s="1"/>
  <c r="E2242" i="3"/>
  <c r="D2242" i="3" s="1"/>
  <c r="F2242" i="3" s="1"/>
  <c r="E2243" i="3"/>
  <c r="D2243" i="3" s="1"/>
  <c r="F2243" i="3" s="1"/>
  <c r="E2244" i="3"/>
  <c r="D2244" i="3" s="1"/>
  <c r="F2244" i="3" s="1"/>
  <c r="E2245" i="3"/>
  <c r="D2245" i="3" s="1"/>
  <c r="F2245" i="3" s="1"/>
  <c r="E2246" i="3"/>
  <c r="D2246" i="3" s="1"/>
  <c r="F2246" i="3" s="1"/>
  <c r="E2247" i="3"/>
  <c r="D2247" i="3" s="1"/>
  <c r="F2247" i="3" s="1"/>
  <c r="E2248" i="3"/>
  <c r="D2248" i="3" s="1"/>
  <c r="F2248" i="3" s="1"/>
  <c r="E2249" i="3"/>
  <c r="D2249" i="3" s="1"/>
  <c r="F2249" i="3" s="1"/>
  <c r="E2250" i="3"/>
  <c r="D2250" i="3" s="1"/>
  <c r="F2250" i="3" s="1"/>
  <c r="E2251" i="3"/>
  <c r="D2251" i="3" s="1"/>
  <c r="F2251" i="3" s="1"/>
  <c r="E2252" i="3"/>
  <c r="D2252" i="3" s="1"/>
  <c r="F2252" i="3" s="1"/>
  <c r="E2253" i="3"/>
  <c r="D2253" i="3" s="1"/>
  <c r="F2253" i="3" s="1"/>
  <c r="E2254" i="3"/>
  <c r="D2254" i="3" s="1"/>
  <c r="F2254" i="3" s="1"/>
  <c r="E2255" i="3"/>
  <c r="D2255" i="3" s="1"/>
  <c r="F2255" i="3" s="1"/>
  <c r="E2256" i="3"/>
  <c r="D2256" i="3" s="1"/>
  <c r="F2256" i="3" s="1"/>
  <c r="E2257" i="3"/>
  <c r="D2257" i="3" s="1"/>
  <c r="F2257" i="3" s="1"/>
  <c r="E2258" i="3"/>
  <c r="D2258" i="3" s="1"/>
  <c r="F2258" i="3" s="1"/>
  <c r="E2259" i="3"/>
  <c r="D2259" i="3" s="1"/>
  <c r="F2259" i="3" s="1"/>
  <c r="E2260" i="3"/>
  <c r="D2260" i="3" s="1"/>
  <c r="F2260" i="3" s="1"/>
  <c r="E2261" i="3"/>
  <c r="D2261" i="3" s="1"/>
  <c r="F2261" i="3" s="1"/>
  <c r="E2262" i="3"/>
  <c r="D2262" i="3" s="1"/>
  <c r="F2262" i="3" s="1"/>
  <c r="E2263" i="3"/>
  <c r="D2263" i="3" s="1"/>
  <c r="F2263" i="3" s="1"/>
  <c r="E2264" i="3"/>
  <c r="D2264" i="3" s="1"/>
  <c r="F2264" i="3" s="1"/>
  <c r="E2265" i="3"/>
  <c r="D2265" i="3" s="1"/>
  <c r="F2265" i="3" s="1"/>
  <c r="E2266" i="3"/>
  <c r="D2266" i="3" s="1"/>
  <c r="F2266" i="3" s="1"/>
  <c r="E2267" i="3"/>
  <c r="D2267" i="3" s="1"/>
  <c r="F2267" i="3" s="1"/>
  <c r="E2268" i="3"/>
  <c r="D2268" i="3" s="1"/>
  <c r="F2268" i="3" s="1"/>
  <c r="E2269" i="3"/>
  <c r="D2269" i="3" s="1"/>
  <c r="F2269" i="3" s="1"/>
  <c r="E2270" i="3"/>
  <c r="D2270" i="3" s="1"/>
  <c r="F2270" i="3" s="1"/>
  <c r="E2271" i="3"/>
  <c r="D2271" i="3" s="1"/>
  <c r="F2271" i="3" s="1"/>
  <c r="E2272" i="3"/>
  <c r="D2272" i="3" s="1"/>
  <c r="F2272" i="3" s="1"/>
  <c r="E2273" i="3"/>
  <c r="D2273" i="3" s="1"/>
  <c r="F2273" i="3" s="1"/>
  <c r="E2274" i="3"/>
  <c r="D2274" i="3" s="1"/>
  <c r="F2274" i="3" s="1"/>
  <c r="E2275" i="3"/>
  <c r="D2275" i="3" s="1"/>
  <c r="F2275" i="3" s="1"/>
  <c r="E2276" i="3"/>
  <c r="D2276" i="3" s="1"/>
  <c r="F2276" i="3" s="1"/>
  <c r="E2277" i="3"/>
  <c r="D2277" i="3" s="1"/>
  <c r="F2277" i="3" s="1"/>
  <c r="E2278" i="3"/>
  <c r="D2278" i="3" s="1"/>
  <c r="F2278" i="3" s="1"/>
  <c r="E2279" i="3"/>
  <c r="D2279" i="3" s="1"/>
  <c r="F2279" i="3" s="1"/>
  <c r="E2280" i="3"/>
  <c r="D2280" i="3" s="1"/>
  <c r="F2280" i="3" s="1"/>
  <c r="E2281" i="3"/>
  <c r="D2281" i="3" s="1"/>
  <c r="F2281" i="3" s="1"/>
  <c r="E2282" i="3"/>
  <c r="D2282" i="3" s="1"/>
  <c r="F2282" i="3" s="1"/>
  <c r="E2283" i="3"/>
  <c r="D2283" i="3" s="1"/>
  <c r="F2283" i="3" s="1"/>
  <c r="E2284" i="3"/>
  <c r="D2284" i="3" s="1"/>
  <c r="F2284" i="3" s="1"/>
  <c r="E2285" i="3"/>
  <c r="D2285" i="3" s="1"/>
  <c r="F2285" i="3" s="1"/>
  <c r="E2286" i="3"/>
  <c r="D2286" i="3" s="1"/>
  <c r="F2286" i="3" s="1"/>
  <c r="E2287" i="3"/>
  <c r="D2287" i="3" s="1"/>
  <c r="F2287" i="3" s="1"/>
  <c r="E2288" i="3"/>
  <c r="D2288" i="3" s="1"/>
  <c r="F2288" i="3" s="1"/>
  <c r="E2289" i="3"/>
  <c r="D2289" i="3" s="1"/>
  <c r="F2289" i="3" s="1"/>
  <c r="E2290" i="3"/>
  <c r="D2290" i="3" s="1"/>
  <c r="F2290" i="3" s="1"/>
  <c r="E2291" i="3"/>
  <c r="D2291" i="3" s="1"/>
  <c r="F2291" i="3" s="1"/>
  <c r="E2292" i="3"/>
  <c r="D2292" i="3" s="1"/>
  <c r="F2292" i="3" s="1"/>
  <c r="E2293" i="3"/>
  <c r="D2293" i="3" s="1"/>
  <c r="F2293" i="3" s="1"/>
  <c r="E2294" i="3"/>
  <c r="D2294" i="3" s="1"/>
  <c r="F2294" i="3" s="1"/>
  <c r="E2295" i="3"/>
  <c r="D2295" i="3" s="1"/>
  <c r="F2295" i="3" s="1"/>
  <c r="E2296" i="3"/>
  <c r="D2296" i="3" s="1"/>
  <c r="F2296" i="3" s="1"/>
  <c r="E2297" i="3"/>
  <c r="D2297" i="3" s="1"/>
  <c r="F2297" i="3" s="1"/>
  <c r="E2298" i="3"/>
  <c r="D2298" i="3" s="1"/>
  <c r="F2298" i="3" s="1"/>
  <c r="E2299" i="3"/>
  <c r="D2299" i="3" s="1"/>
  <c r="F2299" i="3" s="1"/>
  <c r="E2300" i="3"/>
  <c r="D2300" i="3" s="1"/>
  <c r="F2300" i="3" s="1"/>
  <c r="E2301" i="3"/>
  <c r="D2301" i="3" s="1"/>
  <c r="F2301" i="3" s="1"/>
  <c r="E2302" i="3"/>
  <c r="D2302" i="3" s="1"/>
  <c r="F2302" i="3" s="1"/>
  <c r="E2303" i="3"/>
  <c r="D2303" i="3" s="1"/>
  <c r="F2303" i="3" s="1"/>
  <c r="E2304" i="3"/>
  <c r="D2304" i="3" s="1"/>
  <c r="F2304" i="3" s="1"/>
  <c r="E2305" i="3"/>
  <c r="D2305" i="3" s="1"/>
  <c r="F2305" i="3" s="1"/>
  <c r="E2306" i="3"/>
  <c r="D2306" i="3" s="1"/>
  <c r="F2306" i="3" s="1"/>
  <c r="E2307" i="3"/>
  <c r="D2307" i="3" s="1"/>
  <c r="F2307" i="3" s="1"/>
  <c r="E2308" i="3"/>
  <c r="D2308" i="3" s="1"/>
  <c r="F2308" i="3" s="1"/>
  <c r="E2309" i="3"/>
  <c r="D2309" i="3" s="1"/>
  <c r="F2309" i="3" s="1"/>
  <c r="E2310" i="3"/>
  <c r="D2310" i="3" s="1"/>
  <c r="F2310" i="3" s="1"/>
  <c r="E2311" i="3"/>
  <c r="D2311" i="3" s="1"/>
  <c r="F2311" i="3" s="1"/>
  <c r="E2312" i="3"/>
  <c r="D2312" i="3" s="1"/>
  <c r="F2312" i="3" s="1"/>
  <c r="E2313" i="3"/>
  <c r="D2313" i="3" s="1"/>
  <c r="F2313" i="3" s="1"/>
  <c r="E2314" i="3"/>
  <c r="D2314" i="3" s="1"/>
  <c r="F2314" i="3" s="1"/>
  <c r="E2315" i="3"/>
  <c r="D2315" i="3" s="1"/>
  <c r="F2315" i="3" s="1"/>
  <c r="E2316" i="3"/>
  <c r="D2316" i="3" s="1"/>
  <c r="F2316" i="3" s="1"/>
  <c r="E2317" i="3"/>
  <c r="D2317" i="3" s="1"/>
  <c r="F2317" i="3" s="1"/>
  <c r="E2318" i="3"/>
  <c r="D2318" i="3" s="1"/>
  <c r="F2318" i="3" s="1"/>
  <c r="E2319" i="3"/>
  <c r="D2319" i="3" s="1"/>
  <c r="F2319" i="3" s="1"/>
  <c r="E2320" i="3"/>
  <c r="D2320" i="3" s="1"/>
  <c r="F2320" i="3" s="1"/>
  <c r="E2321" i="3"/>
  <c r="D2321" i="3" s="1"/>
  <c r="F2321" i="3" s="1"/>
  <c r="E2322" i="3"/>
  <c r="D2322" i="3" s="1"/>
  <c r="F2322" i="3" s="1"/>
  <c r="E2323" i="3"/>
  <c r="D2323" i="3" s="1"/>
  <c r="F2323" i="3" s="1"/>
  <c r="E2324" i="3"/>
  <c r="D2324" i="3" s="1"/>
  <c r="F2324" i="3" s="1"/>
  <c r="E2325" i="3"/>
  <c r="D2325" i="3" s="1"/>
  <c r="F2325" i="3" s="1"/>
  <c r="E2326" i="3"/>
  <c r="D2326" i="3" s="1"/>
  <c r="F2326" i="3" s="1"/>
  <c r="E2327" i="3"/>
  <c r="D2327" i="3" s="1"/>
  <c r="F2327" i="3" s="1"/>
  <c r="E2328" i="3"/>
  <c r="D2328" i="3" s="1"/>
  <c r="F2328" i="3" s="1"/>
  <c r="E2329" i="3"/>
  <c r="D2329" i="3" s="1"/>
  <c r="F2329" i="3" s="1"/>
  <c r="E2330" i="3"/>
  <c r="D2330" i="3" s="1"/>
  <c r="F2330" i="3" s="1"/>
  <c r="E2331" i="3"/>
  <c r="D2331" i="3" s="1"/>
  <c r="F2331" i="3" s="1"/>
  <c r="E2332" i="3"/>
  <c r="D2332" i="3" s="1"/>
  <c r="F2332" i="3" s="1"/>
  <c r="E2333" i="3"/>
  <c r="D2333" i="3" s="1"/>
  <c r="F2333" i="3" s="1"/>
  <c r="E2334" i="3"/>
  <c r="D2334" i="3" s="1"/>
  <c r="F2334" i="3" s="1"/>
  <c r="E2335" i="3"/>
  <c r="D2335" i="3" s="1"/>
  <c r="F2335" i="3" s="1"/>
  <c r="E2336" i="3"/>
  <c r="D2336" i="3" s="1"/>
  <c r="F2336" i="3" s="1"/>
  <c r="E2337" i="3"/>
  <c r="D2337" i="3" s="1"/>
  <c r="F2337" i="3" s="1"/>
  <c r="E2338" i="3"/>
  <c r="D2338" i="3" s="1"/>
  <c r="F2338" i="3" s="1"/>
  <c r="E2339" i="3"/>
  <c r="D2339" i="3" s="1"/>
  <c r="F2339" i="3" s="1"/>
  <c r="E2340" i="3"/>
  <c r="D2340" i="3" s="1"/>
  <c r="F2340" i="3" s="1"/>
  <c r="E2341" i="3"/>
  <c r="D2341" i="3" s="1"/>
  <c r="F2341" i="3" s="1"/>
  <c r="E2342" i="3"/>
  <c r="D2342" i="3" s="1"/>
  <c r="F2342" i="3" s="1"/>
  <c r="E2343" i="3"/>
  <c r="D2343" i="3" s="1"/>
  <c r="F2343" i="3" s="1"/>
  <c r="E2344" i="3"/>
  <c r="D2344" i="3" s="1"/>
  <c r="F2344" i="3" s="1"/>
  <c r="E2345" i="3"/>
  <c r="D2345" i="3" s="1"/>
  <c r="F2345" i="3" s="1"/>
  <c r="E2346" i="3"/>
  <c r="D2346" i="3" s="1"/>
  <c r="F2346" i="3" s="1"/>
  <c r="E2347" i="3"/>
  <c r="D2347" i="3" s="1"/>
  <c r="F2347" i="3" s="1"/>
  <c r="E2348" i="3"/>
  <c r="D2348" i="3" s="1"/>
  <c r="F2348" i="3" s="1"/>
  <c r="E2349" i="3"/>
  <c r="D2349" i="3" s="1"/>
  <c r="F2349" i="3" s="1"/>
  <c r="E2350" i="3"/>
  <c r="D2350" i="3" s="1"/>
  <c r="F2350" i="3" s="1"/>
  <c r="E2351" i="3"/>
  <c r="D2351" i="3" s="1"/>
  <c r="F2351" i="3" s="1"/>
  <c r="E2352" i="3"/>
  <c r="D2352" i="3" s="1"/>
  <c r="F2352" i="3" s="1"/>
  <c r="E2353" i="3"/>
  <c r="D2353" i="3" s="1"/>
  <c r="F2353" i="3" s="1"/>
  <c r="E2354" i="3"/>
  <c r="D2354" i="3" s="1"/>
  <c r="F2354" i="3" s="1"/>
  <c r="E2355" i="3"/>
  <c r="D2355" i="3" s="1"/>
  <c r="F2355" i="3" s="1"/>
  <c r="E2356" i="3"/>
  <c r="D2356" i="3" s="1"/>
  <c r="F2356" i="3" s="1"/>
  <c r="E2357" i="3"/>
  <c r="D2357" i="3" s="1"/>
  <c r="F2357" i="3" s="1"/>
  <c r="E2358" i="3"/>
  <c r="D2358" i="3" s="1"/>
  <c r="F2358" i="3" s="1"/>
  <c r="E2359" i="3"/>
  <c r="D2359" i="3" s="1"/>
  <c r="F2359" i="3" s="1"/>
  <c r="E2360" i="3"/>
  <c r="D2360" i="3" s="1"/>
  <c r="F2360" i="3" s="1"/>
  <c r="E2361" i="3"/>
  <c r="D2361" i="3" s="1"/>
  <c r="F2361" i="3" s="1"/>
  <c r="E2362" i="3"/>
  <c r="D2362" i="3" s="1"/>
  <c r="F2362" i="3" s="1"/>
  <c r="E2363" i="3"/>
  <c r="D2363" i="3" s="1"/>
  <c r="F2363" i="3" s="1"/>
  <c r="E2364" i="3"/>
  <c r="D2364" i="3" s="1"/>
  <c r="F2364" i="3" s="1"/>
  <c r="E2365" i="3"/>
  <c r="D2365" i="3" s="1"/>
  <c r="F2365" i="3" s="1"/>
  <c r="E2366" i="3"/>
  <c r="D2366" i="3" s="1"/>
  <c r="F2366" i="3" s="1"/>
  <c r="E2367" i="3"/>
  <c r="D2367" i="3" s="1"/>
  <c r="F2367" i="3" s="1"/>
  <c r="E2368" i="3"/>
  <c r="D2368" i="3" s="1"/>
  <c r="F2368" i="3" s="1"/>
  <c r="E2369" i="3"/>
  <c r="D2369" i="3" s="1"/>
  <c r="F2369" i="3" s="1"/>
  <c r="E2370" i="3"/>
  <c r="D2370" i="3" s="1"/>
  <c r="F2370" i="3" s="1"/>
  <c r="E2371" i="3"/>
  <c r="D2371" i="3" s="1"/>
  <c r="F2371" i="3" s="1"/>
  <c r="E2372" i="3"/>
  <c r="D2372" i="3" s="1"/>
  <c r="F2372" i="3" s="1"/>
  <c r="E2373" i="3"/>
  <c r="D2373" i="3" s="1"/>
  <c r="F2373" i="3" s="1"/>
  <c r="E2374" i="3"/>
  <c r="D2374" i="3" s="1"/>
  <c r="F2374" i="3" s="1"/>
  <c r="E2375" i="3"/>
  <c r="D2375" i="3" s="1"/>
  <c r="F2375" i="3" s="1"/>
  <c r="E2376" i="3"/>
  <c r="D2376" i="3" s="1"/>
  <c r="F2376" i="3" s="1"/>
  <c r="E2377" i="3"/>
  <c r="D2377" i="3" s="1"/>
  <c r="F2377" i="3" s="1"/>
  <c r="E2378" i="3"/>
  <c r="D2378" i="3" s="1"/>
  <c r="F2378" i="3" s="1"/>
  <c r="E2379" i="3"/>
  <c r="D2379" i="3" s="1"/>
  <c r="F2379" i="3" s="1"/>
  <c r="E2380" i="3"/>
  <c r="D2380" i="3" s="1"/>
  <c r="F2380" i="3" s="1"/>
  <c r="E2381" i="3"/>
  <c r="D2381" i="3" s="1"/>
  <c r="F2381" i="3" s="1"/>
  <c r="E2382" i="3"/>
  <c r="D2382" i="3" s="1"/>
  <c r="F2382" i="3" s="1"/>
  <c r="E2383" i="3"/>
  <c r="D2383" i="3" s="1"/>
  <c r="F2383" i="3" s="1"/>
  <c r="E2384" i="3"/>
  <c r="D2384" i="3" s="1"/>
  <c r="F2384" i="3" s="1"/>
  <c r="E2385" i="3"/>
  <c r="D2385" i="3" s="1"/>
  <c r="F2385" i="3" s="1"/>
  <c r="E2386" i="3"/>
  <c r="D2386" i="3" s="1"/>
  <c r="F2386" i="3" s="1"/>
  <c r="E2387" i="3"/>
  <c r="D2387" i="3" s="1"/>
  <c r="F2387" i="3" s="1"/>
  <c r="E2388" i="3"/>
  <c r="D2388" i="3" s="1"/>
  <c r="F2388" i="3" s="1"/>
  <c r="E2389" i="3"/>
  <c r="D2389" i="3" s="1"/>
  <c r="F2389" i="3" s="1"/>
  <c r="E2390" i="3"/>
  <c r="D2390" i="3" s="1"/>
  <c r="F2390" i="3" s="1"/>
  <c r="E2391" i="3"/>
  <c r="D2391" i="3" s="1"/>
  <c r="F2391" i="3" s="1"/>
  <c r="E2392" i="3"/>
  <c r="D2392" i="3" s="1"/>
  <c r="F2392" i="3" s="1"/>
  <c r="E2393" i="3"/>
  <c r="D2393" i="3" s="1"/>
  <c r="F2393" i="3" s="1"/>
  <c r="E2394" i="3"/>
  <c r="D2394" i="3" s="1"/>
  <c r="F2394" i="3" s="1"/>
  <c r="E2395" i="3"/>
  <c r="D2395" i="3" s="1"/>
  <c r="F2395" i="3" s="1"/>
  <c r="E2396" i="3"/>
  <c r="D2396" i="3" s="1"/>
  <c r="F2396" i="3" s="1"/>
  <c r="E2397" i="3"/>
  <c r="D2397" i="3" s="1"/>
  <c r="F2397" i="3" s="1"/>
  <c r="E2398" i="3"/>
  <c r="D2398" i="3" s="1"/>
  <c r="F2398" i="3" s="1"/>
  <c r="E2399" i="3"/>
  <c r="D2399" i="3" s="1"/>
  <c r="F2399" i="3" s="1"/>
  <c r="E2400" i="3"/>
  <c r="D2400" i="3" s="1"/>
  <c r="F2400" i="3" s="1"/>
  <c r="E2401" i="3"/>
  <c r="D2401" i="3" s="1"/>
  <c r="F2401" i="3" s="1"/>
  <c r="E2402" i="3"/>
  <c r="D2402" i="3" s="1"/>
  <c r="F2402" i="3" s="1"/>
  <c r="E2403" i="3"/>
  <c r="D2403" i="3" s="1"/>
  <c r="F2403" i="3" s="1"/>
  <c r="E2404" i="3"/>
  <c r="D2404" i="3" s="1"/>
  <c r="F2404" i="3" s="1"/>
  <c r="E2405" i="3"/>
  <c r="D2405" i="3" s="1"/>
  <c r="F2405" i="3" s="1"/>
  <c r="E2406" i="3"/>
  <c r="D2406" i="3" s="1"/>
  <c r="F2406" i="3" s="1"/>
  <c r="E2407" i="3"/>
  <c r="D2407" i="3" s="1"/>
  <c r="F2407" i="3" s="1"/>
  <c r="E2408" i="3"/>
  <c r="D2408" i="3" s="1"/>
  <c r="F2408" i="3" s="1"/>
  <c r="E2409" i="3"/>
  <c r="D2409" i="3" s="1"/>
  <c r="F2409" i="3" s="1"/>
  <c r="E2410" i="3"/>
  <c r="D2410" i="3" s="1"/>
  <c r="F2410" i="3" s="1"/>
  <c r="E2411" i="3"/>
  <c r="D2411" i="3" s="1"/>
  <c r="F2411" i="3" s="1"/>
  <c r="E2412" i="3"/>
  <c r="D2412" i="3" s="1"/>
  <c r="F2412" i="3" s="1"/>
  <c r="E2413" i="3"/>
  <c r="D2413" i="3" s="1"/>
  <c r="F2413" i="3" s="1"/>
  <c r="E2414" i="3"/>
  <c r="D2414" i="3" s="1"/>
  <c r="F2414" i="3" s="1"/>
  <c r="E2415" i="3"/>
  <c r="D2415" i="3" s="1"/>
  <c r="F2415" i="3" s="1"/>
  <c r="E2416" i="3"/>
  <c r="D2416" i="3" s="1"/>
  <c r="F2416" i="3" s="1"/>
  <c r="E2417" i="3"/>
  <c r="D2417" i="3" s="1"/>
  <c r="F2417" i="3" s="1"/>
  <c r="E2418" i="3"/>
  <c r="D2418" i="3" s="1"/>
  <c r="F2418" i="3" s="1"/>
  <c r="E2419" i="3"/>
  <c r="D2419" i="3" s="1"/>
  <c r="F2419" i="3" s="1"/>
  <c r="E2420" i="3"/>
  <c r="D2420" i="3" s="1"/>
  <c r="F2420" i="3" s="1"/>
  <c r="E2421" i="3"/>
  <c r="D2421" i="3" s="1"/>
  <c r="F2421" i="3" s="1"/>
  <c r="E2422" i="3"/>
  <c r="D2422" i="3" s="1"/>
  <c r="F2422" i="3" s="1"/>
  <c r="E2423" i="3"/>
  <c r="D2423" i="3" s="1"/>
  <c r="F2423" i="3" s="1"/>
  <c r="E2424" i="3"/>
  <c r="D2424" i="3" s="1"/>
  <c r="F2424" i="3" s="1"/>
  <c r="E2425" i="3"/>
  <c r="D2425" i="3" s="1"/>
  <c r="F2425" i="3" s="1"/>
  <c r="E2426" i="3"/>
  <c r="D2426" i="3" s="1"/>
  <c r="F2426" i="3" s="1"/>
  <c r="E2427" i="3"/>
  <c r="D2427" i="3" s="1"/>
  <c r="F2427" i="3" s="1"/>
  <c r="E2428" i="3"/>
  <c r="D2428" i="3" s="1"/>
  <c r="F2428" i="3" s="1"/>
  <c r="E2429" i="3"/>
  <c r="D2429" i="3" s="1"/>
  <c r="F2429" i="3" s="1"/>
  <c r="E2430" i="3"/>
  <c r="D2430" i="3" s="1"/>
  <c r="F2430" i="3" s="1"/>
  <c r="E2431" i="3"/>
  <c r="D2431" i="3" s="1"/>
  <c r="F2431" i="3" s="1"/>
  <c r="E2432" i="3"/>
  <c r="D2432" i="3" s="1"/>
  <c r="F2432" i="3" s="1"/>
  <c r="E2433" i="3"/>
  <c r="D2433" i="3" s="1"/>
  <c r="F2433" i="3" s="1"/>
  <c r="E2434" i="3"/>
  <c r="D2434" i="3" s="1"/>
  <c r="F2434" i="3" s="1"/>
  <c r="E2435" i="3"/>
  <c r="D2435" i="3" s="1"/>
  <c r="F2435" i="3" s="1"/>
  <c r="E2436" i="3"/>
  <c r="D2436" i="3" s="1"/>
  <c r="F2436" i="3" s="1"/>
  <c r="E2437" i="3"/>
  <c r="D2437" i="3" s="1"/>
  <c r="F2437" i="3" s="1"/>
  <c r="E2438" i="3"/>
  <c r="D2438" i="3" s="1"/>
  <c r="F2438" i="3" s="1"/>
  <c r="E2439" i="3"/>
  <c r="D2439" i="3" s="1"/>
  <c r="F2439" i="3" s="1"/>
  <c r="E2440" i="3"/>
  <c r="D2440" i="3" s="1"/>
  <c r="F2440" i="3" s="1"/>
  <c r="E2441" i="3"/>
  <c r="D2441" i="3" s="1"/>
  <c r="F2441" i="3" s="1"/>
  <c r="E2442" i="3"/>
  <c r="D2442" i="3" s="1"/>
  <c r="F2442" i="3" s="1"/>
  <c r="E2443" i="3"/>
  <c r="D2443" i="3" s="1"/>
  <c r="F2443" i="3" s="1"/>
  <c r="E2444" i="3"/>
  <c r="D2444" i="3" s="1"/>
  <c r="F2444" i="3" s="1"/>
  <c r="E2445" i="3"/>
  <c r="D2445" i="3" s="1"/>
  <c r="F2445" i="3" s="1"/>
  <c r="E2446" i="3"/>
  <c r="D2446" i="3" s="1"/>
  <c r="F2446" i="3" s="1"/>
  <c r="E2447" i="3"/>
  <c r="D2447" i="3" s="1"/>
  <c r="F2447" i="3" s="1"/>
  <c r="E2448" i="3"/>
  <c r="D2448" i="3" s="1"/>
  <c r="F2448" i="3" s="1"/>
  <c r="E2449" i="3"/>
  <c r="D2449" i="3" s="1"/>
  <c r="F2449" i="3" s="1"/>
  <c r="E2450" i="3"/>
  <c r="D2450" i="3" s="1"/>
  <c r="F2450" i="3" s="1"/>
  <c r="E2451" i="3"/>
  <c r="D2451" i="3" s="1"/>
  <c r="F2451" i="3" s="1"/>
  <c r="E2452" i="3"/>
  <c r="D2452" i="3" s="1"/>
  <c r="F2452" i="3" s="1"/>
  <c r="E2453" i="3"/>
  <c r="D2453" i="3" s="1"/>
  <c r="F2453" i="3" s="1"/>
  <c r="E2454" i="3"/>
  <c r="D2454" i="3" s="1"/>
  <c r="F2454" i="3" s="1"/>
  <c r="E2455" i="3"/>
  <c r="D2455" i="3" s="1"/>
  <c r="F2455" i="3" s="1"/>
  <c r="E2456" i="3"/>
  <c r="D2456" i="3" s="1"/>
  <c r="F2456" i="3" s="1"/>
  <c r="E2457" i="3"/>
  <c r="D2457" i="3" s="1"/>
  <c r="F2457" i="3" s="1"/>
  <c r="E2458" i="3"/>
  <c r="D2458" i="3" s="1"/>
  <c r="F2458" i="3" s="1"/>
  <c r="E2459" i="3"/>
  <c r="D2459" i="3" s="1"/>
  <c r="F2459" i="3" s="1"/>
  <c r="E2460" i="3"/>
  <c r="D2460" i="3" s="1"/>
  <c r="F2460" i="3" s="1"/>
  <c r="E2461" i="3"/>
  <c r="D2461" i="3" s="1"/>
  <c r="F2461" i="3" s="1"/>
  <c r="E2462" i="3"/>
  <c r="D2462" i="3" s="1"/>
  <c r="F2462" i="3" s="1"/>
  <c r="E2463" i="3"/>
  <c r="D2463" i="3" s="1"/>
  <c r="F2463" i="3" s="1"/>
  <c r="E2464" i="3"/>
  <c r="D2464" i="3" s="1"/>
  <c r="F2464" i="3" s="1"/>
  <c r="E2465" i="3"/>
  <c r="D2465" i="3" s="1"/>
  <c r="F2465" i="3" s="1"/>
  <c r="E2466" i="3"/>
  <c r="D2466" i="3" s="1"/>
  <c r="F2466" i="3" s="1"/>
  <c r="E2467" i="3"/>
  <c r="D2467" i="3" s="1"/>
  <c r="F2467" i="3" s="1"/>
  <c r="E2468" i="3"/>
  <c r="D2468" i="3" s="1"/>
  <c r="F2468" i="3" s="1"/>
  <c r="E2469" i="3"/>
  <c r="D2469" i="3" s="1"/>
  <c r="F2469" i="3" s="1"/>
  <c r="E2470" i="3"/>
  <c r="D2470" i="3" s="1"/>
  <c r="F2470" i="3" s="1"/>
  <c r="E2471" i="3"/>
  <c r="D2471" i="3" s="1"/>
  <c r="F2471" i="3" s="1"/>
  <c r="E2472" i="3"/>
  <c r="D2472" i="3" s="1"/>
  <c r="F2472" i="3" s="1"/>
  <c r="E2473" i="3"/>
  <c r="D2473" i="3" s="1"/>
  <c r="F2473" i="3" s="1"/>
  <c r="E2474" i="3"/>
  <c r="D2474" i="3" s="1"/>
  <c r="F2474" i="3" s="1"/>
  <c r="E2475" i="3"/>
  <c r="D2475" i="3" s="1"/>
  <c r="F2475" i="3" s="1"/>
  <c r="E2476" i="3"/>
  <c r="D2476" i="3" s="1"/>
  <c r="F2476" i="3" s="1"/>
  <c r="E2477" i="3"/>
  <c r="D2477" i="3" s="1"/>
  <c r="F2477" i="3" s="1"/>
  <c r="E2478" i="3"/>
  <c r="D2478" i="3" s="1"/>
  <c r="F2478" i="3" s="1"/>
  <c r="E2479" i="3"/>
  <c r="D2479" i="3" s="1"/>
  <c r="F2479" i="3" s="1"/>
  <c r="E2480" i="3"/>
  <c r="D2480" i="3" s="1"/>
  <c r="F2480" i="3" s="1"/>
  <c r="E2481" i="3"/>
  <c r="D2481" i="3" s="1"/>
  <c r="F2481" i="3" s="1"/>
  <c r="E2482" i="3"/>
  <c r="D2482" i="3" s="1"/>
  <c r="F2482" i="3" s="1"/>
  <c r="E2483" i="3"/>
  <c r="D2483" i="3" s="1"/>
  <c r="F2483" i="3" s="1"/>
  <c r="E2484" i="3"/>
  <c r="D2484" i="3" s="1"/>
  <c r="F2484" i="3" s="1"/>
  <c r="E2485" i="3"/>
  <c r="D2485" i="3" s="1"/>
  <c r="F2485" i="3" s="1"/>
  <c r="E2486" i="3"/>
  <c r="D2486" i="3" s="1"/>
  <c r="F2486" i="3" s="1"/>
  <c r="E2487" i="3"/>
  <c r="D2487" i="3" s="1"/>
  <c r="F2487" i="3" s="1"/>
  <c r="E2488" i="3"/>
  <c r="D2488" i="3" s="1"/>
  <c r="F2488" i="3" s="1"/>
  <c r="E2489" i="3"/>
  <c r="D2489" i="3" s="1"/>
  <c r="F2489" i="3" s="1"/>
  <c r="E2490" i="3"/>
  <c r="D2490" i="3" s="1"/>
  <c r="F2490" i="3" s="1"/>
  <c r="E2491" i="3"/>
  <c r="D2491" i="3" s="1"/>
  <c r="F2491" i="3" s="1"/>
  <c r="E2492" i="3"/>
  <c r="D2492" i="3" s="1"/>
  <c r="F2492" i="3" s="1"/>
  <c r="E2493" i="3"/>
  <c r="D2493" i="3" s="1"/>
  <c r="F2493" i="3" s="1"/>
  <c r="E2494" i="3"/>
  <c r="D2494" i="3" s="1"/>
  <c r="F2494" i="3" s="1"/>
  <c r="E2495" i="3"/>
  <c r="D2495" i="3" s="1"/>
  <c r="F2495" i="3" s="1"/>
  <c r="E2496" i="3"/>
  <c r="D2496" i="3" s="1"/>
  <c r="F2496" i="3" s="1"/>
  <c r="E2497" i="3"/>
  <c r="D2497" i="3" s="1"/>
  <c r="F2497" i="3" s="1"/>
  <c r="E2498" i="3"/>
  <c r="D2498" i="3" s="1"/>
  <c r="F2498" i="3" s="1"/>
  <c r="E2499" i="3"/>
  <c r="D2499" i="3" s="1"/>
  <c r="F2499" i="3" s="1"/>
  <c r="E2500" i="3"/>
  <c r="D2500" i="3" s="1"/>
  <c r="F2500" i="3" s="1"/>
  <c r="E2501" i="3"/>
  <c r="D2501" i="3" s="1"/>
  <c r="F2501" i="3" s="1"/>
  <c r="E2502" i="3"/>
  <c r="D2502" i="3" s="1"/>
  <c r="F2502" i="3" s="1"/>
  <c r="E2503" i="3"/>
  <c r="D2503" i="3" s="1"/>
  <c r="F2503" i="3" s="1"/>
  <c r="E2504" i="3"/>
  <c r="D2504" i="3" s="1"/>
  <c r="F2504" i="3" s="1"/>
  <c r="E2505" i="3"/>
  <c r="D2505" i="3" s="1"/>
  <c r="F2505" i="3" s="1"/>
  <c r="E2506" i="3"/>
  <c r="D2506" i="3" s="1"/>
  <c r="F2506" i="3" s="1"/>
  <c r="E2507" i="3"/>
  <c r="D2507" i="3" s="1"/>
  <c r="F2507" i="3" s="1"/>
  <c r="E2508" i="3"/>
  <c r="D2508" i="3" s="1"/>
  <c r="F2508" i="3" s="1"/>
  <c r="E2509" i="3"/>
  <c r="D2509" i="3" s="1"/>
  <c r="F2509" i="3" s="1"/>
  <c r="E2510" i="3"/>
  <c r="D2510" i="3" s="1"/>
  <c r="F2510" i="3" s="1"/>
  <c r="E2511" i="3"/>
  <c r="D2511" i="3" s="1"/>
  <c r="F2511" i="3" s="1"/>
  <c r="E2512" i="3"/>
  <c r="D2512" i="3" s="1"/>
  <c r="F2512" i="3" s="1"/>
  <c r="E2513" i="3"/>
  <c r="D2513" i="3" s="1"/>
  <c r="F2513" i="3" s="1"/>
  <c r="E2514" i="3"/>
  <c r="D2514" i="3" s="1"/>
  <c r="F2514" i="3" s="1"/>
  <c r="E2515" i="3"/>
  <c r="D2515" i="3" s="1"/>
  <c r="F2515" i="3" s="1"/>
  <c r="E2516" i="3"/>
  <c r="D2516" i="3" s="1"/>
  <c r="F2516" i="3" s="1"/>
  <c r="E2517" i="3"/>
  <c r="D2517" i="3" s="1"/>
  <c r="F2517" i="3" s="1"/>
  <c r="E2518" i="3"/>
  <c r="D2518" i="3" s="1"/>
  <c r="F2518" i="3" s="1"/>
  <c r="E2519" i="3"/>
  <c r="D2519" i="3" s="1"/>
  <c r="F2519" i="3" s="1"/>
  <c r="E2520" i="3"/>
  <c r="D2520" i="3" s="1"/>
  <c r="F2520" i="3" s="1"/>
  <c r="E2521" i="3"/>
  <c r="D2521" i="3" s="1"/>
  <c r="F2521" i="3" s="1"/>
  <c r="E2522" i="3"/>
  <c r="D2522" i="3" s="1"/>
  <c r="F2522" i="3" s="1"/>
  <c r="E2523" i="3"/>
  <c r="D2523" i="3" s="1"/>
  <c r="F2523" i="3" s="1"/>
  <c r="E2524" i="3"/>
  <c r="D2524" i="3" s="1"/>
  <c r="F2524" i="3" s="1"/>
  <c r="E2525" i="3"/>
  <c r="D2525" i="3" s="1"/>
  <c r="F2525" i="3" s="1"/>
  <c r="E2526" i="3"/>
  <c r="D2526" i="3" s="1"/>
  <c r="F2526" i="3" s="1"/>
  <c r="E2527" i="3"/>
  <c r="D2527" i="3" s="1"/>
  <c r="F2527" i="3" s="1"/>
  <c r="E2528" i="3"/>
  <c r="D2528" i="3" s="1"/>
  <c r="F2528" i="3" s="1"/>
  <c r="E2529" i="3"/>
  <c r="D2529" i="3" s="1"/>
  <c r="F2529" i="3" s="1"/>
  <c r="E2530" i="3"/>
  <c r="D2530" i="3" s="1"/>
  <c r="F2530" i="3" s="1"/>
  <c r="E2531" i="3"/>
  <c r="D2531" i="3" s="1"/>
  <c r="F2531" i="3" s="1"/>
  <c r="E2532" i="3"/>
  <c r="D2532" i="3" s="1"/>
  <c r="F2532" i="3" s="1"/>
  <c r="E2533" i="3"/>
  <c r="D2533" i="3" s="1"/>
  <c r="F2533" i="3" s="1"/>
  <c r="E2534" i="3"/>
  <c r="D2534" i="3" s="1"/>
  <c r="F2534" i="3" s="1"/>
  <c r="E2535" i="3"/>
  <c r="D2535" i="3" s="1"/>
  <c r="F2535" i="3" s="1"/>
  <c r="E2536" i="3"/>
  <c r="D2536" i="3" s="1"/>
  <c r="F2536" i="3" s="1"/>
  <c r="E2537" i="3"/>
  <c r="D2537" i="3" s="1"/>
  <c r="F2537" i="3" s="1"/>
  <c r="E2538" i="3"/>
  <c r="D2538" i="3" s="1"/>
  <c r="F2538" i="3" s="1"/>
  <c r="E2539" i="3"/>
  <c r="D2539" i="3" s="1"/>
  <c r="F2539" i="3" s="1"/>
  <c r="E2540" i="3"/>
  <c r="D2540" i="3" s="1"/>
  <c r="F2540" i="3" s="1"/>
  <c r="E2541" i="3"/>
  <c r="D2541" i="3" s="1"/>
  <c r="F2541" i="3" s="1"/>
  <c r="E2542" i="3"/>
  <c r="D2542" i="3" s="1"/>
  <c r="F2542" i="3" s="1"/>
  <c r="E2543" i="3"/>
  <c r="D2543" i="3" s="1"/>
  <c r="F2543" i="3" s="1"/>
  <c r="E2544" i="3"/>
  <c r="D2544" i="3" s="1"/>
  <c r="F2544" i="3" s="1"/>
  <c r="E2545" i="3"/>
  <c r="D2545" i="3" s="1"/>
  <c r="F2545" i="3" s="1"/>
  <c r="E2546" i="3"/>
  <c r="D2546" i="3" s="1"/>
  <c r="F2546" i="3" s="1"/>
  <c r="E2547" i="3"/>
  <c r="D2547" i="3" s="1"/>
  <c r="F2547" i="3" s="1"/>
  <c r="E2548" i="3"/>
  <c r="D2548" i="3" s="1"/>
  <c r="F2548" i="3" s="1"/>
  <c r="E2549" i="3"/>
  <c r="D2549" i="3" s="1"/>
  <c r="F2549" i="3" s="1"/>
  <c r="E2550" i="3"/>
  <c r="D2550" i="3" s="1"/>
  <c r="F2550" i="3" s="1"/>
  <c r="E2551" i="3"/>
  <c r="D2551" i="3" s="1"/>
  <c r="F2551" i="3" s="1"/>
  <c r="E2552" i="3"/>
  <c r="D2552" i="3" s="1"/>
  <c r="F2552" i="3" s="1"/>
  <c r="E2553" i="3"/>
  <c r="D2553" i="3" s="1"/>
  <c r="F2553" i="3" s="1"/>
  <c r="E2554" i="3"/>
  <c r="D2554" i="3" s="1"/>
  <c r="F2554" i="3" s="1"/>
  <c r="E2555" i="3"/>
  <c r="D2555" i="3" s="1"/>
  <c r="F2555" i="3" s="1"/>
  <c r="E2556" i="3"/>
  <c r="D2556" i="3" s="1"/>
  <c r="F2556" i="3" s="1"/>
  <c r="E2557" i="3"/>
  <c r="D2557" i="3" s="1"/>
  <c r="F2557" i="3" s="1"/>
  <c r="E2558" i="3"/>
  <c r="D2558" i="3" s="1"/>
  <c r="F2558" i="3" s="1"/>
  <c r="E2559" i="3"/>
  <c r="D2559" i="3" s="1"/>
  <c r="F2559" i="3" s="1"/>
  <c r="E2560" i="3"/>
  <c r="D2560" i="3" s="1"/>
  <c r="F2560" i="3" s="1"/>
  <c r="E2561" i="3"/>
  <c r="D2561" i="3" s="1"/>
  <c r="F2561" i="3" s="1"/>
  <c r="E2562" i="3"/>
  <c r="D2562" i="3" s="1"/>
  <c r="F2562" i="3" s="1"/>
  <c r="E2563" i="3"/>
  <c r="D2563" i="3" s="1"/>
  <c r="F2563" i="3" s="1"/>
  <c r="E2564" i="3"/>
  <c r="D2564" i="3" s="1"/>
  <c r="F2564" i="3" s="1"/>
  <c r="E2565" i="3"/>
  <c r="D2565" i="3" s="1"/>
  <c r="F2565" i="3" s="1"/>
  <c r="E2566" i="3"/>
  <c r="D2566" i="3" s="1"/>
  <c r="F2566" i="3" s="1"/>
  <c r="E2567" i="3"/>
  <c r="D2567" i="3" s="1"/>
  <c r="F2567" i="3" s="1"/>
  <c r="E2568" i="3"/>
  <c r="D2568" i="3" s="1"/>
  <c r="F2568" i="3" s="1"/>
  <c r="E2569" i="3"/>
  <c r="D2569" i="3" s="1"/>
  <c r="F2569" i="3" s="1"/>
  <c r="E2570" i="3"/>
  <c r="D2570" i="3" s="1"/>
  <c r="F2570" i="3" s="1"/>
  <c r="E2571" i="3"/>
  <c r="D2571" i="3" s="1"/>
  <c r="F2571" i="3" s="1"/>
  <c r="E2572" i="3"/>
  <c r="D2572" i="3" s="1"/>
  <c r="F2572" i="3" s="1"/>
  <c r="E2573" i="3"/>
  <c r="D2573" i="3" s="1"/>
  <c r="F2573" i="3" s="1"/>
  <c r="E2574" i="3"/>
  <c r="D2574" i="3" s="1"/>
  <c r="F2574" i="3" s="1"/>
  <c r="E2575" i="3"/>
  <c r="D2575" i="3" s="1"/>
  <c r="F2575" i="3" s="1"/>
  <c r="E2576" i="3"/>
  <c r="D2576" i="3" s="1"/>
  <c r="F2576" i="3" s="1"/>
  <c r="E2577" i="3"/>
  <c r="D2577" i="3" s="1"/>
  <c r="F2577" i="3" s="1"/>
  <c r="E2578" i="3"/>
  <c r="D2578" i="3" s="1"/>
  <c r="F2578" i="3" s="1"/>
  <c r="E2579" i="3"/>
  <c r="D2579" i="3" s="1"/>
  <c r="F2579" i="3" s="1"/>
  <c r="E2580" i="3"/>
  <c r="D2580" i="3" s="1"/>
  <c r="F2580" i="3" s="1"/>
  <c r="E2581" i="3"/>
  <c r="D2581" i="3" s="1"/>
  <c r="F2581" i="3" s="1"/>
  <c r="E2582" i="3"/>
  <c r="D2582" i="3" s="1"/>
  <c r="F2582" i="3" s="1"/>
  <c r="E2583" i="3"/>
  <c r="D2583" i="3" s="1"/>
  <c r="F2583" i="3" s="1"/>
  <c r="E2584" i="3"/>
  <c r="D2584" i="3" s="1"/>
  <c r="F2584" i="3" s="1"/>
  <c r="E2585" i="3"/>
  <c r="D2585" i="3" s="1"/>
  <c r="F2585" i="3" s="1"/>
  <c r="E2586" i="3"/>
  <c r="D2586" i="3" s="1"/>
  <c r="F2586" i="3" s="1"/>
  <c r="E2587" i="3"/>
  <c r="D2587" i="3" s="1"/>
  <c r="F2587" i="3" s="1"/>
  <c r="E2588" i="3"/>
  <c r="D2588" i="3" s="1"/>
  <c r="F2588" i="3" s="1"/>
  <c r="E2589" i="3"/>
  <c r="D2589" i="3" s="1"/>
  <c r="F2589" i="3" s="1"/>
  <c r="E2590" i="3"/>
  <c r="D2590" i="3" s="1"/>
  <c r="F2590" i="3" s="1"/>
  <c r="E2591" i="3"/>
  <c r="D2591" i="3" s="1"/>
  <c r="F2591" i="3" s="1"/>
  <c r="E2592" i="3"/>
  <c r="D2592" i="3" s="1"/>
  <c r="F2592" i="3" s="1"/>
  <c r="E2593" i="3"/>
  <c r="D2593" i="3" s="1"/>
  <c r="F2593" i="3" s="1"/>
  <c r="E2594" i="3"/>
  <c r="D2594" i="3" s="1"/>
  <c r="F2594" i="3" s="1"/>
  <c r="E2595" i="3"/>
  <c r="D2595" i="3" s="1"/>
  <c r="F2595" i="3" s="1"/>
  <c r="E2596" i="3"/>
  <c r="D2596" i="3" s="1"/>
  <c r="F2596" i="3" s="1"/>
  <c r="E2597" i="3"/>
  <c r="D2597" i="3" s="1"/>
  <c r="F2597" i="3" s="1"/>
  <c r="E2598" i="3"/>
  <c r="D2598" i="3" s="1"/>
  <c r="F2598" i="3" s="1"/>
  <c r="E2599" i="3"/>
  <c r="D2599" i="3" s="1"/>
  <c r="F2599" i="3" s="1"/>
  <c r="E2600" i="3"/>
  <c r="D2600" i="3" s="1"/>
  <c r="F2600" i="3" s="1"/>
  <c r="E2601" i="3"/>
  <c r="D2601" i="3" s="1"/>
  <c r="F2601" i="3" s="1"/>
  <c r="E2602" i="3"/>
  <c r="D2602" i="3" s="1"/>
  <c r="F2602" i="3" s="1"/>
  <c r="E2603" i="3"/>
  <c r="D2603" i="3" s="1"/>
  <c r="F2603" i="3" s="1"/>
  <c r="E2604" i="3"/>
  <c r="D2604" i="3" s="1"/>
  <c r="F2604" i="3" s="1"/>
  <c r="E2605" i="3"/>
  <c r="D2605" i="3" s="1"/>
  <c r="F2605" i="3" s="1"/>
  <c r="E2606" i="3"/>
  <c r="D2606" i="3" s="1"/>
  <c r="F2606" i="3" s="1"/>
  <c r="E2607" i="3"/>
  <c r="D2607" i="3" s="1"/>
  <c r="F2607" i="3" s="1"/>
  <c r="E2608" i="3"/>
  <c r="D2608" i="3" s="1"/>
  <c r="F2608" i="3" s="1"/>
  <c r="E2609" i="3"/>
  <c r="D2609" i="3" s="1"/>
  <c r="F2609" i="3" s="1"/>
  <c r="E2610" i="3"/>
  <c r="D2610" i="3" s="1"/>
  <c r="F2610" i="3" s="1"/>
  <c r="E2611" i="3"/>
  <c r="D2611" i="3" s="1"/>
  <c r="F2611" i="3" s="1"/>
  <c r="E2612" i="3"/>
  <c r="D2612" i="3" s="1"/>
  <c r="F2612" i="3" s="1"/>
  <c r="E2613" i="3"/>
  <c r="D2613" i="3" s="1"/>
  <c r="F2613" i="3" s="1"/>
  <c r="E2614" i="3"/>
  <c r="D2614" i="3" s="1"/>
  <c r="F2614" i="3" s="1"/>
  <c r="E2615" i="3"/>
  <c r="D2615" i="3" s="1"/>
  <c r="F2615" i="3" s="1"/>
  <c r="E2616" i="3"/>
  <c r="D2616" i="3" s="1"/>
  <c r="F2616" i="3" s="1"/>
  <c r="E2617" i="3"/>
  <c r="D2617" i="3" s="1"/>
  <c r="F2617" i="3" s="1"/>
  <c r="E2618" i="3"/>
  <c r="D2618" i="3" s="1"/>
  <c r="F2618" i="3" s="1"/>
  <c r="E2619" i="3"/>
  <c r="D2619" i="3" s="1"/>
  <c r="F2619" i="3" s="1"/>
  <c r="E2620" i="3"/>
  <c r="D2620" i="3" s="1"/>
  <c r="F2620" i="3" s="1"/>
  <c r="E2621" i="3"/>
  <c r="D2621" i="3" s="1"/>
  <c r="F2621" i="3" s="1"/>
  <c r="E2622" i="3"/>
  <c r="D2622" i="3" s="1"/>
  <c r="F2622" i="3" s="1"/>
  <c r="E2623" i="3"/>
  <c r="D2623" i="3" s="1"/>
  <c r="F2623" i="3" s="1"/>
  <c r="E2624" i="3"/>
  <c r="D2624" i="3" s="1"/>
  <c r="F2624" i="3" s="1"/>
  <c r="E2625" i="3"/>
  <c r="D2625" i="3" s="1"/>
  <c r="F2625" i="3" s="1"/>
  <c r="E2626" i="3"/>
  <c r="D2626" i="3" s="1"/>
  <c r="F2626" i="3" s="1"/>
  <c r="E2627" i="3"/>
  <c r="D2627" i="3" s="1"/>
  <c r="F2627" i="3" s="1"/>
  <c r="E2628" i="3"/>
  <c r="D2628" i="3" s="1"/>
  <c r="F2628" i="3" s="1"/>
  <c r="E2629" i="3"/>
  <c r="D2629" i="3" s="1"/>
  <c r="F2629" i="3" s="1"/>
  <c r="E2630" i="3"/>
  <c r="D2630" i="3" s="1"/>
  <c r="F2630" i="3" s="1"/>
  <c r="E2631" i="3"/>
  <c r="D2631" i="3" s="1"/>
  <c r="F2631" i="3" s="1"/>
  <c r="E2632" i="3"/>
  <c r="D2632" i="3" s="1"/>
  <c r="F2632" i="3" s="1"/>
  <c r="E2633" i="3"/>
  <c r="D2633" i="3" s="1"/>
  <c r="F2633" i="3" s="1"/>
  <c r="E2634" i="3"/>
  <c r="D2634" i="3" s="1"/>
  <c r="F2634" i="3" s="1"/>
  <c r="E2635" i="3"/>
  <c r="D2635" i="3" s="1"/>
  <c r="F2635" i="3" s="1"/>
  <c r="E2636" i="3"/>
  <c r="D2636" i="3" s="1"/>
  <c r="F2636" i="3" s="1"/>
  <c r="E2637" i="3"/>
  <c r="D2637" i="3" s="1"/>
  <c r="F2637" i="3" s="1"/>
  <c r="E2638" i="3"/>
  <c r="D2638" i="3" s="1"/>
  <c r="F2638" i="3" s="1"/>
  <c r="E2639" i="3"/>
  <c r="D2639" i="3" s="1"/>
  <c r="F2639" i="3" s="1"/>
  <c r="E2640" i="3"/>
  <c r="D2640" i="3" s="1"/>
  <c r="F2640" i="3" s="1"/>
  <c r="E2641" i="3"/>
  <c r="D2641" i="3" s="1"/>
  <c r="F2641" i="3" s="1"/>
  <c r="E2642" i="3"/>
  <c r="D2642" i="3" s="1"/>
  <c r="F2642" i="3" s="1"/>
  <c r="E2643" i="3"/>
  <c r="D2643" i="3" s="1"/>
  <c r="F2643" i="3" s="1"/>
  <c r="E2644" i="3"/>
  <c r="D2644" i="3" s="1"/>
  <c r="F2644" i="3" s="1"/>
  <c r="E2645" i="3"/>
  <c r="D2645" i="3" s="1"/>
  <c r="F2645" i="3" s="1"/>
  <c r="E2646" i="3"/>
  <c r="D2646" i="3" s="1"/>
  <c r="F2646" i="3" s="1"/>
  <c r="E2647" i="3"/>
  <c r="D2647" i="3" s="1"/>
  <c r="F2647" i="3" s="1"/>
  <c r="E2648" i="3"/>
  <c r="D2648" i="3" s="1"/>
  <c r="F2648" i="3" s="1"/>
  <c r="E2649" i="3"/>
  <c r="D2649" i="3" s="1"/>
  <c r="F2649" i="3" s="1"/>
  <c r="E2650" i="3"/>
  <c r="D2650" i="3" s="1"/>
  <c r="F2650" i="3" s="1"/>
  <c r="E2651" i="3"/>
  <c r="D2651" i="3" s="1"/>
  <c r="F2651" i="3" s="1"/>
  <c r="E2652" i="3"/>
  <c r="D2652" i="3" s="1"/>
  <c r="F2652" i="3" s="1"/>
  <c r="E2653" i="3"/>
  <c r="D2653" i="3" s="1"/>
  <c r="F2653" i="3" s="1"/>
  <c r="E2654" i="3"/>
  <c r="D2654" i="3" s="1"/>
  <c r="F2654" i="3" s="1"/>
  <c r="E2655" i="3"/>
  <c r="D2655" i="3" s="1"/>
  <c r="F2655" i="3" s="1"/>
  <c r="E2656" i="3"/>
  <c r="D2656" i="3" s="1"/>
  <c r="F2656" i="3" s="1"/>
  <c r="E2657" i="3"/>
  <c r="D2657" i="3" s="1"/>
  <c r="F2657" i="3" s="1"/>
  <c r="E2658" i="3"/>
  <c r="D2658" i="3" s="1"/>
  <c r="F2658" i="3" s="1"/>
  <c r="E2659" i="3"/>
  <c r="D2659" i="3" s="1"/>
  <c r="F2659" i="3" s="1"/>
  <c r="E2660" i="3"/>
  <c r="D2660" i="3" s="1"/>
  <c r="F2660" i="3" s="1"/>
  <c r="E2661" i="3"/>
  <c r="D2661" i="3" s="1"/>
  <c r="F2661" i="3" s="1"/>
  <c r="E2662" i="3"/>
  <c r="D2662" i="3" s="1"/>
  <c r="F2662" i="3" s="1"/>
  <c r="E2663" i="3"/>
  <c r="D2663" i="3" s="1"/>
  <c r="F2663" i="3" s="1"/>
  <c r="E2664" i="3"/>
  <c r="D2664" i="3" s="1"/>
  <c r="F2664" i="3" s="1"/>
  <c r="E2665" i="3"/>
  <c r="D2665" i="3" s="1"/>
  <c r="F2665" i="3" s="1"/>
  <c r="E2666" i="3"/>
  <c r="D2666" i="3" s="1"/>
  <c r="F2666" i="3" s="1"/>
  <c r="E2667" i="3"/>
  <c r="D2667" i="3" s="1"/>
  <c r="F2667" i="3" s="1"/>
  <c r="E2668" i="3"/>
  <c r="D2668" i="3" s="1"/>
  <c r="F2668" i="3" s="1"/>
  <c r="E2669" i="3"/>
  <c r="D2669" i="3" s="1"/>
  <c r="F2669" i="3" s="1"/>
  <c r="E2670" i="3"/>
  <c r="D2670" i="3" s="1"/>
  <c r="F2670" i="3" s="1"/>
  <c r="E2671" i="3"/>
  <c r="D2671" i="3" s="1"/>
  <c r="F2671" i="3" s="1"/>
  <c r="E2672" i="3"/>
  <c r="D2672" i="3" s="1"/>
  <c r="F2672" i="3" s="1"/>
  <c r="E2673" i="3"/>
  <c r="D2673" i="3" s="1"/>
  <c r="F2673" i="3" s="1"/>
  <c r="E2674" i="3"/>
  <c r="D2674" i="3" s="1"/>
  <c r="F2674" i="3" s="1"/>
  <c r="E2675" i="3"/>
  <c r="D2675" i="3" s="1"/>
  <c r="F2675" i="3" s="1"/>
  <c r="E2676" i="3"/>
  <c r="D2676" i="3" s="1"/>
  <c r="F2676" i="3" s="1"/>
  <c r="E2677" i="3"/>
  <c r="D2677" i="3" s="1"/>
  <c r="F2677" i="3" s="1"/>
  <c r="E2678" i="3"/>
  <c r="D2678" i="3" s="1"/>
  <c r="F2678" i="3" s="1"/>
  <c r="E2679" i="3"/>
  <c r="D2679" i="3" s="1"/>
  <c r="F2679" i="3" s="1"/>
  <c r="E2680" i="3"/>
  <c r="D2680" i="3" s="1"/>
  <c r="F2680" i="3" s="1"/>
  <c r="E2681" i="3"/>
  <c r="D2681" i="3" s="1"/>
  <c r="F2681" i="3" s="1"/>
  <c r="E2682" i="3"/>
  <c r="D2682" i="3" s="1"/>
  <c r="F2682" i="3" s="1"/>
  <c r="E2683" i="3"/>
  <c r="D2683" i="3" s="1"/>
  <c r="F2683" i="3" s="1"/>
  <c r="E2684" i="3"/>
  <c r="D2684" i="3" s="1"/>
  <c r="F2684" i="3" s="1"/>
  <c r="E2685" i="3"/>
  <c r="D2685" i="3" s="1"/>
  <c r="F2685" i="3" s="1"/>
  <c r="E2686" i="3"/>
  <c r="D2686" i="3" s="1"/>
  <c r="F2686" i="3" s="1"/>
  <c r="E2687" i="3"/>
  <c r="D2687" i="3" s="1"/>
  <c r="F2687" i="3" s="1"/>
  <c r="E2688" i="3"/>
  <c r="D2688" i="3" s="1"/>
  <c r="F2688" i="3" s="1"/>
  <c r="E2689" i="3"/>
  <c r="D2689" i="3" s="1"/>
  <c r="F2689" i="3" s="1"/>
  <c r="E2690" i="3"/>
  <c r="D2690" i="3" s="1"/>
  <c r="F2690" i="3" s="1"/>
  <c r="E2691" i="3"/>
  <c r="D2691" i="3" s="1"/>
  <c r="F2691" i="3" s="1"/>
  <c r="E2692" i="3"/>
  <c r="D2692" i="3" s="1"/>
  <c r="F2692" i="3" s="1"/>
  <c r="E2693" i="3"/>
  <c r="D2693" i="3" s="1"/>
  <c r="F2693" i="3" s="1"/>
  <c r="E2694" i="3"/>
  <c r="D2694" i="3" s="1"/>
  <c r="F2694" i="3" s="1"/>
  <c r="E2695" i="3"/>
  <c r="D2695" i="3" s="1"/>
  <c r="F2695" i="3" s="1"/>
  <c r="E2696" i="3"/>
  <c r="D2696" i="3" s="1"/>
  <c r="F2696" i="3" s="1"/>
  <c r="E2697" i="3"/>
  <c r="D2697" i="3" s="1"/>
  <c r="F2697" i="3" s="1"/>
  <c r="E2698" i="3"/>
  <c r="D2698" i="3" s="1"/>
  <c r="F2698" i="3" s="1"/>
  <c r="E2699" i="3"/>
  <c r="D2699" i="3" s="1"/>
  <c r="F2699" i="3" s="1"/>
  <c r="E2700" i="3"/>
  <c r="D2700" i="3" s="1"/>
  <c r="F2700" i="3" s="1"/>
  <c r="E2701" i="3"/>
  <c r="D2701" i="3" s="1"/>
  <c r="F2701" i="3" s="1"/>
  <c r="E2702" i="3"/>
  <c r="D2702" i="3" s="1"/>
  <c r="F2702" i="3" s="1"/>
  <c r="E2703" i="3"/>
  <c r="D2703" i="3" s="1"/>
  <c r="F2703" i="3" s="1"/>
  <c r="E2704" i="3"/>
  <c r="D2704" i="3" s="1"/>
  <c r="F2704" i="3" s="1"/>
  <c r="E2705" i="3"/>
  <c r="D2705" i="3" s="1"/>
  <c r="F2705" i="3" s="1"/>
  <c r="E2706" i="3"/>
  <c r="D2706" i="3" s="1"/>
  <c r="F2706" i="3" s="1"/>
  <c r="E2707" i="3"/>
  <c r="D2707" i="3" s="1"/>
  <c r="F2707" i="3" s="1"/>
  <c r="E2708" i="3"/>
  <c r="D2708" i="3" s="1"/>
  <c r="F2708" i="3" s="1"/>
  <c r="E2709" i="3"/>
  <c r="D2709" i="3" s="1"/>
  <c r="F2709" i="3" s="1"/>
  <c r="E2710" i="3"/>
  <c r="D2710" i="3" s="1"/>
  <c r="F2710" i="3" s="1"/>
  <c r="E2711" i="3"/>
  <c r="D2711" i="3" s="1"/>
  <c r="F2711" i="3" s="1"/>
  <c r="E2712" i="3"/>
  <c r="D2712" i="3" s="1"/>
  <c r="F2712" i="3" s="1"/>
  <c r="E2713" i="3"/>
  <c r="D2713" i="3" s="1"/>
  <c r="F2713" i="3" s="1"/>
  <c r="E2714" i="3"/>
  <c r="D2714" i="3" s="1"/>
  <c r="F2714" i="3" s="1"/>
  <c r="E2715" i="3"/>
  <c r="D2715" i="3" s="1"/>
  <c r="F2715" i="3" s="1"/>
  <c r="E2716" i="3"/>
  <c r="D2716" i="3" s="1"/>
  <c r="F2716" i="3" s="1"/>
  <c r="E2717" i="3"/>
  <c r="D2717" i="3" s="1"/>
  <c r="F2717" i="3" s="1"/>
  <c r="E2718" i="3"/>
  <c r="D2718" i="3" s="1"/>
  <c r="F2718" i="3" s="1"/>
  <c r="E2719" i="3"/>
  <c r="D2719" i="3" s="1"/>
  <c r="F2719" i="3" s="1"/>
  <c r="E2720" i="3"/>
  <c r="D2720" i="3" s="1"/>
  <c r="F2720" i="3" s="1"/>
  <c r="E2721" i="3"/>
  <c r="D2721" i="3" s="1"/>
  <c r="F2721" i="3" s="1"/>
  <c r="E2722" i="3"/>
  <c r="D2722" i="3" s="1"/>
  <c r="F2722" i="3" s="1"/>
  <c r="E2723" i="3"/>
  <c r="D2723" i="3" s="1"/>
  <c r="F2723" i="3" s="1"/>
  <c r="E2724" i="3"/>
  <c r="D2724" i="3" s="1"/>
  <c r="F2724" i="3" s="1"/>
  <c r="E2725" i="3"/>
  <c r="D2725" i="3" s="1"/>
  <c r="F2725" i="3" s="1"/>
  <c r="E2726" i="3"/>
  <c r="D2726" i="3" s="1"/>
  <c r="F2726" i="3" s="1"/>
  <c r="E2727" i="3"/>
  <c r="D2727" i="3" s="1"/>
  <c r="F2727" i="3" s="1"/>
  <c r="E2728" i="3"/>
  <c r="D2728" i="3" s="1"/>
  <c r="F2728" i="3" s="1"/>
  <c r="E2729" i="3"/>
  <c r="D2729" i="3" s="1"/>
  <c r="F2729" i="3" s="1"/>
  <c r="E2730" i="3"/>
  <c r="D2730" i="3" s="1"/>
  <c r="F2730" i="3" s="1"/>
  <c r="E2731" i="3"/>
  <c r="D2731" i="3" s="1"/>
  <c r="F2731" i="3" s="1"/>
  <c r="E2732" i="3"/>
  <c r="D2732" i="3" s="1"/>
  <c r="F2732" i="3" s="1"/>
  <c r="E2733" i="3"/>
  <c r="D2733" i="3" s="1"/>
  <c r="F2733" i="3" s="1"/>
  <c r="E2734" i="3"/>
  <c r="D2734" i="3" s="1"/>
  <c r="F2734" i="3" s="1"/>
  <c r="E2735" i="3"/>
  <c r="D2735" i="3" s="1"/>
  <c r="F2735" i="3" s="1"/>
  <c r="E2736" i="3"/>
  <c r="D2736" i="3" s="1"/>
  <c r="F2736" i="3" s="1"/>
  <c r="E2737" i="3"/>
  <c r="D2737" i="3" s="1"/>
  <c r="F2737" i="3" s="1"/>
  <c r="E2738" i="3"/>
  <c r="D2738" i="3" s="1"/>
  <c r="F2738" i="3" s="1"/>
  <c r="E2739" i="3"/>
  <c r="D2739" i="3" s="1"/>
  <c r="F2739" i="3" s="1"/>
  <c r="E2740" i="3"/>
  <c r="D2740" i="3" s="1"/>
  <c r="F2740" i="3" s="1"/>
  <c r="E2741" i="3"/>
  <c r="D2741" i="3" s="1"/>
  <c r="F2741" i="3" s="1"/>
  <c r="E2742" i="3"/>
  <c r="D2742" i="3" s="1"/>
  <c r="F2742" i="3" s="1"/>
  <c r="E2743" i="3"/>
  <c r="D2743" i="3" s="1"/>
  <c r="F2743" i="3" s="1"/>
  <c r="E2744" i="3"/>
  <c r="D2744" i="3" s="1"/>
  <c r="F2744" i="3" s="1"/>
  <c r="E2745" i="3"/>
  <c r="D2745" i="3" s="1"/>
  <c r="F2745" i="3" s="1"/>
  <c r="E2746" i="3"/>
  <c r="D2746" i="3" s="1"/>
  <c r="F2746" i="3" s="1"/>
  <c r="E2747" i="3"/>
  <c r="D2747" i="3" s="1"/>
  <c r="F2747" i="3" s="1"/>
  <c r="E2748" i="3"/>
  <c r="D2748" i="3" s="1"/>
  <c r="F2748" i="3" s="1"/>
  <c r="E2749" i="3"/>
  <c r="D2749" i="3" s="1"/>
  <c r="F2749" i="3" s="1"/>
  <c r="E2750" i="3"/>
  <c r="D2750" i="3" s="1"/>
  <c r="F2750" i="3" s="1"/>
  <c r="E2751" i="3"/>
  <c r="D2751" i="3" s="1"/>
  <c r="F2751" i="3" s="1"/>
  <c r="E2752" i="3"/>
  <c r="D2752" i="3" s="1"/>
  <c r="F2752" i="3" s="1"/>
  <c r="E2753" i="3"/>
  <c r="D2753" i="3" s="1"/>
  <c r="F2753" i="3" s="1"/>
  <c r="E2754" i="3"/>
  <c r="D2754" i="3" s="1"/>
  <c r="F2754" i="3" s="1"/>
  <c r="E2755" i="3"/>
  <c r="D2755" i="3" s="1"/>
  <c r="F2755" i="3" s="1"/>
  <c r="E2756" i="3"/>
  <c r="D2756" i="3" s="1"/>
  <c r="F2756" i="3" s="1"/>
  <c r="E2757" i="3"/>
  <c r="D2757" i="3" s="1"/>
  <c r="F2757" i="3" s="1"/>
  <c r="E2758" i="3"/>
  <c r="D2758" i="3" s="1"/>
  <c r="F2758" i="3" s="1"/>
  <c r="E2759" i="3"/>
  <c r="D2759" i="3" s="1"/>
  <c r="F2759" i="3" s="1"/>
  <c r="E2760" i="3"/>
  <c r="D2760" i="3" s="1"/>
  <c r="F2760" i="3" s="1"/>
  <c r="E2761" i="3"/>
  <c r="D2761" i="3" s="1"/>
  <c r="F2761" i="3" s="1"/>
  <c r="E2762" i="3"/>
  <c r="D2762" i="3" s="1"/>
  <c r="F2762" i="3" s="1"/>
  <c r="E2763" i="3"/>
  <c r="D2763" i="3" s="1"/>
  <c r="F2763" i="3" s="1"/>
  <c r="E2764" i="3"/>
  <c r="D2764" i="3" s="1"/>
  <c r="F2764" i="3" s="1"/>
  <c r="E2765" i="3"/>
  <c r="D2765" i="3" s="1"/>
  <c r="F2765" i="3" s="1"/>
  <c r="E2766" i="3"/>
  <c r="D2766" i="3" s="1"/>
  <c r="F2766" i="3" s="1"/>
  <c r="E2767" i="3"/>
  <c r="D2767" i="3" s="1"/>
  <c r="F2767" i="3" s="1"/>
  <c r="E2768" i="3"/>
  <c r="D2768" i="3" s="1"/>
  <c r="F2768" i="3" s="1"/>
  <c r="E2769" i="3"/>
  <c r="D2769" i="3" s="1"/>
  <c r="F2769" i="3" s="1"/>
  <c r="E2770" i="3"/>
  <c r="D2770" i="3" s="1"/>
  <c r="F2770" i="3" s="1"/>
  <c r="E2771" i="3"/>
  <c r="D2771" i="3" s="1"/>
  <c r="F2771" i="3" s="1"/>
  <c r="E2772" i="3"/>
  <c r="D2772" i="3" s="1"/>
  <c r="F2772" i="3" s="1"/>
  <c r="E2773" i="3"/>
  <c r="D2773" i="3" s="1"/>
  <c r="F2773" i="3" s="1"/>
  <c r="E2774" i="3"/>
  <c r="D2774" i="3" s="1"/>
  <c r="F2774" i="3" s="1"/>
  <c r="E2775" i="3"/>
  <c r="D2775" i="3" s="1"/>
  <c r="F2775" i="3" s="1"/>
  <c r="E2776" i="3"/>
  <c r="D2776" i="3" s="1"/>
  <c r="F2776" i="3" s="1"/>
  <c r="E2777" i="3"/>
  <c r="D2777" i="3" s="1"/>
  <c r="F2777" i="3" s="1"/>
  <c r="E2778" i="3"/>
  <c r="D2778" i="3" s="1"/>
  <c r="F2778" i="3" s="1"/>
  <c r="E2779" i="3"/>
  <c r="D2779" i="3" s="1"/>
  <c r="F2779" i="3" s="1"/>
  <c r="E2780" i="3"/>
  <c r="D2780" i="3" s="1"/>
  <c r="F2780" i="3" s="1"/>
  <c r="E2781" i="3"/>
  <c r="D2781" i="3" s="1"/>
  <c r="F2781" i="3" s="1"/>
  <c r="E2782" i="3"/>
  <c r="D2782" i="3" s="1"/>
  <c r="F2782" i="3" s="1"/>
  <c r="E2783" i="3"/>
  <c r="D2783" i="3" s="1"/>
  <c r="F2783" i="3" s="1"/>
  <c r="E2784" i="3"/>
  <c r="D2784" i="3" s="1"/>
  <c r="F2784" i="3" s="1"/>
  <c r="E2785" i="3"/>
  <c r="D2785" i="3" s="1"/>
  <c r="F2785" i="3" s="1"/>
  <c r="E2786" i="3"/>
  <c r="D2786" i="3" s="1"/>
  <c r="F2786" i="3" s="1"/>
  <c r="E2787" i="3"/>
  <c r="D2787" i="3" s="1"/>
  <c r="F2787" i="3" s="1"/>
  <c r="E2788" i="3"/>
  <c r="D2788" i="3" s="1"/>
  <c r="F2788" i="3" s="1"/>
  <c r="E2789" i="3"/>
  <c r="D2789" i="3" s="1"/>
  <c r="F2789" i="3" s="1"/>
  <c r="E2790" i="3"/>
  <c r="D2790" i="3" s="1"/>
  <c r="F2790" i="3" s="1"/>
  <c r="E2791" i="3"/>
  <c r="D2791" i="3" s="1"/>
  <c r="F2791" i="3" s="1"/>
  <c r="E2792" i="3"/>
  <c r="D2792" i="3" s="1"/>
  <c r="F2792" i="3" s="1"/>
  <c r="E2793" i="3"/>
  <c r="D2793" i="3" s="1"/>
  <c r="F2793" i="3" s="1"/>
  <c r="E2794" i="3"/>
  <c r="D2794" i="3" s="1"/>
  <c r="F2794" i="3" s="1"/>
  <c r="E2795" i="3"/>
  <c r="D2795" i="3" s="1"/>
  <c r="F2795" i="3" s="1"/>
  <c r="E2796" i="3"/>
  <c r="D2796" i="3" s="1"/>
  <c r="F2796" i="3" s="1"/>
  <c r="E2797" i="3"/>
  <c r="D2797" i="3" s="1"/>
  <c r="F2797" i="3" s="1"/>
  <c r="E2798" i="3"/>
  <c r="D2798" i="3" s="1"/>
  <c r="F2798" i="3" s="1"/>
  <c r="E2799" i="3"/>
  <c r="D2799" i="3" s="1"/>
  <c r="F2799" i="3" s="1"/>
  <c r="E2800" i="3"/>
  <c r="D2800" i="3" s="1"/>
  <c r="F2800" i="3" s="1"/>
  <c r="E2801" i="3"/>
  <c r="D2801" i="3" s="1"/>
  <c r="F2801" i="3" s="1"/>
  <c r="E2802" i="3"/>
  <c r="D2802" i="3" s="1"/>
  <c r="F2802" i="3" s="1"/>
  <c r="E2803" i="3"/>
  <c r="D2803" i="3" s="1"/>
  <c r="F2803" i="3" s="1"/>
  <c r="E2804" i="3"/>
  <c r="D2804" i="3" s="1"/>
  <c r="F2804" i="3" s="1"/>
  <c r="E2805" i="3"/>
  <c r="D2805" i="3" s="1"/>
  <c r="F2805" i="3" s="1"/>
  <c r="E2806" i="3"/>
  <c r="D2806" i="3" s="1"/>
  <c r="F2806" i="3" s="1"/>
  <c r="E2807" i="3"/>
  <c r="D2807" i="3" s="1"/>
  <c r="F2807" i="3" s="1"/>
  <c r="E2808" i="3"/>
  <c r="D2808" i="3" s="1"/>
  <c r="F2808" i="3" s="1"/>
  <c r="E2809" i="3"/>
  <c r="D2809" i="3" s="1"/>
  <c r="F2809" i="3" s="1"/>
  <c r="E2810" i="3"/>
  <c r="D2810" i="3" s="1"/>
  <c r="F2810" i="3" s="1"/>
  <c r="E2811" i="3"/>
  <c r="D2811" i="3" s="1"/>
  <c r="F2811" i="3" s="1"/>
  <c r="E2812" i="3"/>
  <c r="D2812" i="3" s="1"/>
  <c r="F2812" i="3" s="1"/>
  <c r="E2813" i="3"/>
  <c r="D2813" i="3" s="1"/>
  <c r="F2813" i="3" s="1"/>
  <c r="E2814" i="3"/>
  <c r="D2814" i="3" s="1"/>
  <c r="F2814" i="3" s="1"/>
  <c r="E2815" i="3"/>
  <c r="D2815" i="3" s="1"/>
  <c r="F2815" i="3" s="1"/>
  <c r="E2816" i="3"/>
  <c r="D2816" i="3" s="1"/>
  <c r="F2816" i="3" s="1"/>
  <c r="E2817" i="3"/>
  <c r="D2817" i="3" s="1"/>
  <c r="F2817" i="3" s="1"/>
  <c r="E2818" i="3"/>
  <c r="D2818" i="3" s="1"/>
  <c r="F2818" i="3" s="1"/>
  <c r="E2819" i="3"/>
  <c r="D2819" i="3" s="1"/>
  <c r="F2819" i="3" s="1"/>
  <c r="E2820" i="3"/>
  <c r="D2820" i="3" s="1"/>
  <c r="F2820" i="3" s="1"/>
  <c r="E2821" i="3"/>
  <c r="D2821" i="3" s="1"/>
  <c r="F2821" i="3" s="1"/>
  <c r="E2822" i="3"/>
  <c r="D2822" i="3" s="1"/>
  <c r="F2822" i="3" s="1"/>
  <c r="E2823" i="3"/>
  <c r="D2823" i="3" s="1"/>
  <c r="F2823" i="3" s="1"/>
  <c r="E2824" i="3"/>
  <c r="D2824" i="3" s="1"/>
  <c r="F2824" i="3" s="1"/>
  <c r="E2825" i="3"/>
  <c r="D2825" i="3" s="1"/>
  <c r="F2825" i="3" s="1"/>
  <c r="E2826" i="3"/>
  <c r="D2826" i="3" s="1"/>
  <c r="F2826" i="3" s="1"/>
  <c r="E2827" i="3"/>
  <c r="D2827" i="3" s="1"/>
  <c r="F2827" i="3" s="1"/>
  <c r="E2828" i="3"/>
  <c r="D2828" i="3" s="1"/>
  <c r="F2828" i="3" s="1"/>
  <c r="E2829" i="3"/>
  <c r="D2829" i="3" s="1"/>
  <c r="F2829" i="3" s="1"/>
  <c r="E2830" i="3"/>
  <c r="D2830" i="3" s="1"/>
  <c r="F2830" i="3" s="1"/>
  <c r="E2831" i="3"/>
  <c r="D2831" i="3" s="1"/>
  <c r="F2831" i="3" s="1"/>
  <c r="E2832" i="3"/>
  <c r="D2832" i="3" s="1"/>
  <c r="F2832" i="3" s="1"/>
  <c r="E2833" i="3"/>
  <c r="D2833" i="3" s="1"/>
  <c r="F2833" i="3" s="1"/>
  <c r="E2834" i="3"/>
  <c r="D2834" i="3" s="1"/>
  <c r="F2834" i="3" s="1"/>
  <c r="E2835" i="3"/>
  <c r="D2835" i="3" s="1"/>
  <c r="F2835" i="3" s="1"/>
  <c r="E2836" i="3"/>
  <c r="D2836" i="3" s="1"/>
  <c r="F2836" i="3" s="1"/>
  <c r="E2837" i="3"/>
  <c r="D2837" i="3" s="1"/>
  <c r="F2837" i="3" s="1"/>
  <c r="E2838" i="3"/>
  <c r="D2838" i="3" s="1"/>
  <c r="F2838" i="3" s="1"/>
  <c r="E2839" i="3"/>
  <c r="D2839" i="3" s="1"/>
  <c r="F2839" i="3" s="1"/>
  <c r="E2840" i="3"/>
  <c r="D2840" i="3" s="1"/>
  <c r="F2840" i="3" s="1"/>
  <c r="E2841" i="3"/>
  <c r="D2841" i="3" s="1"/>
  <c r="F2841" i="3" s="1"/>
  <c r="E2842" i="3"/>
  <c r="D2842" i="3" s="1"/>
  <c r="F2842" i="3" s="1"/>
  <c r="E2843" i="3"/>
  <c r="D2843" i="3" s="1"/>
  <c r="F2843" i="3" s="1"/>
  <c r="E2844" i="3"/>
  <c r="D2844" i="3" s="1"/>
  <c r="F2844" i="3" s="1"/>
  <c r="E2845" i="3"/>
  <c r="D2845" i="3" s="1"/>
  <c r="F2845" i="3" s="1"/>
  <c r="E2846" i="3"/>
  <c r="D2846" i="3" s="1"/>
  <c r="F2846" i="3" s="1"/>
  <c r="E2847" i="3"/>
  <c r="D2847" i="3" s="1"/>
  <c r="F2847" i="3" s="1"/>
  <c r="E2848" i="3"/>
  <c r="D2848" i="3" s="1"/>
  <c r="F2848" i="3" s="1"/>
  <c r="E2849" i="3"/>
  <c r="D2849" i="3" s="1"/>
  <c r="F2849" i="3" s="1"/>
  <c r="E2850" i="3"/>
  <c r="D2850" i="3" s="1"/>
  <c r="F2850" i="3" s="1"/>
  <c r="E2851" i="3"/>
  <c r="D2851" i="3" s="1"/>
  <c r="F2851" i="3" s="1"/>
  <c r="E2852" i="3"/>
  <c r="D2852" i="3" s="1"/>
  <c r="F2852" i="3" s="1"/>
  <c r="E2853" i="3"/>
  <c r="D2853" i="3" s="1"/>
  <c r="F2853" i="3" s="1"/>
  <c r="E2854" i="3"/>
  <c r="D2854" i="3" s="1"/>
  <c r="F2854" i="3" s="1"/>
  <c r="E2855" i="3"/>
  <c r="D2855" i="3" s="1"/>
  <c r="F2855" i="3" s="1"/>
  <c r="E2856" i="3"/>
  <c r="D2856" i="3" s="1"/>
  <c r="F2856" i="3" s="1"/>
  <c r="E2857" i="3"/>
  <c r="D2857" i="3" s="1"/>
  <c r="F2857" i="3" s="1"/>
  <c r="E2858" i="3"/>
  <c r="D2858" i="3" s="1"/>
  <c r="F2858" i="3" s="1"/>
  <c r="E2859" i="3"/>
  <c r="D2859" i="3" s="1"/>
  <c r="F2859" i="3" s="1"/>
  <c r="E2860" i="3"/>
  <c r="D2860" i="3" s="1"/>
  <c r="F2860" i="3" s="1"/>
  <c r="E2861" i="3"/>
  <c r="D2861" i="3" s="1"/>
  <c r="F2861" i="3" s="1"/>
  <c r="E2862" i="3"/>
  <c r="D2862" i="3" s="1"/>
  <c r="F2862" i="3" s="1"/>
  <c r="E2863" i="3"/>
  <c r="D2863" i="3" s="1"/>
  <c r="F2863" i="3" s="1"/>
  <c r="E2864" i="3"/>
  <c r="D2864" i="3" s="1"/>
  <c r="F2864" i="3" s="1"/>
  <c r="E2865" i="3"/>
  <c r="D2865" i="3" s="1"/>
  <c r="F2865" i="3" s="1"/>
  <c r="E2866" i="3"/>
  <c r="D2866" i="3" s="1"/>
  <c r="F2866" i="3" s="1"/>
  <c r="E2867" i="3"/>
  <c r="D2867" i="3" s="1"/>
  <c r="F2867" i="3" s="1"/>
  <c r="E2868" i="3"/>
  <c r="D2868" i="3" s="1"/>
  <c r="F2868" i="3" s="1"/>
  <c r="E2869" i="3"/>
  <c r="D2869" i="3" s="1"/>
  <c r="F2869" i="3" s="1"/>
  <c r="E2870" i="3"/>
  <c r="D2870" i="3" s="1"/>
  <c r="F2870" i="3" s="1"/>
  <c r="E2871" i="3"/>
  <c r="D2871" i="3" s="1"/>
  <c r="F2871" i="3" s="1"/>
  <c r="E2872" i="3"/>
  <c r="D2872" i="3" s="1"/>
  <c r="F2872" i="3" s="1"/>
  <c r="E2873" i="3"/>
  <c r="D2873" i="3" s="1"/>
  <c r="F2873" i="3" s="1"/>
  <c r="E2874" i="3"/>
  <c r="D2874" i="3" s="1"/>
  <c r="F2874" i="3" s="1"/>
  <c r="E2875" i="3"/>
  <c r="D2875" i="3" s="1"/>
  <c r="F2875" i="3" s="1"/>
  <c r="E2876" i="3"/>
  <c r="D2876" i="3" s="1"/>
  <c r="F2876" i="3" s="1"/>
  <c r="E2877" i="3"/>
  <c r="D2877" i="3" s="1"/>
  <c r="F2877" i="3" s="1"/>
  <c r="E2878" i="3"/>
  <c r="D2878" i="3" s="1"/>
  <c r="F2878" i="3" s="1"/>
  <c r="E2879" i="3"/>
  <c r="D2879" i="3" s="1"/>
  <c r="F2879" i="3" s="1"/>
  <c r="E2880" i="3"/>
  <c r="D2880" i="3" s="1"/>
  <c r="F2880" i="3" s="1"/>
  <c r="E2881" i="3"/>
  <c r="D2881" i="3" s="1"/>
  <c r="F2881" i="3" s="1"/>
  <c r="E2882" i="3"/>
  <c r="D2882" i="3" s="1"/>
  <c r="F2882" i="3" s="1"/>
  <c r="E2883" i="3"/>
  <c r="D2883" i="3" s="1"/>
  <c r="F2883" i="3" s="1"/>
  <c r="E2884" i="3"/>
  <c r="D2884" i="3" s="1"/>
  <c r="F2884" i="3" s="1"/>
  <c r="E2885" i="3"/>
  <c r="D2885" i="3" s="1"/>
  <c r="F2885" i="3" s="1"/>
  <c r="E2886" i="3"/>
  <c r="D2886" i="3" s="1"/>
  <c r="F2886" i="3" s="1"/>
  <c r="E2887" i="3"/>
  <c r="D2887" i="3" s="1"/>
  <c r="F2887" i="3" s="1"/>
  <c r="E2888" i="3"/>
  <c r="D2888" i="3" s="1"/>
  <c r="F2888" i="3" s="1"/>
  <c r="E2889" i="3"/>
  <c r="D2889" i="3" s="1"/>
  <c r="F2889" i="3" s="1"/>
  <c r="E2890" i="3"/>
  <c r="D2890" i="3" s="1"/>
  <c r="F2890" i="3" s="1"/>
  <c r="E2891" i="3"/>
  <c r="D2891" i="3" s="1"/>
  <c r="F2891" i="3" s="1"/>
  <c r="E2892" i="3"/>
  <c r="D2892" i="3" s="1"/>
  <c r="F2892" i="3" s="1"/>
  <c r="E2893" i="3"/>
  <c r="D2893" i="3" s="1"/>
  <c r="F2893" i="3" s="1"/>
  <c r="E2894" i="3"/>
  <c r="D2894" i="3" s="1"/>
  <c r="F2894" i="3" s="1"/>
  <c r="E2895" i="3"/>
  <c r="D2895" i="3" s="1"/>
  <c r="F2895" i="3" s="1"/>
  <c r="E2896" i="3"/>
  <c r="D2896" i="3" s="1"/>
  <c r="F2896" i="3" s="1"/>
  <c r="E2897" i="3"/>
  <c r="D2897" i="3" s="1"/>
  <c r="F2897" i="3" s="1"/>
  <c r="E2898" i="3"/>
  <c r="D2898" i="3" s="1"/>
  <c r="F2898" i="3" s="1"/>
  <c r="E2899" i="3"/>
  <c r="D2899" i="3" s="1"/>
  <c r="F2899" i="3" s="1"/>
  <c r="E2900" i="3"/>
  <c r="D2900" i="3" s="1"/>
  <c r="F2900" i="3" s="1"/>
  <c r="E2901" i="3"/>
  <c r="D2901" i="3" s="1"/>
  <c r="F2901" i="3" s="1"/>
  <c r="E2902" i="3"/>
  <c r="D2902" i="3" s="1"/>
  <c r="F2902" i="3" s="1"/>
  <c r="E2903" i="3"/>
  <c r="D2903" i="3" s="1"/>
  <c r="F2903" i="3" s="1"/>
  <c r="E2904" i="3"/>
  <c r="D2904" i="3" s="1"/>
  <c r="F2904" i="3" s="1"/>
  <c r="E2905" i="3"/>
  <c r="D2905" i="3" s="1"/>
  <c r="F2905" i="3" s="1"/>
  <c r="E2906" i="3"/>
  <c r="D2906" i="3" s="1"/>
  <c r="F2906" i="3" s="1"/>
  <c r="E2907" i="3"/>
  <c r="D2907" i="3" s="1"/>
  <c r="F2907" i="3" s="1"/>
  <c r="E2908" i="3"/>
  <c r="D2908" i="3" s="1"/>
  <c r="F2908" i="3" s="1"/>
  <c r="E2909" i="3"/>
  <c r="D2909" i="3" s="1"/>
  <c r="F2909" i="3" s="1"/>
  <c r="E2910" i="3"/>
  <c r="D2910" i="3" s="1"/>
  <c r="F2910" i="3" s="1"/>
  <c r="E2911" i="3"/>
  <c r="D2911" i="3" s="1"/>
  <c r="F2911" i="3" s="1"/>
  <c r="E2912" i="3"/>
  <c r="D2912" i="3" s="1"/>
  <c r="F2912" i="3" s="1"/>
  <c r="E2913" i="3"/>
  <c r="D2913" i="3" s="1"/>
  <c r="F2913" i="3" s="1"/>
  <c r="E2914" i="3"/>
  <c r="D2914" i="3" s="1"/>
  <c r="F2914" i="3" s="1"/>
  <c r="E2915" i="3"/>
  <c r="D2915" i="3" s="1"/>
  <c r="F2915" i="3" s="1"/>
  <c r="E2916" i="3"/>
  <c r="D2916" i="3" s="1"/>
  <c r="F2916" i="3" s="1"/>
  <c r="E2917" i="3"/>
  <c r="D2917" i="3" s="1"/>
  <c r="F2917" i="3" s="1"/>
  <c r="E2918" i="3"/>
  <c r="D2918" i="3" s="1"/>
  <c r="F2918" i="3" s="1"/>
  <c r="E2919" i="3"/>
  <c r="D2919" i="3" s="1"/>
  <c r="F2919" i="3" s="1"/>
  <c r="E2920" i="3"/>
  <c r="D2920" i="3" s="1"/>
  <c r="F2920" i="3" s="1"/>
  <c r="E2921" i="3"/>
  <c r="D2921" i="3" s="1"/>
  <c r="F2921" i="3" s="1"/>
  <c r="E2922" i="3"/>
  <c r="D2922" i="3" s="1"/>
  <c r="F2922" i="3" s="1"/>
  <c r="E2923" i="3"/>
  <c r="D2923" i="3" s="1"/>
  <c r="F2923" i="3" s="1"/>
  <c r="E2924" i="3"/>
  <c r="D2924" i="3" s="1"/>
  <c r="F2924" i="3" s="1"/>
  <c r="E2925" i="3"/>
  <c r="D2925" i="3" s="1"/>
  <c r="F2925" i="3" s="1"/>
  <c r="E2926" i="3"/>
  <c r="D2926" i="3" s="1"/>
  <c r="F2926" i="3" s="1"/>
  <c r="E2927" i="3"/>
  <c r="D2927" i="3" s="1"/>
  <c r="F2927" i="3" s="1"/>
  <c r="E2928" i="3"/>
  <c r="D2928" i="3" s="1"/>
  <c r="F2928" i="3" s="1"/>
  <c r="E2929" i="3"/>
  <c r="D2929" i="3" s="1"/>
  <c r="F2929" i="3" s="1"/>
  <c r="E2930" i="3"/>
  <c r="D2930" i="3" s="1"/>
  <c r="F2930" i="3" s="1"/>
  <c r="E2931" i="3"/>
  <c r="D2931" i="3" s="1"/>
  <c r="F2931" i="3" s="1"/>
  <c r="E2932" i="3"/>
  <c r="D2932" i="3" s="1"/>
  <c r="F2932" i="3" s="1"/>
  <c r="E2933" i="3"/>
  <c r="D2933" i="3" s="1"/>
  <c r="F2933" i="3" s="1"/>
  <c r="E2934" i="3"/>
  <c r="D2934" i="3" s="1"/>
  <c r="F2934" i="3" s="1"/>
  <c r="E2935" i="3"/>
  <c r="D2935" i="3" s="1"/>
  <c r="F2935" i="3" s="1"/>
  <c r="E2936" i="3"/>
  <c r="D2936" i="3" s="1"/>
  <c r="F2936" i="3" s="1"/>
  <c r="E2937" i="3"/>
  <c r="D2937" i="3" s="1"/>
  <c r="F2937" i="3" s="1"/>
  <c r="E2938" i="3"/>
  <c r="D2938" i="3" s="1"/>
  <c r="F2938" i="3" s="1"/>
  <c r="E2939" i="3"/>
  <c r="D2939" i="3" s="1"/>
  <c r="F2939" i="3" s="1"/>
  <c r="E2940" i="3"/>
  <c r="D2940" i="3" s="1"/>
  <c r="F2940" i="3" s="1"/>
  <c r="E2941" i="3"/>
  <c r="D2941" i="3" s="1"/>
  <c r="F2941" i="3" s="1"/>
  <c r="E2942" i="3"/>
  <c r="D2942" i="3" s="1"/>
  <c r="F2942" i="3" s="1"/>
  <c r="E2943" i="3"/>
  <c r="D2943" i="3" s="1"/>
  <c r="F2943" i="3" s="1"/>
  <c r="E2944" i="3"/>
  <c r="D2944" i="3" s="1"/>
  <c r="F2944" i="3" s="1"/>
  <c r="E2945" i="3"/>
  <c r="D2945" i="3" s="1"/>
  <c r="F2945" i="3" s="1"/>
  <c r="E2946" i="3"/>
  <c r="D2946" i="3" s="1"/>
  <c r="F2946" i="3" s="1"/>
  <c r="E2947" i="3"/>
  <c r="D2947" i="3" s="1"/>
  <c r="F2947" i="3" s="1"/>
  <c r="E2948" i="3"/>
  <c r="D2948" i="3" s="1"/>
  <c r="F2948" i="3" s="1"/>
  <c r="E2949" i="3"/>
  <c r="D2949" i="3" s="1"/>
  <c r="F2949" i="3" s="1"/>
  <c r="E2950" i="3"/>
  <c r="D2950" i="3" s="1"/>
  <c r="F2950" i="3" s="1"/>
  <c r="E2951" i="3"/>
  <c r="D2951" i="3" s="1"/>
  <c r="F2951" i="3" s="1"/>
  <c r="E2952" i="3"/>
  <c r="D2952" i="3" s="1"/>
  <c r="F2952" i="3" s="1"/>
  <c r="E2953" i="3"/>
  <c r="D2953" i="3" s="1"/>
  <c r="F2953" i="3" s="1"/>
  <c r="E2954" i="3"/>
  <c r="D2954" i="3" s="1"/>
  <c r="F2954" i="3" s="1"/>
  <c r="E2955" i="3"/>
  <c r="D2955" i="3" s="1"/>
  <c r="F2955" i="3" s="1"/>
  <c r="E2956" i="3"/>
  <c r="D2956" i="3" s="1"/>
  <c r="F2956" i="3" s="1"/>
  <c r="E2957" i="3"/>
  <c r="D2957" i="3" s="1"/>
  <c r="F2957" i="3" s="1"/>
  <c r="E2958" i="3"/>
  <c r="D2958" i="3" s="1"/>
  <c r="F2958" i="3" s="1"/>
  <c r="E2959" i="3"/>
  <c r="D2959" i="3" s="1"/>
  <c r="F2959" i="3" s="1"/>
  <c r="E2960" i="3"/>
  <c r="D2960" i="3" s="1"/>
  <c r="F2960" i="3" s="1"/>
  <c r="E2961" i="3"/>
  <c r="D2961" i="3" s="1"/>
  <c r="F2961" i="3" s="1"/>
  <c r="E2962" i="3"/>
  <c r="D2962" i="3" s="1"/>
  <c r="F2962" i="3" s="1"/>
  <c r="E2963" i="3"/>
  <c r="D2963" i="3" s="1"/>
  <c r="F2963" i="3" s="1"/>
  <c r="E2964" i="3"/>
  <c r="D2964" i="3" s="1"/>
  <c r="F2964" i="3" s="1"/>
  <c r="E2965" i="3"/>
  <c r="D2965" i="3" s="1"/>
  <c r="F2965" i="3" s="1"/>
  <c r="E2966" i="3"/>
  <c r="D2966" i="3" s="1"/>
  <c r="F2966" i="3" s="1"/>
  <c r="E2967" i="3"/>
  <c r="D2967" i="3" s="1"/>
  <c r="F2967" i="3" s="1"/>
  <c r="E2968" i="3"/>
  <c r="D2968" i="3" s="1"/>
  <c r="F2968" i="3" s="1"/>
  <c r="E2969" i="3"/>
  <c r="D2969" i="3" s="1"/>
  <c r="F2969" i="3" s="1"/>
  <c r="E2970" i="3"/>
  <c r="D2970" i="3" s="1"/>
  <c r="F2970" i="3" s="1"/>
  <c r="E2971" i="3"/>
  <c r="D2971" i="3" s="1"/>
  <c r="F2971" i="3" s="1"/>
  <c r="E2972" i="3"/>
  <c r="D2972" i="3" s="1"/>
  <c r="F2972" i="3" s="1"/>
  <c r="E2973" i="3"/>
  <c r="D2973" i="3" s="1"/>
  <c r="F2973" i="3" s="1"/>
  <c r="E2974" i="3"/>
  <c r="D2974" i="3" s="1"/>
  <c r="F2974" i="3" s="1"/>
  <c r="E2975" i="3"/>
  <c r="D2975" i="3" s="1"/>
  <c r="F2975" i="3" s="1"/>
  <c r="E2976" i="3"/>
  <c r="D2976" i="3" s="1"/>
  <c r="F2976" i="3" s="1"/>
  <c r="E2977" i="3"/>
  <c r="D2977" i="3" s="1"/>
  <c r="F2977" i="3" s="1"/>
  <c r="E2978" i="3"/>
  <c r="D2978" i="3" s="1"/>
  <c r="F2978" i="3" s="1"/>
  <c r="E2979" i="3"/>
  <c r="D2979" i="3" s="1"/>
  <c r="F2979" i="3" s="1"/>
  <c r="E2980" i="3"/>
  <c r="D2980" i="3" s="1"/>
  <c r="F2980" i="3" s="1"/>
  <c r="E2981" i="3"/>
  <c r="D2981" i="3" s="1"/>
  <c r="F2981" i="3" s="1"/>
  <c r="E2982" i="3"/>
  <c r="D2982" i="3" s="1"/>
  <c r="F2982" i="3" s="1"/>
  <c r="E2983" i="3"/>
  <c r="D2983" i="3" s="1"/>
  <c r="F2983" i="3" s="1"/>
  <c r="E2984" i="3"/>
  <c r="D2984" i="3" s="1"/>
  <c r="F2984" i="3" s="1"/>
  <c r="E2985" i="3"/>
  <c r="D2985" i="3" s="1"/>
  <c r="F2985" i="3" s="1"/>
  <c r="E2986" i="3"/>
  <c r="D2986" i="3" s="1"/>
  <c r="F2986" i="3" s="1"/>
  <c r="E2987" i="3"/>
  <c r="D2987" i="3" s="1"/>
  <c r="F2987" i="3" s="1"/>
  <c r="E2988" i="3"/>
  <c r="D2988" i="3" s="1"/>
  <c r="F2988" i="3" s="1"/>
  <c r="E2989" i="3"/>
  <c r="D2989" i="3" s="1"/>
  <c r="F2989" i="3" s="1"/>
  <c r="E2990" i="3"/>
  <c r="D2990" i="3" s="1"/>
  <c r="F2990" i="3" s="1"/>
  <c r="E2991" i="3"/>
  <c r="D2991" i="3" s="1"/>
  <c r="F2991" i="3" s="1"/>
  <c r="E2992" i="3"/>
  <c r="D2992" i="3" s="1"/>
  <c r="F2992" i="3" s="1"/>
  <c r="E2993" i="3"/>
  <c r="D2993" i="3" s="1"/>
  <c r="F2993" i="3" s="1"/>
  <c r="E2994" i="3"/>
  <c r="D2994" i="3" s="1"/>
  <c r="F2994" i="3" s="1"/>
  <c r="E2995" i="3"/>
  <c r="D2995" i="3" s="1"/>
  <c r="F2995" i="3" s="1"/>
  <c r="E2996" i="3"/>
  <c r="D2996" i="3" s="1"/>
  <c r="F2996" i="3" s="1"/>
  <c r="E2997" i="3"/>
  <c r="D2997" i="3" s="1"/>
  <c r="F2997" i="3" s="1"/>
  <c r="E2998" i="3"/>
  <c r="D2998" i="3" s="1"/>
  <c r="F2998" i="3" s="1"/>
  <c r="E2999" i="3"/>
  <c r="D2999" i="3" s="1"/>
  <c r="F2999" i="3" s="1"/>
  <c r="E3000" i="3"/>
  <c r="D3000" i="3" s="1"/>
  <c r="F3000" i="3" s="1"/>
  <c r="E3001" i="3"/>
  <c r="D3001" i="3" s="1"/>
  <c r="F3001" i="3" s="1"/>
  <c r="E3002" i="3"/>
  <c r="D3002" i="3" s="1"/>
  <c r="F3002" i="3" s="1"/>
  <c r="E3003" i="3"/>
  <c r="D3003" i="3" s="1"/>
  <c r="F3003" i="3" s="1"/>
  <c r="E3004" i="3"/>
  <c r="D3004" i="3" s="1"/>
  <c r="F3004" i="3" s="1"/>
  <c r="E3005" i="3"/>
  <c r="D3005" i="3" s="1"/>
  <c r="F3005" i="3" s="1"/>
  <c r="E3006" i="3"/>
  <c r="D3006" i="3" s="1"/>
  <c r="F3006" i="3" s="1"/>
  <c r="E3007" i="3"/>
  <c r="D3007" i="3" s="1"/>
  <c r="F3007" i="3" s="1"/>
  <c r="E3008" i="3"/>
  <c r="D3008" i="3" s="1"/>
  <c r="F3008" i="3" s="1"/>
  <c r="E3009" i="3"/>
  <c r="D3009" i="3" s="1"/>
  <c r="F3009" i="3" s="1"/>
  <c r="E3010" i="3"/>
  <c r="D3010" i="3" s="1"/>
  <c r="F3010" i="3" s="1"/>
  <c r="E3011" i="3"/>
  <c r="D3011" i="3" s="1"/>
  <c r="F3011" i="3" s="1"/>
  <c r="E3012" i="3"/>
  <c r="D3012" i="3" s="1"/>
  <c r="F3012" i="3" s="1"/>
  <c r="E3013" i="3"/>
  <c r="D3013" i="3" s="1"/>
  <c r="F3013" i="3" s="1"/>
  <c r="E3014" i="3"/>
  <c r="D3014" i="3" s="1"/>
  <c r="F3014" i="3" s="1"/>
  <c r="E3015" i="3"/>
  <c r="D3015" i="3" s="1"/>
  <c r="F3015" i="3" s="1"/>
  <c r="E3016" i="3"/>
  <c r="D3016" i="3" s="1"/>
  <c r="F3016" i="3" s="1"/>
  <c r="E3017" i="3"/>
  <c r="D3017" i="3" s="1"/>
  <c r="F3017" i="3" s="1"/>
  <c r="E3018" i="3"/>
  <c r="D3018" i="3" s="1"/>
  <c r="F3018" i="3" s="1"/>
  <c r="E3019" i="3"/>
  <c r="D3019" i="3" s="1"/>
  <c r="F3019" i="3" s="1"/>
  <c r="E3020" i="3"/>
  <c r="D3020" i="3" s="1"/>
  <c r="F3020" i="3" s="1"/>
  <c r="E3021" i="3"/>
  <c r="D3021" i="3" s="1"/>
  <c r="F3021" i="3" s="1"/>
  <c r="E3022" i="3"/>
  <c r="D3022" i="3" s="1"/>
  <c r="F3022" i="3" s="1"/>
  <c r="E3023" i="3"/>
  <c r="D3023" i="3" s="1"/>
  <c r="F3023" i="3" s="1"/>
  <c r="E3024" i="3"/>
  <c r="D3024" i="3" s="1"/>
  <c r="F3024" i="3" s="1"/>
  <c r="E3025" i="3"/>
  <c r="D3025" i="3" s="1"/>
  <c r="F3025" i="3" s="1"/>
  <c r="E3026" i="3"/>
  <c r="D3026" i="3" s="1"/>
  <c r="F3026" i="3" s="1"/>
  <c r="E3027" i="3"/>
  <c r="D3027" i="3" s="1"/>
  <c r="F3027" i="3" s="1"/>
  <c r="E3028" i="3"/>
  <c r="D3028" i="3" s="1"/>
  <c r="F3028" i="3" s="1"/>
  <c r="E3029" i="3"/>
  <c r="D3029" i="3" s="1"/>
  <c r="F3029" i="3" s="1"/>
  <c r="E3030" i="3"/>
  <c r="D3030" i="3" s="1"/>
  <c r="F3030" i="3" s="1"/>
  <c r="E3031" i="3"/>
  <c r="D3031" i="3" s="1"/>
  <c r="F3031" i="3" s="1"/>
  <c r="E3032" i="3"/>
  <c r="D3032" i="3" s="1"/>
  <c r="F3032" i="3" s="1"/>
  <c r="E3033" i="3"/>
  <c r="D3033" i="3" s="1"/>
  <c r="F3033" i="3" s="1"/>
  <c r="E3034" i="3"/>
  <c r="D3034" i="3" s="1"/>
  <c r="F3034" i="3" s="1"/>
  <c r="E3035" i="3"/>
  <c r="D3035" i="3" s="1"/>
  <c r="F3035" i="3" s="1"/>
  <c r="E3036" i="3"/>
  <c r="D3036" i="3" s="1"/>
  <c r="F3036" i="3" s="1"/>
  <c r="E3037" i="3"/>
  <c r="D3037" i="3" s="1"/>
  <c r="F3037" i="3" s="1"/>
  <c r="E3038" i="3"/>
  <c r="D3038" i="3" s="1"/>
  <c r="F3038" i="3" s="1"/>
  <c r="E3039" i="3"/>
  <c r="D3039" i="3" s="1"/>
  <c r="F3039" i="3" s="1"/>
  <c r="E3040" i="3"/>
  <c r="D3040" i="3" s="1"/>
  <c r="F3040" i="3" s="1"/>
  <c r="E3041" i="3"/>
  <c r="D3041" i="3" s="1"/>
  <c r="F3041" i="3" s="1"/>
  <c r="E3042" i="3"/>
  <c r="D3042" i="3" s="1"/>
  <c r="F3042" i="3" s="1"/>
  <c r="E3043" i="3"/>
  <c r="D3043" i="3" s="1"/>
  <c r="F3043" i="3" s="1"/>
  <c r="E3044" i="3"/>
  <c r="D3044" i="3" s="1"/>
  <c r="F3044" i="3" s="1"/>
  <c r="E3045" i="3"/>
  <c r="D3045" i="3" s="1"/>
  <c r="F3045" i="3" s="1"/>
  <c r="E3046" i="3"/>
  <c r="D3046" i="3" s="1"/>
  <c r="F3046" i="3" s="1"/>
  <c r="E3047" i="3"/>
  <c r="D3047" i="3" s="1"/>
  <c r="F3047" i="3" s="1"/>
  <c r="E3048" i="3"/>
  <c r="D3048" i="3" s="1"/>
  <c r="F3048" i="3" s="1"/>
  <c r="E3049" i="3"/>
  <c r="D3049" i="3" s="1"/>
  <c r="F3049" i="3" s="1"/>
  <c r="E3050" i="3"/>
  <c r="D3050" i="3" s="1"/>
  <c r="F3050" i="3" s="1"/>
  <c r="E3051" i="3"/>
  <c r="D3051" i="3" s="1"/>
  <c r="F3051" i="3" s="1"/>
  <c r="E3052" i="3"/>
  <c r="D3052" i="3" s="1"/>
  <c r="F3052" i="3" s="1"/>
  <c r="E3053" i="3"/>
  <c r="D3053" i="3" s="1"/>
  <c r="F3053" i="3" s="1"/>
  <c r="E3054" i="3"/>
  <c r="D3054" i="3" s="1"/>
  <c r="F3054" i="3" s="1"/>
  <c r="E3055" i="3"/>
  <c r="D3055" i="3" s="1"/>
  <c r="F3055" i="3" s="1"/>
  <c r="E3056" i="3"/>
  <c r="D3056" i="3" s="1"/>
  <c r="F3056" i="3" s="1"/>
  <c r="E3057" i="3"/>
  <c r="D3057" i="3" s="1"/>
  <c r="F3057" i="3" s="1"/>
  <c r="E3058" i="3"/>
  <c r="D3058" i="3" s="1"/>
  <c r="F3058" i="3" s="1"/>
  <c r="E3059" i="3"/>
  <c r="D3059" i="3" s="1"/>
  <c r="F3059" i="3" s="1"/>
  <c r="E3060" i="3"/>
  <c r="D3060" i="3" s="1"/>
  <c r="F3060" i="3" s="1"/>
  <c r="E3061" i="3"/>
  <c r="D3061" i="3" s="1"/>
  <c r="F3061" i="3" s="1"/>
  <c r="E3062" i="3"/>
  <c r="D3062" i="3" s="1"/>
  <c r="F3062" i="3" s="1"/>
  <c r="E3063" i="3"/>
  <c r="D3063" i="3" s="1"/>
  <c r="F3063" i="3" s="1"/>
  <c r="E3064" i="3"/>
  <c r="D3064" i="3" s="1"/>
  <c r="F3064" i="3" s="1"/>
  <c r="E3065" i="3"/>
  <c r="D3065" i="3" s="1"/>
  <c r="F3065" i="3" s="1"/>
  <c r="E3066" i="3"/>
  <c r="D3066" i="3" s="1"/>
  <c r="F3066" i="3" s="1"/>
  <c r="E3067" i="3"/>
  <c r="D3067" i="3" s="1"/>
  <c r="F3067" i="3" s="1"/>
  <c r="E3068" i="3"/>
  <c r="D3068" i="3" s="1"/>
  <c r="F3068" i="3" s="1"/>
  <c r="E3069" i="3"/>
  <c r="D3069" i="3" s="1"/>
  <c r="F3069" i="3" s="1"/>
  <c r="E3070" i="3"/>
  <c r="D3070" i="3" s="1"/>
  <c r="F3070" i="3" s="1"/>
  <c r="E3071" i="3"/>
  <c r="D3071" i="3" s="1"/>
  <c r="F3071" i="3" s="1"/>
  <c r="E3072" i="3"/>
  <c r="D3072" i="3" s="1"/>
  <c r="F3072" i="3" s="1"/>
  <c r="E3073" i="3"/>
  <c r="D3073" i="3" s="1"/>
  <c r="F3073" i="3" s="1"/>
  <c r="E3074" i="3"/>
  <c r="D3074" i="3" s="1"/>
  <c r="F3074" i="3" s="1"/>
  <c r="E3075" i="3"/>
  <c r="D3075" i="3" s="1"/>
  <c r="F3075" i="3" s="1"/>
  <c r="E3076" i="3"/>
  <c r="D3076" i="3" s="1"/>
  <c r="F3076" i="3" s="1"/>
  <c r="E3077" i="3"/>
  <c r="D3077" i="3" s="1"/>
  <c r="F3077" i="3" s="1"/>
  <c r="E3078" i="3"/>
  <c r="D3078" i="3" s="1"/>
  <c r="F3078" i="3" s="1"/>
  <c r="E3079" i="3"/>
  <c r="D3079" i="3" s="1"/>
  <c r="F3079" i="3" s="1"/>
  <c r="E3080" i="3"/>
  <c r="D3080" i="3" s="1"/>
  <c r="F3080" i="3" s="1"/>
  <c r="E3081" i="3"/>
  <c r="D3081" i="3" s="1"/>
  <c r="F3081" i="3" s="1"/>
  <c r="E3082" i="3"/>
  <c r="D3082" i="3" s="1"/>
  <c r="F3082" i="3" s="1"/>
  <c r="E3083" i="3"/>
  <c r="D3083" i="3" s="1"/>
  <c r="F3083" i="3" s="1"/>
  <c r="E3084" i="3"/>
  <c r="D3084" i="3" s="1"/>
  <c r="F3084" i="3" s="1"/>
  <c r="E3085" i="3"/>
  <c r="D3085" i="3" s="1"/>
  <c r="F3085" i="3" s="1"/>
  <c r="E3086" i="3"/>
  <c r="D3086" i="3" s="1"/>
  <c r="F3086" i="3" s="1"/>
  <c r="E3087" i="3"/>
  <c r="D3087" i="3" s="1"/>
  <c r="F3087" i="3" s="1"/>
  <c r="E3088" i="3"/>
  <c r="D3088" i="3" s="1"/>
  <c r="F3088" i="3" s="1"/>
  <c r="E3089" i="3"/>
  <c r="D3089" i="3" s="1"/>
  <c r="F3089" i="3" s="1"/>
  <c r="E3090" i="3"/>
  <c r="D3090" i="3" s="1"/>
  <c r="F3090" i="3" s="1"/>
  <c r="E3091" i="3"/>
  <c r="D3091" i="3" s="1"/>
  <c r="F3091" i="3" s="1"/>
  <c r="E3092" i="3"/>
  <c r="D3092" i="3" s="1"/>
  <c r="F3092" i="3" s="1"/>
  <c r="E3093" i="3"/>
  <c r="D3093" i="3" s="1"/>
  <c r="F3093" i="3" s="1"/>
  <c r="E3094" i="3"/>
  <c r="D3094" i="3" s="1"/>
  <c r="F3094" i="3" s="1"/>
  <c r="E3095" i="3"/>
  <c r="D3095" i="3" s="1"/>
  <c r="F3095" i="3" s="1"/>
  <c r="E3096" i="3"/>
  <c r="D3096" i="3" s="1"/>
  <c r="F3096" i="3" s="1"/>
  <c r="E3097" i="3"/>
  <c r="D3097" i="3" s="1"/>
  <c r="F3097" i="3" s="1"/>
  <c r="E3098" i="3"/>
  <c r="D3098" i="3" s="1"/>
  <c r="F3098" i="3" s="1"/>
  <c r="E3099" i="3"/>
  <c r="D3099" i="3" s="1"/>
  <c r="F3099" i="3" s="1"/>
  <c r="E3100" i="3"/>
  <c r="D3100" i="3" s="1"/>
  <c r="F3100" i="3" s="1"/>
  <c r="E3101" i="3"/>
  <c r="D3101" i="3" s="1"/>
  <c r="F3101" i="3" s="1"/>
  <c r="E3102" i="3"/>
  <c r="D3102" i="3" s="1"/>
  <c r="F3102" i="3" s="1"/>
  <c r="E3103" i="3"/>
  <c r="D3103" i="3" s="1"/>
  <c r="F3103" i="3" s="1"/>
  <c r="E3104" i="3"/>
  <c r="D3104" i="3" s="1"/>
  <c r="F3104" i="3" s="1"/>
  <c r="E3105" i="3"/>
  <c r="D3105" i="3" s="1"/>
  <c r="F3105" i="3" s="1"/>
  <c r="E3106" i="3"/>
  <c r="D3106" i="3" s="1"/>
  <c r="F3106" i="3" s="1"/>
  <c r="E3107" i="3"/>
  <c r="D3107" i="3" s="1"/>
  <c r="F3107" i="3" s="1"/>
  <c r="E3108" i="3"/>
  <c r="D3108" i="3" s="1"/>
  <c r="F3108" i="3" s="1"/>
  <c r="E3109" i="3"/>
  <c r="D3109" i="3" s="1"/>
  <c r="F3109" i="3" s="1"/>
  <c r="E3110" i="3"/>
  <c r="D3110" i="3" s="1"/>
  <c r="F3110" i="3" s="1"/>
  <c r="E3111" i="3"/>
  <c r="D3111" i="3" s="1"/>
  <c r="F3111" i="3" s="1"/>
  <c r="E3112" i="3"/>
  <c r="D3112" i="3" s="1"/>
  <c r="F3112" i="3" s="1"/>
  <c r="E3113" i="3"/>
  <c r="D3113" i="3" s="1"/>
  <c r="F3113" i="3" s="1"/>
  <c r="E3114" i="3"/>
  <c r="D3114" i="3" s="1"/>
  <c r="F3114" i="3" s="1"/>
  <c r="E3115" i="3"/>
  <c r="D3115" i="3" s="1"/>
  <c r="F3115" i="3" s="1"/>
  <c r="E3116" i="3"/>
  <c r="D3116" i="3" s="1"/>
  <c r="F3116" i="3" s="1"/>
  <c r="E3117" i="3"/>
  <c r="D3117" i="3" s="1"/>
  <c r="F3117" i="3" s="1"/>
  <c r="E3118" i="3"/>
  <c r="D3118" i="3" s="1"/>
  <c r="F3118" i="3" s="1"/>
  <c r="E3119" i="3"/>
  <c r="D3119" i="3" s="1"/>
  <c r="F3119" i="3" s="1"/>
  <c r="E3120" i="3"/>
  <c r="D3120" i="3" s="1"/>
  <c r="F3120" i="3" s="1"/>
  <c r="E3121" i="3"/>
  <c r="D3121" i="3" s="1"/>
  <c r="F3121" i="3" s="1"/>
  <c r="E3122" i="3"/>
  <c r="D3122" i="3" s="1"/>
  <c r="F3122" i="3" s="1"/>
  <c r="E3123" i="3"/>
  <c r="D3123" i="3" s="1"/>
  <c r="F3123" i="3" s="1"/>
  <c r="E3124" i="3"/>
  <c r="D3124" i="3" s="1"/>
  <c r="F3124" i="3" s="1"/>
  <c r="E3125" i="3"/>
  <c r="D3125" i="3" s="1"/>
  <c r="F3125" i="3" s="1"/>
  <c r="E3126" i="3"/>
  <c r="D3126" i="3" s="1"/>
  <c r="F3126" i="3" s="1"/>
  <c r="E3127" i="3"/>
  <c r="D3127" i="3" s="1"/>
  <c r="F3127" i="3" s="1"/>
  <c r="E3128" i="3"/>
  <c r="D3128" i="3" s="1"/>
  <c r="F3128" i="3" s="1"/>
  <c r="E3129" i="3"/>
  <c r="D3129" i="3" s="1"/>
  <c r="F3129" i="3" s="1"/>
  <c r="E3130" i="3"/>
  <c r="D3130" i="3" s="1"/>
  <c r="F3130" i="3" s="1"/>
  <c r="E3131" i="3"/>
  <c r="D3131" i="3" s="1"/>
  <c r="F3131" i="3" s="1"/>
  <c r="E3132" i="3"/>
  <c r="D3132" i="3" s="1"/>
  <c r="F3132" i="3" s="1"/>
  <c r="E3133" i="3"/>
  <c r="D3133" i="3" s="1"/>
  <c r="F3133" i="3" s="1"/>
  <c r="E3134" i="3"/>
  <c r="D3134" i="3" s="1"/>
  <c r="F3134" i="3" s="1"/>
  <c r="E3135" i="3"/>
  <c r="D3135" i="3" s="1"/>
  <c r="F3135" i="3" s="1"/>
  <c r="E3136" i="3"/>
  <c r="D3136" i="3" s="1"/>
  <c r="F3136" i="3" s="1"/>
  <c r="E3137" i="3"/>
  <c r="D3137" i="3" s="1"/>
  <c r="F3137" i="3" s="1"/>
  <c r="E3138" i="3"/>
  <c r="D3138" i="3" s="1"/>
  <c r="F3138" i="3" s="1"/>
  <c r="E3139" i="3"/>
  <c r="D3139" i="3" s="1"/>
  <c r="F3139" i="3" s="1"/>
  <c r="E3140" i="3"/>
  <c r="D3140" i="3" s="1"/>
  <c r="F3140" i="3" s="1"/>
  <c r="E3141" i="3"/>
  <c r="D3141" i="3" s="1"/>
  <c r="F3141" i="3" s="1"/>
  <c r="E3142" i="3"/>
  <c r="D3142" i="3" s="1"/>
  <c r="F3142" i="3" s="1"/>
  <c r="E3143" i="3"/>
  <c r="D3143" i="3" s="1"/>
  <c r="F3143" i="3" s="1"/>
  <c r="E3144" i="3"/>
  <c r="D3144" i="3" s="1"/>
  <c r="F3144" i="3" s="1"/>
  <c r="E3145" i="3"/>
  <c r="D3145" i="3" s="1"/>
  <c r="F3145" i="3" s="1"/>
  <c r="E3146" i="3"/>
  <c r="D3146" i="3" s="1"/>
  <c r="F3146" i="3" s="1"/>
  <c r="E3147" i="3"/>
  <c r="D3147" i="3" s="1"/>
  <c r="F3147" i="3" s="1"/>
  <c r="E3148" i="3"/>
  <c r="D3148" i="3" s="1"/>
  <c r="F3148" i="3" s="1"/>
  <c r="E3149" i="3"/>
  <c r="D3149" i="3" s="1"/>
  <c r="F3149" i="3" s="1"/>
  <c r="E3150" i="3"/>
  <c r="D3150" i="3" s="1"/>
  <c r="F3150" i="3" s="1"/>
  <c r="E3151" i="3"/>
  <c r="D3151" i="3" s="1"/>
  <c r="F3151" i="3" s="1"/>
  <c r="E3152" i="3"/>
  <c r="D3152" i="3" s="1"/>
  <c r="F3152" i="3" s="1"/>
  <c r="E3153" i="3"/>
  <c r="D3153" i="3" s="1"/>
  <c r="F3153" i="3" s="1"/>
  <c r="E3154" i="3"/>
  <c r="D3154" i="3" s="1"/>
  <c r="F3154" i="3" s="1"/>
  <c r="E3155" i="3"/>
  <c r="D3155" i="3" s="1"/>
  <c r="F3155" i="3" s="1"/>
  <c r="E3156" i="3"/>
  <c r="D3156" i="3" s="1"/>
  <c r="F3156" i="3" s="1"/>
  <c r="E3157" i="3"/>
  <c r="D3157" i="3" s="1"/>
  <c r="F3157" i="3" s="1"/>
  <c r="E3158" i="3"/>
  <c r="D3158" i="3" s="1"/>
  <c r="F3158" i="3" s="1"/>
  <c r="E3159" i="3"/>
  <c r="D3159" i="3" s="1"/>
  <c r="F3159" i="3" s="1"/>
  <c r="E3160" i="3"/>
  <c r="D3160" i="3" s="1"/>
  <c r="F3160" i="3" s="1"/>
  <c r="E3161" i="3"/>
  <c r="D3161" i="3" s="1"/>
  <c r="F3161" i="3" s="1"/>
  <c r="E3162" i="3"/>
  <c r="D3162" i="3" s="1"/>
  <c r="F3162" i="3" s="1"/>
  <c r="E3163" i="3"/>
  <c r="D3163" i="3" s="1"/>
  <c r="F3163" i="3" s="1"/>
  <c r="E3164" i="3"/>
  <c r="D3164" i="3" s="1"/>
  <c r="F3164" i="3" s="1"/>
  <c r="E3165" i="3"/>
  <c r="D3165" i="3" s="1"/>
  <c r="F3165" i="3" s="1"/>
  <c r="E3166" i="3"/>
  <c r="D3166" i="3" s="1"/>
  <c r="F3166" i="3" s="1"/>
  <c r="E3167" i="3"/>
  <c r="D3167" i="3" s="1"/>
  <c r="F3167" i="3" s="1"/>
  <c r="E3168" i="3"/>
  <c r="D3168" i="3" s="1"/>
  <c r="F3168" i="3" s="1"/>
  <c r="E3169" i="3"/>
  <c r="D3169" i="3" s="1"/>
  <c r="F3169" i="3" s="1"/>
  <c r="E3170" i="3"/>
  <c r="D3170" i="3" s="1"/>
  <c r="F3170" i="3" s="1"/>
  <c r="E3171" i="3"/>
  <c r="D3171" i="3" s="1"/>
  <c r="F3171" i="3" s="1"/>
  <c r="E3172" i="3"/>
  <c r="D3172" i="3" s="1"/>
  <c r="F3172" i="3" s="1"/>
  <c r="E3173" i="3"/>
  <c r="D3173" i="3" s="1"/>
  <c r="F3173" i="3" s="1"/>
  <c r="E3174" i="3"/>
  <c r="D3174" i="3" s="1"/>
  <c r="F3174" i="3" s="1"/>
  <c r="E3175" i="3"/>
  <c r="D3175" i="3" s="1"/>
  <c r="F3175" i="3" s="1"/>
  <c r="E3176" i="3"/>
  <c r="D3176" i="3" s="1"/>
  <c r="F3176" i="3" s="1"/>
  <c r="E3177" i="3"/>
  <c r="D3177" i="3" s="1"/>
  <c r="F3177" i="3" s="1"/>
  <c r="E3178" i="3"/>
  <c r="D3178" i="3" s="1"/>
  <c r="F3178" i="3" s="1"/>
  <c r="E3179" i="3"/>
  <c r="D3179" i="3" s="1"/>
  <c r="F3179" i="3" s="1"/>
  <c r="E3180" i="3"/>
  <c r="D3180" i="3" s="1"/>
  <c r="F3180" i="3" s="1"/>
  <c r="E3181" i="3"/>
  <c r="D3181" i="3" s="1"/>
  <c r="F3181" i="3" s="1"/>
  <c r="E3182" i="3"/>
  <c r="D3182" i="3" s="1"/>
  <c r="F3182" i="3" s="1"/>
  <c r="E3183" i="3"/>
  <c r="D3183" i="3" s="1"/>
  <c r="F3183" i="3" s="1"/>
  <c r="E3184" i="3"/>
  <c r="D3184" i="3" s="1"/>
  <c r="F3184" i="3" s="1"/>
  <c r="E3185" i="3"/>
  <c r="D3185" i="3" s="1"/>
  <c r="F3185" i="3" s="1"/>
  <c r="E3186" i="3"/>
  <c r="D3186" i="3" s="1"/>
  <c r="F3186" i="3" s="1"/>
  <c r="E3187" i="3"/>
  <c r="D3187" i="3" s="1"/>
  <c r="F3187" i="3" s="1"/>
  <c r="E3188" i="3"/>
  <c r="D3188" i="3" s="1"/>
  <c r="F3188" i="3" s="1"/>
  <c r="E3189" i="3"/>
  <c r="D3189" i="3" s="1"/>
  <c r="F3189" i="3" s="1"/>
  <c r="E3190" i="3"/>
  <c r="D3190" i="3" s="1"/>
  <c r="F3190" i="3" s="1"/>
  <c r="E3191" i="3"/>
  <c r="D3191" i="3" s="1"/>
  <c r="F3191" i="3" s="1"/>
  <c r="E3192" i="3"/>
  <c r="D3192" i="3" s="1"/>
  <c r="F3192" i="3" s="1"/>
  <c r="E3193" i="3"/>
  <c r="D3193" i="3" s="1"/>
  <c r="F3193" i="3" s="1"/>
  <c r="E3194" i="3"/>
  <c r="D3194" i="3" s="1"/>
  <c r="F3194" i="3" s="1"/>
  <c r="E3195" i="3"/>
  <c r="D3195" i="3" s="1"/>
  <c r="F3195" i="3" s="1"/>
  <c r="E3196" i="3"/>
  <c r="D3196" i="3" s="1"/>
  <c r="F3196" i="3" s="1"/>
  <c r="E3197" i="3"/>
  <c r="D3197" i="3" s="1"/>
  <c r="F3197" i="3" s="1"/>
  <c r="E3198" i="3"/>
  <c r="D3198" i="3" s="1"/>
  <c r="F3198" i="3" s="1"/>
  <c r="E3199" i="3"/>
  <c r="D3199" i="3" s="1"/>
  <c r="F3199" i="3" s="1"/>
  <c r="E3200" i="3"/>
  <c r="D3200" i="3" s="1"/>
  <c r="F3200" i="3" s="1"/>
  <c r="E3201" i="3"/>
  <c r="D3201" i="3" s="1"/>
  <c r="F3201" i="3" s="1"/>
  <c r="E3202" i="3"/>
  <c r="D3202" i="3" s="1"/>
  <c r="F3202" i="3" s="1"/>
  <c r="E3203" i="3"/>
  <c r="D3203" i="3" s="1"/>
  <c r="F3203" i="3" s="1"/>
  <c r="E3204" i="3"/>
  <c r="D3204" i="3" s="1"/>
  <c r="F3204" i="3" s="1"/>
  <c r="E3205" i="3"/>
  <c r="D3205" i="3" s="1"/>
  <c r="F3205" i="3" s="1"/>
  <c r="E3206" i="3"/>
  <c r="D3206" i="3" s="1"/>
  <c r="F3206" i="3" s="1"/>
  <c r="E3207" i="3"/>
  <c r="D3207" i="3" s="1"/>
  <c r="F3207" i="3" s="1"/>
  <c r="E3208" i="3"/>
  <c r="D3208" i="3" s="1"/>
  <c r="F3208" i="3" s="1"/>
  <c r="E3209" i="3"/>
  <c r="D3209" i="3" s="1"/>
  <c r="F3209" i="3" s="1"/>
  <c r="E3210" i="3"/>
  <c r="D3210" i="3" s="1"/>
  <c r="F3210" i="3" s="1"/>
  <c r="E3211" i="3"/>
  <c r="D3211" i="3" s="1"/>
  <c r="F3211" i="3" s="1"/>
  <c r="E3212" i="3"/>
  <c r="D3212" i="3" s="1"/>
  <c r="F3212" i="3" s="1"/>
  <c r="E3213" i="3"/>
  <c r="D3213" i="3" s="1"/>
  <c r="F3213" i="3" s="1"/>
  <c r="E3214" i="3"/>
  <c r="D3214" i="3" s="1"/>
  <c r="F3214" i="3" s="1"/>
  <c r="E3215" i="3"/>
  <c r="D3215" i="3" s="1"/>
  <c r="F3215" i="3" s="1"/>
  <c r="E3216" i="3"/>
  <c r="D3216" i="3" s="1"/>
  <c r="F3216" i="3" s="1"/>
  <c r="E3217" i="3"/>
  <c r="D3217" i="3" s="1"/>
  <c r="F3217" i="3" s="1"/>
  <c r="E3218" i="3"/>
  <c r="D3218" i="3" s="1"/>
  <c r="F3218" i="3" s="1"/>
  <c r="E3219" i="3"/>
  <c r="D3219" i="3" s="1"/>
  <c r="F3219" i="3" s="1"/>
  <c r="E3220" i="3"/>
  <c r="D3220" i="3" s="1"/>
  <c r="F3220" i="3" s="1"/>
  <c r="E3221" i="3"/>
  <c r="D3221" i="3" s="1"/>
  <c r="F3221" i="3" s="1"/>
  <c r="E3222" i="3"/>
  <c r="D3222" i="3" s="1"/>
  <c r="F3222" i="3" s="1"/>
  <c r="E3223" i="3"/>
  <c r="D3223" i="3" s="1"/>
  <c r="F3223" i="3" s="1"/>
  <c r="E3224" i="3"/>
  <c r="D3224" i="3" s="1"/>
  <c r="F3224" i="3" s="1"/>
  <c r="E3225" i="3"/>
  <c r="D3225" i="3" s="1"/>
  <c r="F3225" i="3" s="1"/>
  <c r="E3226" i="3"/>
  <c r="D3226" i="3" s="1"/>
  <c r="F3226" i="3" s="1"/>
  <c r="E3227" i="3"/>
  <c r="D3227" i="3" s="1"/>
  <c r="F3227" i="3" s="1"/>
  <c r="E3228" i="3"/>
  <c r="D3228" i="3" s="1"/>
  <c r="F3228" i="3" s="1"/>
  <c r="E3229" i="3"/>
  <c r="D3229" i="3" s="1"/>
  <c r="F3229" i="3" s="1"/>
  <c r="E3230" i="3"/>
  <c r="D3230" i="3" s="1"/>
  <c r="F3230" i="3" s="1"/>
  <c r="E3231" i="3"/>
  <c r="D3231" i="3" s="1"/>
  <c r="F3231" i="3" s="1"/>
  <c r="E3232" i="3"/>
  <c r="D3232" i="3" s="1"/>
  <c r="F3232" i="3" s="1"/>
  <c r="E3233" i="3"/>
  <c r="D3233" i="3" s="1"/>
  <c r="F3233" i="3" s="1"/>
  <c r="E3234" i="3"/>
  <c r="D3234" i="3" s="1"/>
  <c r="F3234" i="3" s="1"/>
  <c r="E3235" i="3"/>
  <c r="D3235" i="3" s="1"/>
  <c r="F3235" i="3" s="1"/>
  <c r="E3236" i="3"/>
  <c r="D3236" i="3" s="1"/>
  <c r="F3236" i="3" s="1"/>
  <c r="E3237" i="3"/>
  <c r="D3237" i="3" s="1"/>
  <c r="F3237" i="3" s="1"/>
  <c r="E3238" i="3"/>
  <c r="D3238" i="3" s="1"/>
  <c r="F3238" i="3" s="1"/>
  <c r="E3239" i="3"/>
  <c r="D3239" i="3" s="1"/>
  <c r="F3239" i="3" s="1"/>
  <c r="E3240" i="3"/>
  <c r="D3240" i="3" s="1"/>
  <c r="F3240" i="3" s="1"/>
  <c r="E3241" i="3"/>
  <c r="D3241" i="3" s="1"/>
  <c r="F3241" i="3" s="1"/>
  <c r="E3242" i="3"/>
  <c r="D3242" i="3" s="1"/>
  <c r="F3242" i="3" s="1"/>
  <c r="E3243" i="3"/>
  <c r="D3243" i="3" s="1"/>
  <c r="F3243" i="3" s="1"/>
  <c r="E3244" i="3"/>
  <c r="D3244" i="3" s="1"/>
  <c r="F3244" i="3" s="1"/>
  <c r="E3245" i="3"/>
  <c r="D3245" i="3" s="1"/>
  <c r="F3245" i="3" s="1"/>
  <c r="E3246" i="3"/>
  <c r="D3246" i="3" s="1"/>
  <c r="F3246" i="3" s="1"/>
  <c r="E3247" i="3"/>
  <c r="D3247" i="3" s="1"/>
  <c r="F3247" i="3" s="1"/>
  <c r="E3248" i="3"/>
  <c r="D3248" i="3" s="1"/>
  <c r="F3248" i="3" s="1"/>
  <c r="E3249" i="3"/>
  <c r="D3249" i="3" s="1"/>
  <c r="F3249" i="3" s="1"/>
  <c r="E3250" i="3"/>
  <c r="D3250" i="3" s="1"/>
  <c r="F3250" i="3" s="1"/>
  <c r="E3251" i="3"/>
  <c r="D3251" i="3" s="1"/>
  <c r="F3251" i="3" s="1"/>
  <c r="E3252" i="3"/>
  <c r="D3252" i="3" s="1"/>
  <c r="F3252" i="3" s="1"/>
  <c r="E3253" i="3"/>
  <c r="D3253" i="3" s="1"/>
  <c r="F3253" i="3" s="1"/>
  <c r="E3254" i="3"/>
  <c r="D3254" i="3" s="1"/>
  <c r="F3254" i="3" s="1"/>
  <c r="E3255" i="3"/>
  <c r="D3255" i="3" s="1"/>
  <c r="F3255" i="3" s="1"/>
  <c r="E3256" i="3"/>
  <c r="D3256" i="3" s="1"/>
  <c r="F3256" i="3" s="1"/>
  <c r="E3257" i="3"/>
  <c r="D3257" i="3" s="1"/>
  <c r="F3257" i="3" s="1"/>
  <c r="E3258" i="3"/>
  <c r="D3258" i="3" s="1"/>
  <c r="F3258" i="3" s="1"/>
  <c r="E3259" i="3"/>
  <c r="D3259" i="3" s="1"/>
  <c r="F3259" i="3" s="1"/>
  <c r="E3260" i="3"/>
  <c r="D3260" i="3" s="1"/>
  <c r="F3260" i="3" s="1"/>
  <c r="E3261" i="3"/>
  <c r="D3261" i="3" s="1"/>
  <c r="F3261" i="3" s="1"/>
  <c r="E3262" i="3"/>
  <c r="D3262" i="3" s="1"/>
  <c r="F3262" i="3" s="1"/>
  <c r="E3263" i="3"/>
  <c r="D3263" i="3" s="1"/>
  <c r="F3263" i="3" s="1"/>
  <c r="E3264" i="3"/>
  <c r="D3264" i="3" s="1"/>
  <c r="F3264" i="3" s="1"/>
  <c r="E3265" i="3"/>
  <c r="D3265" i="3" s="1"/>
  <c r="F3265" i="3" s="1"/>
  <c r="E3266" i="3"/>
  <c r="D3266" i="3" s="1"/>
  <c r="F3266" i="3" s="1"/>
  <c r="E3267" i="3"/>
  <c r="D3267" i="3" s="1"/>
  <c r="F3267" i="3" s="1"/>
  <c r="E3268" i="3"/>
  <c r="D3268" i="3" s="1"/>
  <c r="F3268" i="3" s="1"/>
  <c r="E3269" i="3"/>
  <c r="D3269" i="3" s="1"/>
  <c r="F3269" i="3" s="1"/>
  <c r="E3270" i="3"/>
  <c r="D3270" i="3" s="1"/>
  <c r="F3270" i="3" s="1"/>
  <c r="E3271" i="3"/>
  <c r="D3271" i="3" s="1"/>
  <c r="F3271" i="3" s="1"/>
  <c r="E3272" i="3"/>
  <c r="D3272" i="3" s="1"/>
  <c r="F3272" i="3" s="1"/>
  <c r="E3273" i="3"/>
  <c r="D3273" i="3" s="1"/>
  <c r="F3273" i="3" s="1"/>
  <c r="E3274" i="3"/>
  <c r="D3274" i="3" s="1"/>
  <c r="F3274" i="3" s="1"/>
  <c r="E3275" i="3"/>
  <c r="D3275" i="3" s="1"/>
  <c r="F3275" i="3" s="1"/>
  <c r="E3276" i="3"/>
  <c r="D3276" i="3" s="1"/>
  <c r="F3276" i="3" s="1"/>
  <c r="E3277" i="3"/>
  <c r="D3277" i="3" s="1"/>
  <c r="F3277" i="3" s="1"/>
  <c r="E3278" i="3"/>
  <c r="D3278" i="3" s="1"/>
  <c r="F3278" i="3" s="1"/>
  <c r="E3279" i="3"/>
  <c r="D3279" i="3" s="1"/>
  <c r="F3279" i="3" s="1"/>
  <c r="E3280" i="3"/>
  <c r="D3280" i="3" s="1"/>
  <c r="F3280" i="3" s="1"/>
  <c r="E3281" i="3"/>
  <c r="D3281" i="3" s="1"/>
  <c r="F3281" i="3" s="1"/>
  <c r="E3282" i="3"/>
  <c r="D3282" i="3" s="1"/>
  <c r="F3282" i="3" s="1"/>
  <c r="E3283" i="3"/>
  <c r="D3283" i="3" s="1"/>
  <c r="F3283" i="3" s="1"/>
  <c r="E3284" i="3"/>
  <c r="D3284" i="3" s="1"/>
  <c r="F3284" i="3" s="1"/>
  <c r="E3285" i="3"/>
  <c r="D3285" i="3" s="1"/>
  <c r="F3285" i="3" s="1"/>
  <c r="E3286" i="3"/>
  <c r="D3286" i="3" s="1"/>
  <c r="F3286" i="3" s="1"/>
  <c r="E3287" i="3"/>
  <c r="D3287" i="3" s="1"/>
  <c r="F3287" i="3" s="1"/>
  <c r="E3288" i="3"/>
  <c r="D3288" i="3" s="1"/>
  <c r="F3288" i="3" s="1"/>
  <c r="E3289" i="3"/>
  <c r="D3289" i="3" s="1"/>
  <c r="F3289" i="3" s="1"/>
  <c r="E3290" i="3"/>
  <c r="D3290" i="3" s="1"/>
  <c r="F3290" i="3" s="1"/>
  <c r="E3291" i="3"/>
  <c r="D3291" i="3" s="1"/>
  <c r="F3291" i="3" s="1"/>
  <c r="E3292" i="3"/>
  <c r="D3292" i="3" s="1"/>
  <c r="F3292" i="3" s="1"/>
  <c r="E3293" i="3"/>
  <c r="D3293" i="3" s="1"/>
  <c r="F3293" i="3" s="1"/>
  <c r="E3294" i="3"/>
  <c r="D3294" i="3" s="1"/>
  <c r="F3294" i="3" s="1"/>
  <c r="E3295" i="3"/>
  <c r="D3295" i="3" s="1"/>
  <c r="F3295" i="3" s="1"/>
  <c r="E3296" i="3"/>
  <c r="D3296" i="3" s="1"/>
  <c r="F3296" i="3" s="1"/>
  <c r="E3297" i="3"/>
  <c r="D3297" i="3" s="1"/>
  <c r="F3297" i="3" s="1"/>
  <c r="E3298" i="3"/>
  <c r="D3298" i="3" s="1"/>
  <c r="F3298" i="3" s="1"/>
  <c r="E3299" i="3"/>
  <c r="D3299" i="3" s="1"/>
  <c r="F3299" i="3" s="1"/>
  <c r="E3300" i="3"/>
  <c r="D3300" i="3" s="1"/>
  <c r="F3300" i="3" s="1"/>
  <c r="E3301" i="3"/>
  <c r="D3301" i="3" s="1"/>
  <c r="F3301" i="3" s="1"/>
  <c r="E3302" i="3"/>
  <c r="D3302" i="3" s="1"/>
  <c r="F3302" i="3" s="1"/>
  <c r="E3303" i="3"/>
  <c r="D3303" i="3" s="1"/>
  <c r="F3303" i="3" s="1"/>
  <c r="E3304" i="3"/>
  <c r="D3304" i="3" s="1"/>
  <c r="F3304" i="3" s="1"/>
  <c r="E3305" i="3"/>
  <c r="D3305" i="3" s="1"/>
  <c r="F3305" i="3" s="1"/>
  <c r="E3306" i="3"/>
  <c r="D3306" i="3" s="1"/>
  <c r="F3306" i="3" s="1"/>
  <c r="E3307" i="3"/>
  <c r="D3307" i="3" s="1"/>
  <c r="F3307" i="3" s="1"/>
  <c r="E3308" i="3"/>
  <c r="D3308" i="3" s="1"/>
  <c r="F3308" i="3" s="1"/>
  <c r="E3309" i="3"/>
  <c r="D3309" i="3" s="1"/>
  <c r="F3309" i="3" s="1"/>
  <c r="E3310" i="3"/>
  <c r="D3310" i="3" s="1"/>
  <c r="F3310" i="3" s="1"/>
  <c r="E3311" i="3"/>
  <c r="D3311" i="3" s="1"/>
  <c r="F3311" i="3" s="1"/>
  <c r="E3312" i="3"/>
  <c r="D3312" i="3" s="1"/>
  <c r="F3312" i="3" s="1"/>
  <c r="E3313" i="3"/>
  <c r="D3313" i="3" s="1"/>
  <c r="F3313" i="3" s="1"/>
  <c r="E3314" i="3"/>
  <c r="D3314" i="3" s="1"/>
  <c r="F3314" i="3" s="1"/>
  <c r="E3315" i="3"/>
  <c r="D3315" i="3" s="1"/>
  <c r="F3315" i="3" s="1"/>
  <c r="E3316" i="3"/>
  <c r="D3316" i="3" s="1"/>
  <c r="F3316" i="3" s="1"/>
  <c r="E3317" i="3"/>
  <c r="D3317" i="3" s="1"/>
  <c r="F3317" i="3" s="1"/>
  <c r="E3318" i="3"/>
  <c r="D3318" i="3" s="1"/>
  <c r="F3318" i="3" s="1"/>
  <c r="E3319" i="3"/>
  <c r="D3319" i="3" s="1"/>
  <c r="F3319" i="3" s="1"/>
  <c r="E3320" i="3"/>
  <c r="D3320" i="3" s="1"/>
  <c r="F3320" i="3" s="1"/>
  <c r="E3321" i="3"/>
  <c r="D3321" i="3" s="1"/>
  <c r="F3321" i="3" s="1"/>
  <c r="E3322" i="3"/>
  <c r="D3322" i="3" s="1"/>
  <c r="F3322" i="3" s="1"/>
  <c r="E3323" i="3"/>
  <c r="D3323" i="3" s="1"/>
  <c r="F3323" i="3" s="1"/>
  <c r="E3324" i="3"/>
  <c r="D3324" i="3" s="1"/>
  <c r="F3324" i="3" s="1"/>
  <c r="E3325" i="3"/>
  <c r="D3325" i="3" s="1"/>
  <c r="F3325" i="3" s="1"/>
  <c r="E3326" i="3"/>
  <c r="D3326" i="3" s="1"/>
  <c r="F3326" i="3" s="1"/>
  <c r="E3327" i="3"/>
  <c r="D3327" i="3" s="1"/>
  <c r="F3327" i="3" s="1"/>
  <c r="E3328" i="3"/>
  <c r="D3328" i="3" s="1"/>
  <c r="F3328" i="3" s="1"/>
  <c r="E3329" i="3"/>
  <c r="D3329" i="3" s="1"/>
  <c r="F3329" i="3" s="1"/>
  <c r="E3330" i="3"/>
  <c r="D3330" i="3" s="1"/>
  <c r="F3330" i="3" s="1"/>
  <c r="E3331" i="3"/>
  <c r="D3331" i="3" s="1"/>
  <c r="F3331" i="3" s="1"/>
  <c r="E3332" i="3"/>
  <c r="D3332" i="3" s="1"/>
  <c r="F3332" i="3" s="1"/>
  <c r="E3333" i="3"/>
  <c r="D3333" i="3" s="1"/>
  <c r="F3333" i="3" s="1"/>
  <c r="E3334" i="3"/>
  <c r="D3334" i="3" s="1"/>
  <c r="F3334" i="3" s="1"/>
  <c r="E3335" i="3"/>
  <c r="D3335" i="3" s="1"/>
  <c r="F3335" i="3" s="1"/>
  <c r="E3336" i="3"/>
  <c r="D3336" i="3" s="1"/>
  <c r="F3336" i="3" s="1"/>
  <c r="E3337" i="3"/>
  <c r="D3337" i="3" s="1"/>
  <c r="F3337" i="3" s="1"/>
  <c r="E3338" i="3"/>
  <c r="D3338" i="3" s="1"/>
  <c r="F3338" i="3" s="1"/>
  <c r="E3339" i="3"/>
  <c r="D3339" i="3" s="1"/>
  <c r="F3339" i="3" s="1"/>
  <c r="E3340" i="3"/>
  <c r="D3340" i="3" s="1"/>
  <c r="F3340" i="3" s="1"/>
  <c r="E3341" i="3"/>
  <c r="D3341" i="3" s="1"/>
  <c r="F3341" i="3" s="1"/>
  <c r="E3342" i="3"/>
  <c r="D3342" i="3" s="1"/>
  <c r="F3342" i="3" s="1"/>
  <c r="E3343" i="3"/>
  <c r="D3343" i="3" s="1"/>
  <c r="F3343" i="3" s="1"/>
  <c r="E3344" i="3"/>
  <c r="D3344" i="3" s="1"/>
  <c r="F3344" i="3" s="1"/>
  <c r="E3345" i="3"/>
  <c r="D3345" i="3" s="1"/>
  <c r="F3345" i="3" s="1"/>
  <c r="E3346" i="3"/>
  <c r="D3346" i="3" s="1"/>
  <c r="F3346" i="3" s="1"/>
  <c r="E3347" i="3"/>
  <c r="D3347" i="3" s="1"/>
  <c r="F3347" i="3" s="1"/>
  <c r="E3348" i="3"/>
  <c r="D3348" i="3" s="1"/>
  <c r="F3348" i="3" s="1"/>
  <c r="E3349" i="3"/>
  <c r="D3349" i="3" s="1"/>
  <c r="F3349" i="3" s="1"/>
  <c r="E3350" i="3"/>
  <c r="D3350" i="3" s="1"/>
  <c r="F3350" i="3" s="1"/>
  <c r="E3351" i="3"/>
  <c r="D3351" i="3" s="1"/>
  <c r="F3351" i="3" s="1"/>
  <c r="E3352" i="3"/>
  <c r="D3352" i="3" s="1"/>
  <c r="F3352" i="3" s="1"/>
  <c r="E3353" i="3"/>
  <c r="D3353" i="3" s="1"/>
  <c r="F3353" i="3" s="1"/>
  <c r="E3354" i="3"/>
  <c r="D3354" i="3" s="1"/>
  <c r="F3354" i="3" s="1"/>
  <c r="E3355" i="3"/>
  <c r="D3355" i="3" s="1"/>
  <c r="F3355" i="3" s="1"/>
  <c r="E3356" i="3"/>
  <c r="D3356" i="3" s="1"/>
  <c r="F3356" i="3" s="1"/>
  <c r="E3357" i="3"/>
  <c r="D3357" i="3" s="1"/>
  <c r="F3357" i="3" s="1"/>
  <c r="E3358" i="3"/>
  <c r="D3358" i="3" s="1"/>
  <c r="F3358" i="3" s="1"/>
  <c r="E3359" i="3"/>
  <c r="D3359" i="3" s="1"/>
  <c r="F3359" i="3" s="1"/>
  <c r="E3360" i="3"/>
  <c r="D3360" i="3" s="1"/>
  <c r="F3360" i="3" s="1"/>
  <c r="E3361" i="3"/>
  <c r="D3361" i="3" s="1"/>
  <c r="F3361" i="3" s="1"/>
  <c r="E3362" i="3"/>
  <c r="D3362" i="3" s="1"/>
  <c r="F3362" i="3" s="1"/>
  <c r="E3363" i="3"/>
  <c r="D3363" i="3" s="1"/>
  <c r="F3363" i="3" s="1"/>
  <c r="E3364" i="3"/>
  <c r="D3364" i="3" s="1"/>
  <c r="F3364" i="3" s="1"/>
  <c r="E3365" i="3"/>
  <c r="D3365" i="3" s="1"/>
  <c r="F3365" i="3" s="1"/>
  <c r="E3366" i="3"/>
  <c r="D3366" i="3" s="1"/>
  <c r="F3366" i="3" s="1"/>
  <c r="E3367" i="3"/>
  <c r="D3367" i="3" s="1"/>
  <c r="F3367" i="3" s="1"/>
  <c r="E3368" i="3"/>
  <c r="D3368" i="3" s="1"/>
  <c r="F3368" i="3" s="1"/>
  <c r="E3369" i="3"/>
  <c r="D3369" i="3" s="1"/>
  <c r="F3369" i="3" s="1"/>
  <c r="E3370" i="3"/>
  <c r="D3370" i="3" s="1"/>
  <c r="F3370" i="3" s="1"/>
  <c r="E3371" i="3"/>
  <c r="D3371" i="3" s="1"/>
  <c r="F3371" i="3" s="1"/>
  <c r="E3372" i="3"/>
  <c r="D3372" i="3" s="1"/>
  <c r="F3372" i="3" s="1"/>
  <c r="E3373" i="3"/>
  <c r="D3373" i="3" s="1"/>
  <c r="F3373" i="3" s="1"/>
  <c r="E3374" i="3"/>
  <c r="D3374" i="3" s="1"/>
  <c r="F3374" i="3" s="1"/>
  <c r="E3375" i="3"/>
  <c r="D3375" i="3" s="1"/>
  <c r="F3375" i="3" s="1"/>
  <c r="E3376" i="3"/>
  <c r="D3376" i="3" s="1"/>
  <c r="F3376" i="3" s="1"/>
  <c r="E3377" i="3"/>
  <c r="D3377" i="3" s="1"/>
  <c r="F3377" i="3" s="1"/>
  <c r="E3378" i="3"/>
  <c r="D3378" i="3" s="1"/>
  <c r="F3378" i="3" s="1"/>
  <c r="E3379" i="3"/>
  <c r="D3379" i="3" s="1"/>
  <c r="F3379" i="3" s="1"/>
  <c r="E3380" i="3"/>
  <c r="D3380" i="3" s="1"/>
  <c r="F3380" i="3" s="1"/>
  <c r="E3381" i="3"/>
  <c r="D3381" i="3" s="1"/>
  <c r="F3381" i="3" s="1"/>
  <c r="E3382" i="3"/>
  <c r="D3382" i="3" s="1"/>
  <c r="F3382" i="3" s="1"/>
  <c r="E3383" i="3"/>
  <c r="D3383" i="3" s="1"/>
  <c r="F3383" i="3" s="1"/>
  <c r="E3384" i="3"/>
  <c r="D3384" i="3" s="1"/>
  <c r="F3384" i="3" s="1"/>
  <c r="E3385" i="3"/>
  <c r="D3385" i="3" s="1"/>
  <c r="F3385" i="3" s="1"/>
  <c r="E3386" i="3"/>
  <c r="D3386" i="3" s="1"/>
  <c r="F3386" i="3" s="1"/>
  <c r="E3387" i="3"/>
  <c r="D3387" i="3" s="1"/>
  <c r="F3387" i="3" s="1"/>
  <c r="E3388" i="3"/>
  <c r="D3388" i="3" s="1"/>
  <c r="F3388" i="3" s="1"/>
  <c r="E3389" i="3"/>
  <c r="D3389" i="3" s="1"/>
  <c r="F3389" i="3" s="1"/>
  <c r="E3390" i="3"/>
  <c r="D3390" i="3" s="1"/>
  <c r="F3390" i="3" s="1"/>
  <c r="E3391" i="3"/>
  <c r="D3391" i="3" s="1"/>
  <c r="F3391" i="3" s="1"/>
  <c r="E3392" i="3"/>
  <c r="D3392" i="3" s="1"/>
  <c r="F3392" i="3" s="1"/>
  <c r="E3393" i="3"/>
  <c r="D3393" i="3" s="1"/>
  <c r="F3393" i="3" s="1"/>
  <c r="E3394" i="3"/>
  <c r="D3394" i="3" s="1"/>
  <c r="F3394" i="3" s="1"/>
  <c r="E3395" i="3"/>
  <c r="D3395" i="3" s="1"/>
  <c r="F3395" i="3" s="1"/>
  <c r="E3396" i="3"/>
  <c r="D3396" i="3" s="1"/>
  <c r="F3396" i="3" s="1"/>
  <c r="E3397" i="3"/>
  <c r="D3397" i="3" s="1"/>
  <c r="F3397" i="3" s="1"/>
  <c r="E3398" i="3"/>
  <c r="D3398" i="3" s="1"/>
  <c r="F3398" i="3" s="1"/>
  <c r="E3399" i="3"/>
  <c r="D3399" i="3" s="1"/>
  <c r="F3399" i="3" s="1"/>
  <c r="E3400" i="3"/>
  <c r="D3400" i="3" s="1"/>
  <c r="F3400" i="3" s="1"/>
  <c r="E3401" i="3"/>
  <c r="D3401" i="3" s="1"/>
  <c r="F3401" i="3" s="1"/>
  <c r="E3402" i="3"/>
  <c r="D3402" i="3" s="1"/>
  <c r="F3402" i="3" s="1"/>
  <c r="E3403" i="3"/>
  <c r="D3403" i="3" s="1"/>
  <c r="F3403" i="3" s="1"/>
  <c r="E3404" i="3"/>
  <c r="D3404" i="3" s="1"/>
  <c r="F3404" i="3" s="1"/>
  <c r="E3405" i="3"/>
  <c r="D3405" i="3" s="1"/>
  <c r="F3405" i="3" s="1"/>
  <c r="E3406" i="3"/>
  <c r="D3406" i="3" s="1"/>
  <c r="F3406" i="3" s="1"/>
  <c r="E3407" i="3"/>
  <c r="D3407" i="3" s="1"/>
  <c r="F3407" i="3" s="1"/>
  <c r="E3408" i="3"/>
  <c r="D3408" i="3" s="1"/>
  <c r="F3408" i="3" s="1"/>
  <c r="E3409" i="3"/>
  <c r="D3409" i="3" s="1"/>
  <c r="F3409" i="3" s="1"/>
  <c r="E3410" i="3"/>
  <c r="D3410" i="3" s="1"/>
  <c r="F3410" i="3" s="1"/>
  <c r="E3411" i="3"/>
  <c r="D3411" i="3" s="1"/>
  <c r="F3411" i="3" s="1"/>
  <c r="E3412" i="3"/>
  <c r="D3412" i="3" s="1"/>
  <c r="F3412" i="3" s="1"/>
  <c r="E3413" i="3"/>
  <c r="D3413" i="3" s="1"/>
  <c r="F3413" i="3" s="1"/>
  <c r="E3414" i="3"/>
  <c r="D3414" i="3" s="1"/>
  <c r="F3414" i="3" s="1"/>
  <c r="E3415" i="3"/>
  <c r="D3415" i="3" s="1"/>
  <c r="F3415" i="3" s="1"/>
  <c r="E3416" i="3"/>
  <c r="D3416" i="3" s="1"/>
  <c r="F3416" i="3" s="1"/>
  <c r="E3417" i="3"/>
  <c r="D3417" i="3" s="1"/>
  <c r="F3417" i="3" s="1"/>
  <c r="E3418" i="3"/>
  <c r="D3418" i="3" s="1"/>
  <c r="F3418" i="3" s="1"/>
  <c r="E3419" i="3"/>
  <c r="D3419" i="3" s="1"/>
  <c r="F3419" i="3" s="1"/>
  <c r="E3420" i="3"/>
  <c r="D3420" i="3" s="1"/>
  <c r="F3420" i="3" s="1"/>
  <c r="E3421" i="3"/>
  <c r="D3421" i="3" s="1"/>
  <c r="F3421" i="3" s="1"/>
  <c r="E3422" i="3"/>
  <c r="D3422" i="3" s="1"/>
  <c r="F3422" i="3" s="1"/>
  <c r="E3423" i="3"/>
  <c r="D3423" i="3" s="1"/>
  <c r="F3423" i="3" s="1"/>
  <c r="E3424" i="3"/>
  <c r="D3424" i="3" s="1"/>
  <c r="F3424" i="3" s="1"/>
  <c r="E3425" i="3"/>
  <c r="D3425" i="3" s="1"/>
  <c r="F3425" i="3" s="1"/>
  <c r="E3426" i="3"/>
  <c r="D3426" i="3" s="1"/>
  <c r="F3426" i="3" s="1"/>
  <c r="E3427" i="3"/>
  <c r="D3427" i="3" s="1"/>
  <c r="F3427" i="3" s="1"/>
  <c r="E3428" i="3"/>
  <c r="D3428" i="3" s="1"/>
  <c r="F3428" i="3" s="1"/>
  <c r="E3429" i="3"/>
  <c r="D3429" i="3" s="1"/>
  <c r="F3429" i="3" s="1"/>
  <c r="E3430" i="3"/>
  <c r="D3430" i="3" s="1"/>
  <c r="F3430" i="3" s="1"/>
  <c r="E3431" i="3"/>
  <c r="D3431" i="3" s="1"/>
  <c r="F3431" i="3" s="1"/>
  <c r="E3432" i="3"/>
  <c r="D3432" i="3" s="1"/>
  <c r="F3432" i="3" s="1"/>
  <c r="E3433" i="3"/>
  <c r="D3433" i="3" s="1"/>
  <c r="F3433" i="3" s="1"/>
  <c r="E3434" i="3"/>
  <c r="D3434" i="3" s="1"/>
  <c r="F3434" i="3" s="1"/>
  <c r="E3435" i="3"/>
  <c r="D3435" i="3" s="1"/>
  <c r="F3435" i="3" s="1"/>
  <c r="E3436" i="3"/>
  <c r="D3436" i="3" s="1"/>
  <c r="F3436" i="3" s="1"/>
  <c r="E3437" i="3"/>
  <c r="D3437" i="3" s="1"/>
  <c r="F3437" i="3" s="1"/>
  <c r="E3438" i="3"/>
  <c r="D3438" i="3" s="1"/>
  <c r="F3438" i="3" s="1"/>
  <c r="E3439" i="3"/>
  <c r="D3439" i="3" s="1"/>
  <c r="F3439" i="3" s="1"/>
  <c r="E3440" i="3"/>
  <c r="D3440" i="3" s="1"/>
  <c r="F3440" i="3" s="1"/>
  <c r="E3441" i="3"/>
  <c r="D3441" i="3" s="1"/>
  <c r="F3441" i="3" s="1"/>
  <c r="E3442" i="3"/>
  <c r="D3442" i="3" s="1"/>
  <c r="F3442" i="3" s="1"/>
  <c r="E3443" i="3"/>
  <c r="D3443" i="3" s="1"/>
  <c r="F3443" i="3" s="1"/>
  <c r="E3444" i="3"/>
  <c r="D3444" i="3" s="1"/>
  <c r="F3444" i="3" s="1"/>
  <c r="E3445" i="3"/>
  <c r="D3445" i="3" s="1"/>
  <c r="F3445" i="3" s="1"/>
  <c r="E3446" i="3"/>
  <c r="D3446" i="3" s="1"/>
  <c r="F3446" i="3" s="1"/>
  <c r="E3447" i="3"/>
  <c r="D3447" i="3" s="1"/>
  <c r="F3447" i="3" s="1"/>
  <c r="E3448" i="3"/>
  <c r="D3448" i="3" s="1"/>
  <c r="F3448" i="3" s="1"/>
  <c r="E3449" i="3"/>
  <c r="D3449" i="3" s="1"/>
  <c r="F3449" i="3" s="1"/>
  <c r="E3450" i="3"/>
  <c r="D3450" i="3" s="1"/>
  <c r="F3450" i="3" s="1"/>
  <c r="E3451" i="3"/>
  <c r="D3451" i="3" s="1"/>
  <c r="F3451" i="3" s="1"/>
  <c r="E3452" i="3"/>
  <c r="D3452" i="3" s="1"/>
  <c r="F3452" i="3" s="1"/>
  <c r="E3453" i="3"/>
  <c r="D3453" i="3" s="1"/>
  <c r="F3453" i="3" s="1"/>
  <c r="E3454" i="3"/>
  <c r="D3454" i="3" s="1"/>
  <c r="F3454" i="3" s="1"/>
  <c r="E3455" i="3"/>
  <c r="D3455" i="3" s="1"/>
  <c r="F3455" i="3" s="1"/>
  <c r="E3456" i="3"/>
  <c r="D3456" i="3" s="1"/>
  <c r="F3456" i="3" s="1"/>
  <c r="E3457" i="3"/>
  <c r="D3457" i="3" s="1"/>
  <c r="F3457" i="3" s="1"/>
  <c r="E3458" i="3"/>
  <c r="D3458" i="3" s="1"/>
  <c r="F3458" i="3" s="1"/>
  <c r="E3459" i="3"/>
  <c r="D3459" i="3" s="1"/>
  <c r="F3459" i="3" s="1"/>
  <c r="E3460" i="3"/>
  <c r="D3460" i="3" s="1"/>
  <c r="F3460" i="3" s="1"/>
  <c r="E3461" i="3"/>
  <c r="D3461" i="3" s="1"/>
  <c r="F3461" i="3" s="1"/>
  <c r="E3462" i="3"/>
  <c r="D3462" i="3" s="1"/>
  <c r="F3462" i="3" s="1"/>
  <c r="E3463" i="3"/>
  <c r="D3463" i="3" s="1"/>
  <c r="F3463" i="3" s="1"/>
  <c r="E3464" i="3"/>
  <c r="D3464" i="3" s="1"/>
  <c r="F3464" i="3" s="1"/>
  <c r="E3465" i="3"/>
  <c r="D3465" i="3" s="1"/>
  <c r="F3465" i="3" s="1"/>
  <c r="E3466" i="3"/>
  <c r="D3466" i="3" s="1"/>
  <c r="F3466" i="3" s="1"/>
  <c r="E3467" i="3"/>
  <c r="D3467" i="3" s="1"/>
  <c r="F3467" i="3" s="1"/>
  <c r="E3468" i="3"/>
  <c r="D3468" i="3" s="1"/>
  <c r="F3468" i="3" s="1"/>
  <c r="E3469" i="3"/>
  <c r="D3469" i="3" s="1"/>
  <c r="F3469" i="3" s="1"/>
  <c r="E3470" i="3"/>
  <c r="D3470" i="3" s="1"/>
  <c r="F3470" i="3" s="1"/>
  <c r="E3471" i="3"/>
  <c r="D3471" i="3" s="1"/>
  <c r="F3471" i="3" s="1"/>
  <c r="E3472" i="3"/>
  <c r="D3472" i="3" s="1"/>
  <c r="F3472" i="3" s="1"/>
  <c r="E3473" i="3"/>
  <c r="D3473" i="3" s="1"/>
  <c r="F3473" i="3" s="1"/>
  <c r="E3474" i="3"/>
  <c r="D3474" i="3" s="1"/>
  <c r="F3474" i="3" s="1"/>
  <c r="E3475" i="3"/>
  <c r="D3475" i="3" s="1"/>
  <c r="F3475" i="3" s="1"/>
  <c r="E3476" i="3"/>
  <c r="D3476" i="3" s="1"/>
  <c r="F3476" i="3" s="1"/>
  <c r="E3477" i="3"/>
  <c r="D3477" i="3" s="1"/>
  <c r="F3477" i="3" s="1"/>
  <c r="E3478" i="3"/>
  <c r="D3478" i="3" s="1"/>
  <c r="F3478" i="3" s="1"/>
  <c r="E3479" i="3"/>
  <c r="D3479" i="3" s="1"/>
  <c r="F3479" i="3" s="1"/>
  <c r="E3480" i="3"/>
  <c r="D3480" i="3" s="1"/>
  <c r="F3480" i="3" s="1"/>
  <c r="E3481" i="3"/>
  <c r="D3481" i="3" s="1"/>
  <c r="F3481" i="3" s="1"/>
  <c r="E3482" i="3"/>
  <c r="D3482" i="3" s="1"/>
  <c r="F3482" i="3" s="1"/>
  <c r="E3483" i="3"/>
  <c r="D3483" i="3" s="1"/>
  <c r="F3483" i="3" s="1"/>
  <c r="E3484" i="3"/>
  <c r="D3484" i="3" s="1"/>
  <c r="F3484" i="3" s="1"/>
  <c r="E3485" i="3"/>
  <c r="D3485" i="3" s="1"/>
  <c r="F3485" i="3" s="1"/>
  <c r="E3486" i="3"/>
  <c r="D3486" i="3" s="1"/>
  <c r="F3486" i="3" s="1"/>
  <c r="E3487" i="3"/>
  <c r="D3487" i="3" s="1"/>
  <c r="F3487" i="3" s="1"/>
  <c r="E3488" i="3"/>
  <c r="D3488" i="3" s="1"/>
  <c r="F3488" i="3" s="1"/>
  <c r="E3489" i="3"/>
  <c r="D3489" i="3" s="1"/>
  <c r="F3489" i="3" s="1"/>
  <c r="E3490" i="3"/>
  <c r="D3490" i="3" s="1"/>
  <c r="F3490" i="3" s="1"/>
  <c r="E3491" i="3"/>
  <c r="D3491" i="3" s="1"/>
  <c r="F3491" i="3" s="1"/>
  <c r="E3492" i="3"/>
  <c r="D3492" i="3" s="1"/>
  <c r="F3492" i="3" s="1"/>
  <c r="E3493" i="3"/>
  <c r="D3493" i="3" s="1"/>
  <c r="F3493" i="3" s="1"/>
  <c r="E3494" i="3"/>
  <c r="D3494" i="3" s="1"/>
  <c r="F3494" i="3" s="1"/>
  <c r="E3495" i="3"/>
  <c r="D3495" i="3" s="1"/>
  <c r="F3495" i="3" s="1"/>
  <c r="E3496" i="3"/>
  <c r="D3496" i="3" s="1"/>
  <c r="F3496" i="3" s="1"/>
  <c r="E3497" i="3"/>
  <c r="D3497" i="3" s="1"/>
  <c r="F3497" i="3" s="1"/>
  <c r="E3498" i="3"/>
  <c r="D3498" i="3" s="1"/>
  <c r="F3498" i="3" s="1"/>
  <c r="E3499" i="3"/>
  <c r="D3499" i="3" s="1"/>
  <c r="F3499" i="3" s="1"/>
  <c r="E3500" i="3"/>
  <c r="D3500" i="3" s="1"/>
  <c r="F3500" i="3" s="1"/>
  <c r="E3501" i="3"/>
  <c r="D3501" i="3" s="1"/>
  <c r="F3501" i="3" s="1"/>
  <c r="E3502" i="3"/>
  <c r="D3502" i="3" s="1"/>
  <c r="F3502" i="3" s="1"/>
  <c r="E3503" i="3"/>
  <c r="D3503" i="3" s="1"/>
  <c r="F3503" i="3" s="1"/>
  <c r="E3504" i="3"/>
  <c r="D3504" i="3" s="1"/>
  <c r="F3504" i="3" s="1"/>
  <c r="E3505" i="3"/>
  <c r="D3505" i="3" s="1"/>
  <c r="F3505" i="3" s="1"/>
  <c r="E3506" i="3"/>
  <c r="D3506" i="3" s="1"/>
  <c r="F3506" i="3" s="1"/>
  <c r="E3507" i="3"/>
  <c r="D3507" i="3" s="1"/>
  <c r="F3507" i="3" s="1"/>
  <c r="E3508" i="3"/>
  <c r="D3508" i="3" s="1"/>
  <c r="F3508" i="3" s="1"/>
  <c r="E3509" i="3"/>
  <c r="D3509" i="3" s="1"/>
  <c r="F3509" i="3" s="1"/>
  <c r="E3510" i="3"/>
  <c r="D3510" i="3" s="1"/>
  <c r="F3510" i="3" s="1"/>
  <c r="E3511" i="3"/>
  <c r="D3511" i="3" s="1"/>
  <c r="F3511" i="3" s="1"/>
  <c r="E3512" i="3"/>
  <c r="D3512" i="3" s="1"/>
  <c r="F3512" i="3" s="1"/>
  <c r="E3513" i="3"/>
  <c r="D3513" i="3" s="1"/>
  <c r="F3513" i="3" s="1"/>
  <c r="E3514" i="3"/>
  <c r="D3514" i="3" s="1"/>
  <c r="F3514" i="3" s="1"/>
  <c r="E3515" i="3"/>
  <c r="D3515" i="3" s="1"/>
  <c r="F3515" i="3" s="1"/>
  <c r="E3516" i="3"/>
  <c r="D3516" i="3" s="1"/>
  <c r="F3516" i="3" s="1"/>
  <c r="E3517" i="3"/>
  <c r="D3517" i="3" s="1"/>
  <c r="F3517" i="3" s="1"/>
  <c r="E3518" i="3"/>
  <c r="D3518" i="3" s="1"/>
  <c r="F3518" i="3" s="1"/>
  <c r="E3519" i="3"/>
  <c r="D3519" i="3" s="1"/>
  <c r="F3519" i="3" s="1"/>
  <c r="E3520" i="3"/>
  <c r="D3520" i="3" s="1"/>
  <c r="F3520" i="3" s="1"/>
  <c r="E3521" i="3"/>
  <c r="D3521" i="3" s="1"/>
  <c r="F3521" i="3" s="1"/>
  <c r="E3522" i="3"/>
  <c r="D3522" i="3" s="1"/>
  <c r="F3522" i="3" s="1"/>
  <c r="E3523" i="3"/>
  <c r="D3523" i="3" s="1"/>
  <c r="F3523" i="3" s="1"/>
  <c r="E3524" i="3"/>
  <c r="D3524" i="3" s="1"/>
  <c r="F3524" i="3" s="1"/>
  <c r="E3525" i="3"/>
  <c r="D3525" i="3" s="1"/>
  <c r="F3525" i="3" s="1"/>
  <c r="E3526" i="3"/>
  <c r="D3526" i="3" s="1"/>
  <c r="F3526" i="3" s="1"/>
  <c r="E3527" i="3"/>
  <c r="D3527" i="3" s="1"/>
  <c r="F3527" i="3" s="1"/>
  <c r="E3528" i="3"/>
  <c r="D3528" i="3" s="1"/>
  <c r="F3528" i="3" s="1"/>
  <c r="E3529" i="3"/>
  <c r="D3529" i="3" s="1"/>
  <c r="F3529" i="3" s="1"/>
  <c r="E3530" i="3"/>
  <c r="D3530" i="3" s="1"/>
  <c r="F3530" i="3" s="1"/>
  <c r="E3531" i="3"/>
  <c r="D3531" i="3" s="1"/>
  <c r="F3531" i="3" s="1"/>
  <c r="E3532" i="3"/>
  <c r="D3532" i="3" s="1"/>
  <c r="F3532" i="3" s="1"/>
  <c r="E3533" i="3"/>
  <c r="D3533" i="3" s="1"/>
  <c r="F3533" i="3" s="1"/>
  <c r="E3534" i="3"/>
  <c r="D3534" i="3" s="1"/>
  <c r="F3534" i="3" s="1"/>
  <c r="E3535" i="3"/>
  <c r="D3535" i="3" s="1"/>
  <c r="F3535" i="3" s="1"/>
  <c r="E3536" i="3"/>
  <c r="D3536" i="3" s="1"/>
  <c r="F3536" i="3" s="1"/>
  <c r="E3537" i="3"/>
  <c r="D3537" i="3" s="1"/>
  <c r="F3537" i="3" s="1"/>
  <c r="E3538" i="3"/>
  <c r="D3538" i="3" s="1"/>
  <c r="F3538" i="3" s="1"/>
  <c r="E3539" i="3"/>
  <c r="D3539" i="3" s="1"/>
  <c r="F3539" i="3" s="1"/>
  <c r="E3540" i="3"/>
  <c r="D3540" i="3" s="1"/>
  <c r="F3540" i="3" s="1"/>
  <c r="E3541" i="3"/>
  <c r="D3541" i="3" s="1"/>
  <c r="F3541" i="3" s="1"/>
  <c r="E3542" i="3"/>
  <c r="D3542" i="3" s="1"/>
  <c r="F3542" i="3" s="1"/>
  <c r="E3543" i="3"/>
  <c r="D3543" i="3" s="1"/>
  <c r="F3543" i="3" s="1"/>
  <c r="E3544" i="3"/>
  <c r="D3544" i="3" s="1"/>
  <c r="F3544" i="3" s="1"/>
  <c r="E3545" i="3"/>
  <c r="D3545" i="3" s="1"/>
  <c r="F3545" i="3" s="1"/>
  <c r="E3546" i="3"/>
  <c r="D3546" i="3" s="1"/>
  <c r="F3546" i="3" s="1"/>
  <c r="E3547" i="3"/>
  <c r="D3547" i="3" s="1"/>
  <c r="F3547" i="3" s="1"/>
  <c r="E3548" i="3"/>
  <c r="D3548" i="3" s="1"/>
  <c r="F3548" i="3" s="1"/>
  <c r="E3549" i="3"/>
  <c r="D3549" i="3" s="1"/>
  <c r="F3549" i="3" s="1"/>
  <c r="E3550" i="3"/>
  <c r="D3550" i="3" s="1"/>
  <c r="F3550" i="3" s="1"/>
  <c r="E3551" i="3"/>
  <c r="D3551" i="3" s="1"/>
  <c r="F3551" i="3" s="1"/>
  <c r="E3552" i="3"/>
  <c r="D3552" i="3" s="1"/>
  <c r="F3552" i="3" s="1"/>
  <c r="E3553" i="3"/>
  <c r="D3553" i="3" s="1"/>
  <c r="F3553" i="3" s="1"/>
  <c r="E3554" i="3"/>
  <c r="D3554" i="3" s="1"/>
  <c r="F3554" i="3" s="1"/>
  <c r="E3555" i="3"/>
  <c r="D3555" i="3" s="1"/>
  <c r="F3555" i="3" s="1"/>
  <c r="E3556" i="3"/>
  <c r="D3556" i="3" s="1"/>
  <c r="F3556" i="3" s="1"/>
  <c r="E3557" i="3"/>
  <c r="D3557" i="3" s="1"/>
  <c r="F3557" i="3" s="1"/>
  <c r="E3558" i="3"/>
  <c r="D3558" i="3" s="1"/>
  <c r="F3558" i="3" s="1"/>
  <c r="E3559" i="3"/>
  <c r="D3559" i="3" s="1"/>
  <c r="F3559" i="3" s="1"/>
  <c r="E3560" i="3"/>
  <c r="D3560" i="3" s="1"/>
  <c r="F3560" i="3" s="1"/>
  <c r="E3561" i="3"/>
  <c r="D3561" i="3" s="1"/>
  <c r="F3561" i="3" s="1"/>
  <c r="E3562" i="3"/>
  <c r="D3562" i="3" s="1"/>
  <c r="F3562" i="3" s="1"/>
  <c r="E3563" i="3"/>
  <c r="D3563" i="3" s="1"/>
  <c r="F3563" i="3" s="1"/>
  <c r="E3564" i="3"/>
  <c r="D3564" i="3" s="1"/>
  <c r="F3564" i="3" s="1"/>
  <c r="E3565" i="3"/>
  <c r="D3565" i="3" s="1"/>
  <c r="F3565" i="3" s="1"/>
  <c r="E3566" i="3"/>
  <c r="D3566" i="3" s="1"/>
  <c r="F3566" i="3" s="1"/>
  <c r="E3567" i="3"/>
  <c r="D3567" i="3" s="1"/>
  <c r="F3567" i="3" s="1"/>
  <c r="E3568" i="3"/>
  <c r="D3568" i="3" s="1"/>
  <c r="F3568" i="3" s="1"/>
  <c r="E3569" i="3"/>
  <c r="D3569" i="3" s="1"/>
  <c r="F3569" i="3" s="1"/>
  <c r="E3570" i="3"/>
  <c r="D3570" i="3" s="1"/>
  <c r="F3570" i="3" s="1"/>
  <c r="E3571" i="3"/>
  <c r="D3571" i="3" s="1"/>
  <c r="F3571" i="3" s="1"/>
  <c r="E3572" i="3"/>
  <c r="D3572" i="3" s="1"/>
  <c r="F3572" i="3" s="1"/>
  <c r="E3573" i="3"/>
  <c r="D3573" i="3" s="1"/>
  <c r="F3573" i="3" s="1"/>
  <c r="E3574" i="3"/>
  <c r="D3574" i="3" s="1"/>
  <c r="F3574" i="3" s="1"/>
  <c r="E3575" i="3"/>
  <c r="D3575" i="3" s="1"/>
  <c r="F3575" i="3" s="1"/>
  <c r="E3576" i="3"/>
  <c r="D3576" i="3" s="1"/>
  <c r="F3576" i="3" s="1"/>
  <c r="E3577" i="3"/>
  <c r="D3577" i="3" s="1"/>
  <c r="F3577" i="3" s="1"/>
  <c r="E3578" i="3"/>
  <c r="D3578" i="3" s="1"/>
  <c r="F3578" i="3" s="1"/>
  <c r="E3579" i="3"/>
  <c r="D3579" i="3" s="1"/>
  <c r="F3579" i="3" s="1"/>
  <c r="E3580" i="3"/>
  <c r="D3580" i="3" s="1"/>
  <c r="F3580" i="3" s="1"/>
  <c r="E3581" i="3"/>
  <c r="D3581" i="3" s="1"/>
  <c r="F3581" i="3" s="1"/>
  <c r="E3582" i="3"/>
  <c r="D3582" i="3" s="1"/>
  <c r="F3582" i="3" s="1"/>
  <c r="E3583" i="3"/>
  <c r="D3583" i="3" s="1"/>
  <c r="F3583" i="3" s="1"/>
  <c r="E3584" i="3"/>
  <c r="D3584" i="3" s="1"/>
  <c r="F3584" i="3" s="1"/>
  <c r="E3585" i="3"/>
  <c r="D3585" i="3" s="1"/>
  <c r="F3585" i="3" s="1"/>
  <c r="E3586" i="3"/>
  <c r="D3586" i="3" s="1"/>
  <c r="F3586" i="3" s="1"/>
  <c r="E3587" i="3"/>
  <c r="D3587" i="3" s="1"/>
  <c r="F3587" i="3" s="1"/>
  <c r="E3588" i="3"/>
  <c r="D3588" i="3" s="1"/>
  <c r="F3588" i="3" s="1"/>
  <c r="E3589" i="3"/>
  <c r="D3589" i="3" s="1"/>
  <c r="F3589" i="3" s="1"/>
  <c r="E3590" i="3"/>
  <c r="D3590" i="3" s="1"/>
  <c r="F3590" i="3" s="1"/>
  <c r="E3591" i="3"/>
  <c r="D3591" i="3" s="1"/>
  <c r="F3591" i="3" s="1"/>
  <c r="E3592" i="3"/>
  <c r="D3592" i="3" s="1"/>
  <c r="F3592" i="3" s="1"/>
  <c r="E3593" i="3"/>
  <c r="D3593" i="3" s="1"/>
  <c r="F3593" i="3" s="1"/>
  <c r="E3594" i="3"/>
  <c r="D3594" i="3" s="1"/>
  <c r="F3594" i="3" s="1"/>
  <c r="E3595" i="3"/>
  <c r="D3595" i="3" s="1"/>
  <c r="F3595" i="3" s="1"/>
  <c r="E3596" i="3"/>
  <c r="D3596" i="3" s="1"/>
  <c r="F3596" i="3" s="1"/>
  <c r="E3597" i="3"/>
  <c r="D3597" i="3" s="1"/>
  <c r="F3597" i="3" s="1"/>
  <c r="E3598" i="3"/>
  <c r="D3598" i="3" s="1"/>
  <c r="F3598" i="3" s="1"/>
  <c r="E3599" i="3"/>
  <c r="D3599" i="3" s="1"/>
  <c r="F3599" i="3" s="1"/>
  <c r="E3600" i="3"/>
  <c r="D3600" i="3" s="1"/>
  <c r="F3600" i="3" s="1"/>
  <c r="E3601" i="3"/>
  <c r="D3601" i="3" s="1"/>
  <c r="F3601" i="3" s="1"/>
  <c r="E3602" i="3"/>
  <c r="D3602" i="3" s="1"/>
  <c r="F3602" i="3" s="1"/>
  <c r="E3603" i="3"/>
  <c r="D3603" i="3" s="1"/>
  <c r="F3603" i="3" s="1"/>
  <c r="E3604" i="3"/>
  <c r="D3604" i="3" s="1"/>
  <c r="F3604" i="3" s="1"/>
  <c r="E3605" i="3"/>
  <c r="D3605" i="3" s="1"/>
  <c r="F3605" i="3" s="1"/>
  <c r="E3606" i="3"/>
  <c r="D3606" i="3" s="1"/>
  <c r="F3606" i="3" s="1"/>
  <c r="E3607" i="3"/>
  <c r="D3607" i="3" s="1"/>
  <c r="F3607" i="3" s="1"/>
  <c r="E3608" i="3"/>
  <c r="D3608" i="3" s="1"/>
  <c r="F3608" i="3" s="1"/>
  <c r="E3609" i="3"/>
  <c r="D3609" i="3" s="1"/>
  <c r="F3609" i="3" s="1"/>
  <c r="E3610" i="3"/>
  <c r="D3610" i="3" s="1"/>
  <c r="F3610" i="3" s="1"/>
  <c r="E3611" i="3"/>
  <c r="D3611" i="3" s="1"/>
  <c r="F3611" i="3" s="1"/>
  <c r="E3612" i="3"/>
  <c r="D3612" i="3" s="1"/>
  <c r="F3612" i="3" s="1"/>
  <c r="E3613" i="3"/>
  <c r="D3613" i="3" s="1"/>
  <c r="F3613" i="3" s="1"/>
  <c r="E3614" i="3"/>
  <c r="D3614" i="3" s="1"/>
  <c r="F3614" i="3" s="1"/>
  <c r="E3615" i="3"/>
  <c r="D3615" i="3" s="1"/>
  <c r="F3615" i="3" s="1"/>
  <c r="E3616" i="3"/>
  <c r="D3616" i="3" s="1"/>
  <c r="F3616" i="3" s="1"/>
  <c r="E3617" i="3"/>
  <c r="D3617" i="3" s="1"/>
  <c r="F3617" i="3" s="1"/>
  <c r="E3618" i="3"/>
  <c r="D3618" i="3" s="1"/>
  <c r="F3618" i="3" s="1"/>
  <c r="E3619" i="3"/>
  <c r="D3619" i="3" s="1"/>
  <c r="F3619" i="3" s="1"/>
  <c r="E3620" i="3"/>
  <c r="D3620" i="3" s="1"/>
  <c r="F3620" i="3" s="1"/>
  <c r="E3621" i="3"/>
  <c r="D3621" i="3" s="1"/>
  <c r="F3621" i="3" s="1"/>
  <c r="E3622" i="3"/>
  <c r="D3622" i="3" s="1"/>
  <c r="F3622" i="3" s="1"/>
  <c r="E3623" i="3"/>
  <c r="D3623" i="3" s="1"/>
  <c r="F3623" i="3" s="1"/>
  <c r="E3624" i="3"/>
  <c r="D3624" i="3" s="1"/>
  <c r="F3624" i="3" s="1"/>
  <c r="E3625" i="3"/>
  <c r="D3625" i="3" s="1"/>
  <c r="F3625" i="3" s="1"/>
  <c r="E3626" i="3"/>
  <c r="D3626" i="3" s="1"/>
  <c r="F3626" i="3" s="1"/>
  <c r="E3627" i="3"/>
  <c r="D3627" i="3" s="1"/>
  <c r="F3627" i="3" s="1"/>
  <c r="E3628" i="3"/>
  <c r="D3628" i="3" s="1"/>
  <c r="F3628" i="3" s="1"/>
  <c r="E3629" i="3"/>
  <c r="D3629" i="3" s="1"/>
  <c r="F3629" i="3" s="1"/>
  <c r="E3630" i="3"/>
  <c r="D3630" i="3" s="1"/>
  <c r="F3630" i="3" s="1"/>
  <c r="E3631" i="3"/>
  <c r="D3631" i="3" s="1"/>
  <c r="F3631" i="3" s="1"/>
  <c r="E3632" i="3"/>
  <c r="D3632" i="3" s="1"/>
  <c r="F3632" i="3" s="1"/>
  <c r="E3633" i="3"/>
  <c r="D3633" i="3" s="1"/>
  <c r="F3633" i="3" s="1"/>
  <c r="E3634" i="3"/>
  <c r="D3634" i="3" s="1"/>
  <c r="F3634" i="3" s="1"/>
  <c r="E3635" i="3"/>
  <c r="D3635" i="3" s="1"/>
  <c r="F3635" i="3" s="1"/>
  <c r="E3636" i="3"/>
  <c r="D3636" i="3" s="1"/>
  <c r="F3636" i="3" s="1"/>
  <c r="E3637" i="3"/>
  <c r="D3637" i="3" s="1"/>
  <c r="F3637" i="3" s="1"/>
  <c r="E3638" i="3"/>
  <c r="D3638" i="3" s="1"/>
  <c r="F3638" i="3" s="1"/>
  <c r="E3639" i="3"/>
  <c r="D3639" i="3" s="1"/>
  <c r="F3639" i="3" s="1"/>
  <c r="E3640" i="3"/>
  <c r="D3640" i="3" s="1"/>
  <c r="F3640" i="3" s="1"/>
  <c r="E3641" i="3"/>
  <c r="D3641" i="3" s="1"/>
  <c r="F3641" i="3" s="1"/>
  <c r="E3642" i="3"/>
  <c r="D3642" i="3" s="1"/>
  <c r="F3642" i="3" s="1"/>
  <c r="E3643" i="3"/>
  <c r="D3643" i="3" s="1"/>
  <c r="F3643" i="3" s="1"/>
  <c r="E3644" i="3"/>
  <c r="D3644" i="3" s="1"/>
  <c r="F3644" i="3" s="1"/>
  <c r="E3645" i="3"/>
  <c r="D3645" i="3" s="1"/>
  <c r="F3645" i="3" s="1"/>
  <c r="E3646" i="3"/>
  <c r="D3646" i="3" s="1"/>
  <c r="F3646" i="3" s="1"/>
  <c r="E3647" i="3"/>
  <c r="D3647" i="3" s="1"/>
  <c r="F3647" i="3" s="1"/>
  <c r="E3648" i="3"/>
  <c r="D3648" i="3" s="1"/>
  <c r="F3648" i="3" s="1"/>
  <c r="E3649" i="3"/>
  <c r="D3649" i="3" s="1"/>
  <c r="F3649" i="3" s="1"/>
  <c r="E3650" i="3"/>
  <c r="D3650" i="3" s="1"/>
  <c r="F3650" i="3" s="1"/>
  <c r="E3651" i="3"/>
  <c r="D3651" i="3" s="1"/>
  <c r="F3651" i="3" s="1"/>
  <c r="E3652" i="3"/>
  <c r="D3652" i="3" s="1"/>
  <c r="F3652" i="3" s="1"/>
  <c r="E3653" i="3"/>
  <c r="D3653" i="3" s="1"/>
  <c r="F3653" i="3" s="1"/>
  <c r="E3654" i="3"/>
  <c r="D3654" i="3" s="1"/>
  <c r="F3654" i="3" s="1"/>
  <c r="E3655" i="3"/>
  <c r="D3655" i="3" s="1"/>
  <c r="F3655" i="3" s="1"/>
  <c r="E3656" i="3"/>
  <c r="D3656" i="3" s="1"/>
  <c r="F3656" i="3" s="1"/>
  <c r="E3657" i="3"/>
  <c r="D3657" i="3" s="1"/>
  <c r="F3657" i="3" s="1"/>
  <c r="E3658" i="3"/>
  <c r="D3658" i="3" s="1"/>
  <c r="F3658" i="3" s="1"/>
  <c r="E3659" i="3"/>
  <c r="D3659" i="3" s="1"/>
  <c r="F3659" i="3" s="1"/>
  <c r="E3660" i="3"/>
  <c r="D3660" i="3" s="1"/>
  <c r="F3660" i="3" s="1"/>
  <c r="E3661" i="3"/>
  <c r="D3661" i="3" s="1"/>
  <c r="F3661" i="3" s="1"/>
  <c r="E3662" i="3"/>
  <c r="D3662" i="3" s="1"/>
  <c r="F3662" i="3" s="1"/>
  <c r="E3663" i="3"/>
  <c r="D3663" i="3" s="1"/>
  <c r="F3663" i="3" s="1"/>
  <c r="E3664" i="3"/>
  <c r="D3664" i="3" s="1"/>
  <c r="F3664" i="3" s="1"/>
  <c r="E3665" i="3"/>
  <c r="D3665" i="3" s="1"/>
  <c r="F3665" i="3" s="1"/>
  <c r="E3666" i="3"/>
  <c r="D3666" i="3" s="1"/>
  <c r="F3666" i="3" s="1"/>
  <c r="E3667" i="3"/>
  <c r="D3667" i="3" s="1"/>
  <c r="F3667" i="3" s="1"/>
  <c r="E3668" i="3"/>
  <c r="D3668" i="3" s="1"/>
  <c r="F3668" i="3" s="1"/>
  <c r="E3669" i="3"/>
  <c r="D3669" i="3" s="1"/>
  <c r="F3669" i="3" s="1"/>
  <c r="E3670" i="3"/>
  <c r="D3670" i="3" s="1"/>
  <c r="F3670" i="3" s="1"/>
  <c r="E3671" i="3"/>
  <c r="D3671" i="3" s="1"/>
  <c r="F3671" i="3" s="1"/>
  <c r="E3672" i="3"/>
  <c r="D3672" i="3" s="1"/>
  <c r="F3672" i="3" s="1"/>
  <c r="E3673" i="3"/>
  <c r="D3673" i="3" s="1"/>
  <c r="F3673" i="3" s="1"/>
  <c r="E3674" i="3"/>
  <c r="D3674" i="3" s="1"/>
  <c r="F3674" i="3" s="1"/>
  <c r="E3675" i="3"/>
  <c r="D3675" i="3" s="1"/>
  <c r="F3675" i="3" s="1"/>
  <c r="E3676" i="3"/>
  <c r="D3676" i="3" s="1"/>
  <c r="F3676" i="3" s="1"/>
  <c r="E3677" i="3"/>
  <c r="D3677" i="3" s="1"/>
  <c r="F3677" i="3" s="1"/>
  <c r="E3678" i="3"/>
  <c r="D3678" i="3" s="1"/>
  <c r="F3678" i="3" s="1"/>
  <c r="E3679" i="3"/>
  <c r="D3679" i="3" s="1"/>
  <c r="F3679" i="3" s="1"/>
  <c r="E3680" i="3"/>
  <c r="D3680" i="3" s="1"/>
  <c r="F3680" i="3" s="1"/>
  <c r="E3681" i="3"/>
  <c r="D3681" i="3" s="1"/>
  <c r="F3681" i="3" s="1"/>
  <c r="E3682" i="3"/>
  <c r="D3682" i="3" s="1"/>
  <c r="F3682" i="3" s="1"/>
  <c r="E3683" i="3"/>
  <c r="D3683" i="3" s="1"/>
  <c r="F3683" i="3" s="1"/>
  <c r="E3684" i="3"/>
  <c r="D3684" i="3" s="1"/>
  <c r="F3684" i="3" s="1"/>
  <c r="E3685" i="3"/>
  <c r="D3685" i="3" s="1"/>
  <c r="F3685" i="3" s="1"/>
  <c r="E3686" i="3"/>
  <c r="D3686" i="3" s="1"/>
  <c r="F3686" i="3" s="1"/>
  <c r="E3687" i="3"/>
  <c r="D3687" i="3" s="1"/>
  <c r="F3687" i="3" s="1"/>
  <c r="E3688" i="3"/>
  <c r="D3688" i="3" s="1"/>
  <c r="F3688" i="3" s="1"/>
  <c r="E3689" i="3"/>
  <c r="D3689" i="3" s="1"/>
  <c r="F3689" i="3" s="1"/>
  <c r="E3690" i="3"/>
  <c r="D3690" i="3" s="1"/>
  <c r="F3690" i="3" s="1"/>
  <c r="E3691" i="3"/>
  <c r="D3691" i="3" s="1"/>
  <c r="F3691" i="3" s="1"/>
  <c r="E3692" i="3"/>
  <c r="D3692" i="3" s="1"/>
  <c r="F3692" i="3" s="1"/>
  <c r="E3693" i="3"/>
  <c r="D3693" i="3" s="1"/>
  <c r="F3693" i="3" s="1"/>
  <c r="E3694" i="3"/>
  <c r="D3694" i="3" s="1"/>
  <c r="F3694" i="3" s="1"/>
  <c r="E3695" i="3"/>
  <c r="D3695" i="3" s="1"/>
  <c r="F3695" i="3" s="1"/>
  <c r="E3696" i="3"/>
  <c r="D3696" i="3" s="1"/>
  <c r="F3696" i="3" s="1"/>
  <c r="E3697" i="3"/>
  <c r="D3697" i="3" s="1"/>
  <c r="F3697" i="3" s="1"/>
  <c r="E3698" i="3"/>
  <c r="D3698" i="3" s="1"/>
  <c r="F3698" i="3" s="1"/>
  <c r="E3699" i="3"/>
  <c r="D3699" i="3" s="1"/>
  <c r="F3699" i="3" s="1"/>
  <c r="E3700" i="3"/>
  <c r="D3700" i="3" s="1"/>
  <c r="F3700" i="3" s="1"/>
  <c r="E3701" i="3"/>
  <c r="D3701" i="3" s="1"/>
  <c r="F3701" i="3" s="1"/>
  <c r="E3702" i="3"/>
  <c r="D3702" i="3" s="1"/>
  <c r="F3702" i="3" s="1"/>
  <c r="E3703" i="3"/>
  <c r="D3703" i="3" s="1"/>
  <c r="F3703" i="3" s="1"/>
  <c r="E3704" i="3"/>
  <c r="D3704" i="3" s="1"/>
  <c r="F3704" i="3" s="1"/>
  <c r="E3705" i="3"/>
  <c r="D3705" i="3" s="1"/>
  <c r="F3705" i="3" s="1"/>
  <c r="E3706" i="3"/>
  <c r="D3706" i="3" s="1"/>
  <c r="F3706" i="3" s="1"/>
  <c r="E3707" i="3"/>
  <c r="D3707" i="3" s="1"/>
  <c r="F3707" i="3" s="1"/>
  <c r="E3708" i="3"/>
  <c r="D3708" i="3" s="1"/>
  <c r="F3708" i="3" s="1"/>
  <c r="E3709" i="3"/>
  <c r="D3709" i="3" s="1"/>
  <c r="F3709" i="3" s="1"/>
  <c r="E3710" i="3"/>
  <c r="D3710" i="3" s="1"/>
  <c r="F3710" i="3" s="1"/>
  <c r="E3711" i="3"/>
  <c r="D3711" i="3" s="1"/>
  <c r="F3711" i="3" s="1"/>
  <c r="E3712" i="3"/>
  <c r="D3712" i="3" s="1"/>
  <c r="F3712" i="3" s="1"/>
  <c r="E3713" i="3"/>
  <c r="D3713" i="3" s="1"/>
  <c r="F3713" i="3" s="1"/>
  <c r="E3714" i="3"/>
  <c r="D3714" i="3" s="1"/>
  <c r="F3714" i="3" s="1"/>
  <c r="E3715" i="3"/>
  <c r="D3715" i="3" s="1"/>
  <c r="F3715" i="3" s="1"/>
  <c r="E3716" i="3"/>
  <c r="D3716" i="3" s="1"/>
  <c r="F3716" i="3" s="1"/>
  <c r="E3717" i="3"/>
  <c r="D3717" i="3" s="1"/>
  <c r="F3717" i="3" s="1"/>
  <c r="E3718" i="3"/>
  <c r="D3718" i="3" s="1"/>
  <c r="F3718" i="3" s="1"/>
  <c r="E3719" i="3"/>
  <c r="D3719" i="3" s="1"/>
  <c r="F3719" i="3" s="1"/>
  <c r="E3720" i="3"/>
  <c r="D3720" i="3" s="1"/>
  <c r="F3720" i="3" s="1"/>
  <c r="E3721" i="3"/>
  <c r="D3721" i="3" s="1"/>
  <c r="F3721" i="3" s="1"/>
  <c r="E3722" i="3"/>
  <c r="D3722" i="3" s="1"/>
  <c r="F3722" i="3" s="1"/>
  <c r="E3723" i="3"/>
  <c r="D3723" i="3" s="1"/>
  <c r="F3723" i="3" s="1"/>
  <c r="E3724" i="3"/>
  <c r="D3724" i="3" s="1"/>
  <c r="F3724" i="3" s="1"/>
  <c r="E3725" i="3"/>
  <c r="D3725" i="3" s="1"/>
  <c r="F3725" i="3" s="1"/>
  <c r="E3726" i="3"/>
  <c r="D3726" i="3" s="1"/>
  <c r="F3726" i="3" s="1"/>
  <c r="E3727" i="3"/>
  <c r="D3727" i="3" s="1"/>
  <c r="F3727" i="3" s="1"/>
  <c r="E3728" i="3"/>
  <c r="D3728" i="3" s="1"/>
  <c r="F3728" i="3" s="1"/>
  <c r="E3729" i="3"/>
  <c r="D3729" i="3" s="1"/>
  <c r="F3729" i="3" s="1"/>
  <c r="E3730" i="3"/>
  <c r="D3730" i="3" s="1"/>
  <c r="F3730" i="3" s="1"/>
  <c r="E3731" i="3"/>
  <c r="D3731" i="3" s="1"/>
  <c r="F3731" i="3" s="1"/>
  <c r="E3732" i="3"/>
  <c r="D3732" i="3" s="1"/>
  <c r="F3732" i="3" s="1"/>
  <c r="E3733" i="3"/>
  <c r="D3733" i="3" s="1"/>
  <c r="F3733" i="3" s="1"/>
  <c r="E3734" i="3"/>
  <c r="D3734" i="3" s="1"/>
  <c r="F3734" i="3" s="1"/>
  <c r="E3735" i="3"/>
  <c r="D3735" i="3" s="1"/>
  <c r="F3735" i="3" s="1"/>
  <c r="E3736" i="3"/>
  <c r="D3736" i="3" s="1"/>
  <c r="F3736" i="3" s="1"/>
  <c r="E3737" i="3"/>
  <c r="D3737" i="3" s="1"/>
  <c r="F3737" i="3" s="1"/>
  <c r="E3738" i="3"/>
  <c r="D3738" i="3" s="1"/>
  <c r="F3738" i="3" s="1"/>
  <c r="E3739" i="3"/>
  <c r="D3739" i="3" s="1"/>
  <c r="F3739" i="3" s="1"/>
  <c r="E3740" i="3"/>
  <c r="D3740" i="3" s="1"/>
  <c r="F3740" i="3" s="1"/>
  <c r="E3741" i="3"/>
  <c r="D3741" i="3" s="1"/>
  <c r="F3741" i="3" s="1"/>
  <c r="E3742" i="3"/>
  <c r="D3742" i="3" s="1"/>
  <c r="F3742" i="3" s="1"/>
  <c r="E3743" i="3"/>
  <c r="D3743" i="3" s="1"/>
  <c r="F3743" i="3" s="1"/>
  <c r="E3744" i="3"/>
  <c r="D3744" i="3" s="1"/>
  <c r="F3744" i="3" s="1"/>
  <c r="E3745" i="3"/>
  <c r="D3745" i="3" s="1"/>
  <c r="F3745" i="3" s="1"/>
  <c r="E3746" i="3"/>
  <c r="D3746" i="3" s="1"/>
  <c r="F3746" i="3" s="1"/>
  <c r="E3747" i="3"/>
  <c r="D3747" i="3" s="1"/>
  <c r="F3747" i="3" s="1"/>
  <c r="E3748" i="3"/>
  <c r="D3748" i="3" s="1"/>
  <c r="F3748" i="3" s="1"/>
  <c r="E3749" i="3"/>
  <c r="D3749" i="3" s="1"/>
  <c r="F3749" i="3" s="1"/>
  <c r="E3750" i="3"/>
  <c r="D3750" i="3" s="1"/>
  <c r="F3750" i="3" s="1"/>
  <c r="E3751" i="3"/>
  <c r="D3751" i="3" s="1"/>
  <c r="F3751" i="3" s="1"/>
  <c r="E3752" i="3"/>
  <c r="D3752" i="3" s="1"/>
  <c r="F3752" i="3" s="1"/>
  <c r="E3753" i="3"/>
  <c r="D3753" i="3" s="1"/>
  <c r="F3753" i="3" s="1"/>
  <c r="E3754" i="3"/>
  <c r="D3754" i="3" s="1"/>
  <c r="F3754" i="3" s="1"/>
  <c r="E3755" i="3"/>
  <c r="D3755" i="3" s="1"/>
  <c r="F3755" i="3" s="1"/>
  <c r="E3756" i="3"/>
  <c r="D3756" i="3" s="1"/>
  <c r="F3756" i="3" s="1"/>
  <c r="E3757" i="3"/>
  <c r="D3757" i="3" s="1"/>
  <c r="F3757" i="3" s="1"/>
  <c r="E3758" i="3"/>
  <c r="D3758" i="3" s="1"/>
  <c r="F3758" i="3" s="1"/>
  <c r="E3759" i="3"/>
  <c r="D3759" i="3" s="1"/>
  <c r="F3759" i="3" s="1"/>
  <c r="E3760" i="3"/>
  <c r="D3760" i="3" s="1"/>
  <c r="F3760" i="3" s="1"/>
  <c r="E3761" i="3"/>
  <c r="D3761" i="3" s="1"/>
  <c r="F3761" i="3" s="1"/>
  <c r="E3762" i="3"/>
  <c r="D3762" i="3" s="1"/>
  <c r="F3762" i="3" s="1"/>
  <c r="E3763" i="3"/>
  <c r="D3763" i="3" s="1"/>
  <c r="F3763" i="3" s="1"/>
  <c r="E3764" i="3"/>
  <c r="D3764" i="3" s="1"/>
  <c r="F3764" i="3" s="1"/>
  <c r="E3765" i="3"/>
  <c r="D3765" i="3" s="1"/>
  <c r="F3765" i="3" s="1"/>
  <c r="E3766" i="3"/>
  <c r="D3766" i="3" s="1"/>
  <c r="F3766" i="3" s="1"/>
  <c r="E3767" i="3"/>
  <c r="D3767" i="3" s="1"/>
  <c r="F3767" i="3" s="1"/>
  <c r="E3768" i="3"/>
  <c r="D3768" i="3" s="1"/>
  <c r="F3768" i="3" s="1"/>
  <c r="E3769" i="3"/>
  <c r="D3769" i="3" s="1"/>
  <c r="F3769" i="3" s="1"/>
  <c r="E3770" i="3"/>
  <c r="D3770" i="3" s="1"/>
  <c r="F3770" i="3" s="1"/>
  <c r="E3771" i="3"/>
  <c r="D3771" i="3" s="1"/>
  <c r="F3771" i="3" s="1"/>
  <c r="E3772" i="3"/>
  <c r="D3772" i="3" s="1"/>
  <c r="F3772" i="3" s="1"/>
  <c r="E3773" i="3"/>
  <c r="D3773" i="3" s="1"/>
  <c r="F3773" i="3" s="1"/>
  <c r="E3774" i="3"/>
  <c r="D3774" i="3" s="1"/>
  <c r="F3774" i="3" s="1"/>
  <c r="E3775" i="3"/>
  <c r="D3775" i="3" s="1"/>
  <c r="F3775" i="3" s="1"/>
  <c r="E3776" i="3"/>
  <c r="D3776" i="3" s="1"/>
  <c r="F3776" i="3" s="1"/>
  <c r="E3777" i="3"/>
  <c r="D3777" i="3" s="1"/>
  <c r="F3777" i="3" s="1"/>
  <c r="E3778" i="3"/>
  <c r="D3778" i="3" s="1"/>
  <c r="F3778" i="3" s="1"/>
  <c r="E3779" i="3"/>
  <c r="D3779" i="3" s="1"/>
  <c r="F3779" i="3" s="1"/>
  <c r="E3780" i="3"/>
  <c r="D3780" i="3" s="1"/>
  <c r="F3780" i="3" s="1"/>
  <c r="E3781" i="3"/>
  <c r="D3781" i="3" s="1"/>
  <c r="F3781" i="3" s="1"/>
  <c r="E3782" i="3"/>
  <c r="D3782" i="3" s="1"/>
  <c r="F3782" i="3" s="1"/>
  <c r="E3783" i="3"/>
  <c r="D3783" i="3" s="1"/>
  <c r="F3783" i="3" s="1"/>
  <c r="E3784" i="3"/>
  <c r="D3784" i="3" s="1"/>
  <c r="F3784" i="3" s="1"/>
  <c r="E3785" i="3"/>
  <c r="D3785" i="3" s="1"/>
  <c r="F3785" i="3" s="1"/>
  <c r="E3786" i="3"/>
  <c r="D3786" i="3" s="1"/>
  <c r="F3786" i="3" s="1"/>
  <c r="E3787" i="3"/>
  <c r="D3787" i="3" s="1"/>
  <c r="F3787" i="3" s="1"/>
  <c r="E3788" i="3"/>
  <c r="D3788" i="3" s="1"/>
  <c r="F3788" i="3" s="1"/>
  <c r="E3789" i="3"/>
  <c r="D3789" i="3" s="1"/>
  <c r="F3789" i="3" s="1"/>
  <c r="E3790" i="3"/>
  <c r="D3790" i="3" s="1"/>
  <c r="F3790" i="3" s="1"/>
  <c r="E3791" i="3"/>
  <c r="D3791" i="3" s="1"/>
  <c r="F3791" i="3" s="1"/>
  <c r="E3792" i="3"/>
  <c r="D3792" i="3" s="1"/>
  <c r="F3792" i="3" s="1"/>
  <c r="E3793" i="3"/>
  <c r="D3793" i="3" s="1"/>
  <c r="F3793" i="3" s="1"/>
  <c r="E3794" i="3"/>
  <c r="D3794" i="3" s="1"/>
  <c r="F3794" i="3" s="1"/>
  <c r="E3795" i="3"/>
  <c r="D3795" i="3" s="1"/>
  <c r="F3795" i="3" s="1"/>
  <c r="E3796" i="3"/>
  <c r="D3796" i="3" s="1"/>
  <c r="F3796" i="3" s="1"/>
  <c r="E3797" i="3"/>
  <c r="D3797" i="3" s="1"/>
  <c r="F3797" i="3" s="1"/>
  <c r="E3798" i="3"/>
  <c r="D3798" i="3" s="1"/>
  <c r="F3798" i="3" s="1"/>
  <c r="E3799" i="3"/>
  <c r="D3799" i="3" s="1"/>
  <c r="F3799" i="3" s="1"/>
  <c r="E3800" i="3"/>
  <c r="D3800" i="3" s="1"/>
  <c r="F3800" i="3" s="1"/>
  <c r="E3801" i="3"/>
  <c r="D3801" i="3" s="1"/>
  <c r="F3801" i="3" s="1"/>
  <c r="E3802" i="3"/>
  <c r="D3802" i="3" s="1"/>
  <c r="F3802" i="3" s="1"/>
  <c r="E3803" i="3"/>
  <c r="D3803" i="3" s="1"/>
  <c r="F3803" i="3" s="1"/>
  <c r="E3804" i="3"/>
  <c r="D3804" i="3" s="1"/>
  <c r="F3804" i="3" s="1"/>
  <c r="E3805" i="3"/>
  <c r="D3805" i="3" s="1"/>
  <c r="F3805" i="3" s="1"/>
  <c r="E3806" i="3"/>
  <c r="D3806" i="3" s="1"/>
  <c r="F3806" i="3" s="1"/>
  <c r="E3807" i="3"/>
  <c r="D3807" i="3" s="1"/>
  <c r="F3807" i="3" s="1"/>
  <c r="E3808" i="3"/>
  <c r="D3808" i="3" s="1"/>
  <c r="F3808" i="3" s="1"/>
  <c r="E3809" i="3"/>
  <c r="D3809" i="3" s="1"/>
  <c r="F3809" i="3" s="1"/>
  <c r="E3810" i="3"/>
  <c r="D3810" i="3" s="1"/>
  <c r="F3810" i="3" s="1"/>
  <c r="E3811" i="3"/>
  <c r="D3811" i="3" s="1"/>
  <c r="F3811" i="3" s="1"/>
  <c r="E3812" i="3"/>
  <c r="D3812" i="3" s="1"/>
  <c r="F3812" i="3" s="1"/>
  <c r="E3813" i="3"/>
  <c r="D3813" i="3" s="1"/>
  <c r="F3813" i="3" s="1"/>
  <c r="E3814" i="3"/>
  <c r="D3814" i="3" s="1"/>
  <c r="F3814" i="3" s="1"/>
  <c r="E3815" i="3"/>
  <c r="D3815" i="3" s="1"/>
  <c r="F3815" i="3" s="1"/>
  <c r="E3816" i="3"/>
  <c r="D3816" i="3" s="1"/>
  <c r="F3816" i="3" s="1"/>
  <c r="E3817" i="3"/>
  <c r="D3817" i="3" s="1"/>
  <c r="F3817" i="3" s="1"/>
  <c r="E3818" i="3"/>
  <c r="D3818" i="3" s="1"/>
  <c r="F3818" i="3" s="1"/>
  <c r="E3819" i="3"/>
  <c r="D3819" i="3" s="1"/>
  <c r="F3819" i="3" s="1"/>
  <c r="E3820" i="3"/>
  <c r="D3820" i="3" s="1"/>
  <c r="F3820" i="3" s="1"/>
  <c r="E3821" i="3"/>
  <c r="D3821" i="3" s="1"/>
  <c r="F3821" i="3" s="1"/>
  <c r="E3822" i="3"/>
  <c r="D3822" i="3" s="1"/>
  <c r="F3822" i="3" s="1"/>
  <c r="E3823" i="3"/>
  <c r="D3823" i="3" s="1"/>
  <c r="F3823" i="3" s="1"/>
  <c r="E3824" i="3"/>
  <c r="D3824" i="3" s="1"/>
  <c r="F3824" i="3" s="1"/>
  <c r="E3825" i="3"/>
  <c r="D3825" i="3" s="1"/>
  <c r="F3825" i="3" s="1"/>
  <c r="E3826" i="3"/>
  <c r="D3826" i="3" s="1"/>
  <c r="F3826" i="3" s="1"/>
  <c r="E3827" i="3"/>
  <c r="D3827" i="3" s="1"/>
  <c r="F3827" i="3" s="1"/>
  <c r="E3828" i="3"/>
  <c r="D3828" i="3" s="1"/>
  <c r="F3828" i="3" s="1"/>
  <c r="E3829" i="3"/>
  <c r="D3829" i="3" s="1"/>
  <c r="F3829" i="3" s="1"/>
  <c r="E3830" i="3"/>
  <c r="D3830" i="3" s="1"/>
  <c r="F3830" i="3" s="1"/>
  <c r="E3831" i="3"/>
  <c r="D3831" i="3" s="1"/>
  <c r="F3831" i="3" s="1"/>
  <c r="E3832" i="3"/>
  <c r="D3832" i="3" s="1"/>
  <c r="F3832" i="3" s="1"/>
  <c r="E3833" i="3"/>
  <c r="D3833" i="3" s="1"/>
  <c r="F3833" i="3" s="1"/>
  <c r="E3834" i="3"/>
  <c r="D3834" i="3" s="1"/>
  <c r="F3834" i="3" s="1"/>
  <c r="E3835" i="3"/>
  <c r="D3835" i="3" s="1"/>
  <c r="F3835" i="3" s="1"/>
  <c r="E3836" i="3"/>
  <c r="D3836" i="3" s="1"/>
  <c r="F3836" i="3" s="1"/>
  <c r="E3837" i="3"/>
  <c r="D3837" i="3" s="1"/>
  <c r="F3837" i="3" s="1"/>
  <c r="E3838" i="3"/>
  <c r="D3838" i="3" s="1"/>
  <c r="F3838" i="3" s="1"/>
  <c r="E3839" i="3"/>
  <c r="D3839" i="3" s="1"/>
  <c r="F3839" i="3" s="1"/>
  <c r="E3840" i="3"/>
  <c r="D3840" i="3" s="1"/>
  <c r="F3840" i="3" s="1"/>
  <c r="E3841" i="3"/>
  <c r="D3841" i="3" s="1"/>
  <c r="F3841" i="3" s="1"/>
  <c r="E3842" i="3"/>
  <c r="D3842" i="3" s="1"/>
  <c r="F3842" i="3" s="1"/>
  <c r="E3843" i="3"/>
  <c r="D3843" i="3" s="1"/>
  <c r="F3843" i="3" s="1"/>
  <c r="E3844" i="3"/>
  <c r="D3844" i="3" s="1"/>
  <c r="F3844" i="3" s="1"/>
  <c r="E3845" i="3"/>
  <c r="D3845" i="3" s="1"/>
  <c r="F3845" i="3" s="1"/>
  <c r="E3846" i="3"/>
  <c r="D3846" i="3" s="1"/>
  <c r="F3846" i="3" s="1"/>
  <c r="E3847" i="3"/>
  <c r="D3847" i="3" s="1"/>
  <c r="F3847" i="3" s="1"/>
  <c r="E3848" i="3"/>
  <c r="D3848" i="3" s="1"/>
  <c r="F3848" i="3" s="1"/>
  <c r="E3849" i="3"/>
  <c r="D3849" i="3" s="1"/>
  <c r="F3849" i="3" s="1"/>
  <c r="E3850" i="3"/>
  <c r="D3850" i="3" s="1"/>
  <c r="F3850" i="3" s="1"/>
  <c r="E3851" i="3"/>
  <c r="D3851" i="3" s="1"/>
  <c r="F3851" i="3" s="1"/>
  <c r="E3852" i="3"/>
  <c r="D3852" i="3" s="1"/>
  <c r="F3852" i="3" s="1"/>
  <c r="E3853" i="3"/>
  <c r="D3853" i="3" s="1"/>
  <c r="F3853" i="3" s="1"/>
  <c r="E3854" i="3"/>
  <c r="D3854" i="3" s="1"/>
  <c r="F3854" i="3" s="1"/>
  <c r="E3855" i="3"/>
  <c r="D3855" i="3" s="1"/>
  <c r="F3855" i="3" s="1"/>
  <c r="E3856" i="3"/>
  <c r="D3856" i="3" s="1"/>
  <c r="F3856" i="3" s="1"/>
  <c r="E3857" i="3"/>
  <c r="D3857" i="3" s="1"/>
  <c r="F3857" i="3" s="1"/>
  <c r="E3858" i="3"/>
  <c r="D3858" i="3" s="1"/>
  <c r="F3858" i="3" s="1"/>
  <c r="E3859" i="3"/>
  <c r="D3859" i="3" s="1"/>
  <c r="F3859" i="3" s="1"/>
  <c r="E3860" i="3"/>
  <c r="D3860" i="3" s="1"/>
  <c r="F3860" i="3" s="1"/>
  <c r="E3861" i="3"/>
  <c r="D3861" i="3" s="1"/>
  <c r="F3861" i="3" s="1"/>
  <c r="E3862" i="3"/>
  <c r="D3862" i="3" s="1"/>
  <c r="F3862" i="3" s="1"/>
  <c r="E3863" i="3"/>
  <c r="D3863" i="3" s="1"/>
  <c r="F3863" i="3" s="1"/>
  <c r="E3864" i="3"/>
  <c r="D3864" i="3" s="1"/>
  <c r="F3864" i="3" s="1"/>
  <c r="E3865" i="3"/>
  <c r="D3865" i="3" s="1"/>
  <c r="F3865" i="3" s="1"/>
  <c r="E3866" i="3"/>
  <c r="D3866" i="3" s="1"/>
  <c r="F3866" i="3" s="1"/>
  <c r="E3867" i="3"/>
  <c r="D3867" i="3" s="1"/>
  <c r="F3867" i="3" s="1"/>
  <c r="E3868" i="3"/>
  <c r="D3868" i="3" s="1"/>
  <c r="F3868" i="3" s="1"/>
  <c r="E3869" i="3"/>
  <c r="D3869" i="3" s="1"/>
  <c r="F3869" i="3" s="1"/>
  <c r="E3870" i="3"/>
  <c r="D3870" i="3" s="1"/>
  <c r="F3870" i="3" s="1"/>
  <c r="E3871" i="3"/>
  <c r="D3871" i="3" s="1"/>
  <c r="F3871" i="3" s="1"/>
  <c r="E3872" i="3"/>
  <c r="D3872" i="3" s="1"/>
  <c r="F3872" i="3" s="1"/>
  <c r="E3873" i="3"/>
  <c r="D3873" i="3" s="1"/>
  <c r="F3873" i="3" s="1"/>
  <c r="E3874" i="3"/>
  <c r="D3874" i="3" s="1"/>
  <c r="F3874" i="3" s="1"/>
  <c r="E3875" i="3"/>
  <c r="D3875" i="3" s="1"/>
  <c r="F3875" i="3" s="1"/>
  <c r="E3876" i="3"/>
  <c r="D3876" i="3" s="1"/>
  <c r="F3876" i="3" s="1"/>
  <c r="E3877" i="3"/>
  <c r="D3877" i="3" s="1"/>
  <c r="F3877" i="3" s="1"/>
  <c r="E3878" i="3"/>
  <c r="D3878" i="3" s="1"/>
  <c r="F3878" i="3" s="1"/>
  <c r="E3879" i="3"/>
  <c r="D3879" i="3" s="1"/>
  <c r="F3879" i="3" s="1"/>
  <c r="E3880" i="3"/>
  <c r="D3880" i="3" s="1"/>
  <c r="F3880" i="3" s="1"/>
  <c r="E3881" i="3"/>
  <c r="D3881" i="3" s="1"/>
  <c r="F3881" i="3" s="1"/>
  <c r="E3882" i="3"/>
  <c r="D3882" i="3" s="1"/>
  <c r="F3882" i="3" s="1"/>
  <c r="E3883" i="3"/>
  <c r="D3883" i="3" s="1"/>
  <c r="F3883" i="3" s="1"/>
  <c r="E3884" i="3"/>
  <c r="D3884" i="3" s="1"/>
  <c r="F3884" i="3" s="1"/>
  <c r="E3885" i="3"/>
  <c r="D3885" i="3" s="1"/>
  <c r="F3885" i="3" s="1"/>
  <c r="E3886" i="3"/>
  <c r="D3886" i="3" s="1"/>
  <c r="F3886" i="3" s="1"/>
  <c r="E3887" i="3"/>
  <c r="D3887" i="3" s="1"/>
  <c r="F3887" i="3" s="1"/>
  <c r="E3888" i="3"/>
  <c r="D3888" i="3" s="1"/>
  <c r="F3888" i="3" s="1"/>
  <c r="E3889" i="3"/>
  <c r="D3889" i="3" s="1"/>
  <c r="F3889" i="3" s="1"/>
  <c r="E3890" i="3"/>
  <c r="D3890" i="3" s="1"/>
  <c r="F3890" i="3" s="1"/>
  <c r="E3891" i="3"/>
  <c r="D3891" i="3" s="1"/>
  <c r="F3891" i="3" s="1"/>
  <c r="E3892" i="3"/>
  <c r="D3892" i="3" s="1"/>
  <c r="F3892" i="3" s="1"/>
  <c r="E3893" i="3"/>
  <c r="D3893" i="3" s="1"/>
  <c r="F3893" i="3" s="1"/>
  <c r="E3894" i="3"/>
  <c r="D3894" i="3" s="1"/>
  <c r="F3894" i="3" s="1"/>
  <c r="E3895" i="3"/>
  <c r="D3895" i="3" s="1"/>
  <c r="F3895" i="3" s="1"/>
  <c r="E3896" i="3"/>
  <c r="D3896" i="3" s="1"/>
  <c r="F3896" i="3" s="1"/>
  <c r="E3897" i="3"/>
  <c r="D3897" i="3" s="1"/>
  <c r="F3897" i="3" s="1"/>
  <c r="E3898" i="3"/>
  <c r="D3898" i="3" s="1"/>
  <c r="F3898" i="3" s="1"/>
  <c r="E3899" i="3"/>
  <c r="D3899" i="3" s="1"/>
  <c r="F3899" i="3" s="1"/>
  <c r="E3900" i="3"/>
  <c r="D3900" i="3" s="1"/>
  <c r="F3900" i="3" s="1"/>
  <c r="E3901" i="3"/>
  <c r="D3901" i="3" s="1"/>
  <c r="F3901" i="3" s="1"/>
  <c r="E2" i="3"/>
  <c r="D2" i="3" s="1"/>
  <c r="F2" i="3" s="1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B3" i="5"/>
  <c r="C3" i="5" s="1"/>
  <c r="B4" i="5"/>
  <c r="C4" i="5" s="1"/>
  <c r="B5" i="5"/>
  <c r="C5" i="5" s="1"/>
  <c r="B6" i="5"/>
  <c r="C6" i="5" s="1"/>
  <c r="B7" i="5"/>
  <c r="C7" i="5" s="1"/>
  <c r="B8" i="5"/>
  <c r="C8" i="5" s="1"/>
  <c r="B9" i="5"/>
  <c r="C9" i="5" s="1"/>
  <c r="B10" i="5"/>
  <c r="C10" i="5" s="1"/>
  <c r="B11" i="5"/>
  <c r="C11" i="5" s="1"/>
  <c r="B12" i="5"/>
  <c r="C12" i="5" s="1"/>
  <c r="B13" i="5"/>
  <c r="C13" i="5" s="1"/>
  <c r="B14" i="5"/>
  <c r="C14" i="5" s="1"/>
  <c r="B15" i="5"/>
  <c r="C15" i="5" s="1"/>
  <c r="B16" i="5"/>
  <c r="C16" i="5" s="1"/>
  <c r="B17" i="5"/>
  <c r="C17" i="5" s="1"/>
  <c r="B18" i="5"/>
  <c r="C18" i="5" s="1"/>
  <c r="B19" i="5"/>
  <c r="C19" i="5" s="1"/>
  <c r="B20" i="5"/>
  <c r="C20" i="5" s="1"/>
  <c r="B21" i="5"/>
  <c r="C21" i="5" s="1"/>
  <c r="B22" i="5"/>
  <c r="C22" i="5" s="1"/>
  <c r="B23" i="5"/>
  <c r="C23" i="5" s="1"/>
  <c r="B24" i="5"/>
  <c r="C24" i="5" s="1"/>
  <c r="B25" i="5"/>
  <c r="C25" i="5" s="1"/>
  <c r="B26" i="5"/>
  <c r="C26" i="5" s="1"/>
  <c r="B27" i="5"/>
  <c r="C27" i="5" s="1"/>
  <c r="B28" i="5"/>
  <c r="C28" i="5" s="1"/>
  <c r="B29" i="5"/>
  <c r="C29" i="5" s="1"/>
  <c r="B30" i="5"/>
  <c r="C30" i="5" s="1"/>
  <c r="B31" i="5"/>
  <c r="C31" i="5" s="1"/>
  <c r="B32" i="5"/>
  <c r="C32" i="5" s="1"/>
  <c r="B33" i="5"/>
  <c r="C33" i="5" s="1"/>
  <c r="B34" i="5"/>
  <c r="C34" i="5" s="1"/>
  <c r="B35" i="5"/>
  <c r="C35" i="5" s="1"/>
  <c r="B36" i="5"/>
  <c r="C36" i="5" s="1"/>
  <c r="B37" i="5"/>
  <c r="C37" i="5" s="1"/>
  <c r="B38" i="5"/>
  <c r="C38" i="5" s="1"/>
  <c r="B39" i="5"/>
  <c r="C39" i="5" s="1"/>
  <c r="B40" i="5"/>
  <c r="C40" i="5" s="1"/>
  <c r="B41" i="5"/>
  <c r="C41" i="5" s="1"/>
  <c r="B42" i="5"/>
  <c r="C42" i="5" s="1"/>
  <c r="B43" i="5"/>
  <c r="C43" i="5" s="1"/>
  <c r="B44" i="5"/>
  <c r="C44" i="5" s="1"/>
  <c r="B45" i="5"/>
  <c r="C45" i="5" s="1"/>
  <c r="B46" i="5"/>
  <c r="C46" i="5" s="1"/>
  <c r="B47" i="5"/>
  <c r="C47" i="5" s="1"/>
  <c r="B48" i="5"/>
  <c r="C48" i="5" s="1"/>
  <c r="B49" i="5"/>
  <c r="C49" i="5" s="1"/>
  <c r="B50" i="5"/>
  <c r="C50" i="5" s="1"/>
  <c r="B51" i="5"/>
  <c r="C51" i="5" s="1"/>
  <c r="B52" i="5"/>
  <c r="C52" i="5" s="1"/>
  <c r="B53" i="5"/>
  <c r="C53" i="5" s="1"/>
  <c r="B54" i="5"/>
  <c r="C54" i="5" s="1"/>
  <c r="B55" i="5"/>
  <c r="C55" i="5" s="1"/>
  <c r="B56" i="5"/>
  <c r="C56" i="5" s="1"/>
  <c r="B57" i="5"/>
  <c r="C57" i="5" s="1"/>
  <c r="B58" i="5"/>
  <c r="C58" i="5" s="1"/>
  <c r="B59" i="5"/>
  <c r="C59" i="5" s="1"/>
  <c r="B60" i="5"/>
  <c r="C60" i="5" s="1"/>
  <c r="B61" i="5"/>
  <c r="C61" i="5" s="1"/>
  <c r="B62" i="5"/>
  <c r="C62" i="5" s="1"/>
  <c r="B63" i="5"/>
  <c r="C63" i="5" s="1"/>
  <c r="B64" i="5"/>
  <c r="C64" i="5" s="1"/>
  <c r="B65" i="5"/>
  <c r="C65" i="5" s="1"/>
  <c r="B66" i="5"/>
  <c r="C66" i="5" s="1"/>
  <c r="B67" i="5"/>
  <c r="C67" i="5" s="1"/>
  <c r="B68" i="5"/>
  <c r="C68" i="5" s="1"/>
  <c r="B69" i="5"/>
  <c r="C69" i="5" s="1"/>
  <c r="B70" i="5"/>
  <c r="C70" i="5" s="1"/>
  <c r="B71" i="5"/>
  <c r="C71" i="5" s="1"/>
  <c r="B72" i="5"/>
  <c r="C72" i="5" s="1"/>
  <c r="B73" i="5"/>
  <c r="C73" i="5" s="1"/>
  <c r="B74" i="5"/>
  <c r="C74" i="5" s="1"/>
  <c r="B75" i="5"/>
  <c r="C75" i="5" s="1"/>
  <c r="B76" i="5"/>
  <c r="C76" i="5" s="1"/>
  <c r="B77" i="5"/>
  <c r="C77" i="5" s="1"/>
  <c r="B78" i="5"/>
  <c r="C78" i="5" s="1"/>
  <c r="B79" i="5"/>
  <c r="C79" i="5" s="1"/>
  <c r="B80" i="5"/>
  <c r="C80" i="5" s="1"/>
  <c r="B81" i="5"/>
  <c r="C81" i="5" s="1"/>
  <c r="B82" i="5"/>
  <c r="C82" i="5" s="1"/>
  <c r="B83" i="5"/>
  <c r="C83" i="5" s="1"/>
  <c r="B84" i="5"/>
  <c r="C84" i="5" s="1"/>
  <c r="B85" i="5"/>
  <c r="C85" i="5" s="1"/>
  <c r="B86" i="5"/>
  <c r="C86" i="5" s="1"/>
  <c r="B87" i="5"/>
  <c r="C87" i="5" s="1"/>
  <c r="B88" i="5"/>
  <c r="C88" i="5" s="1"/>
  <c r="B89" i="5"/>
  <c r="C89" i="5" s="1"/>
  <c r="B90" i="5"/>
  <c r="C90" i="5" s="1"/>
  <c r="B91" i="5"/>
  <c r="C91" i="5" s="1"/>
  <c r="B92" i="5"/>
  <c r="C92" i="5" s="1"/>
  <c r="B93" i="5"/>
  <c r="C93" i="5" s="1"/>
  <c r="B94" i="5"/>
  <c r="C94" i="5" s="1"/>
  <c r="B95" i="5"/>
  <c r="C95" i="5" s="1"/>
  <c r="B96" i="5"/>
  <c r="C96" i="5" s="1"/>
  <c r="B97" i="5"/>
  <c r="C97" i="5" s="1"/>
  <c r="B98" i="5"/>
  <c r="C98" i="5" s="1"/>
  <c r="B99" i="5"/>
  <c r="C99" i="5" s="1"/>
  <c r="B100" i="5"/>
  <c r="C100" i="5" s="1"/>
  <c r="B101" i="5"/>
  <c r="C101" i="5" s="1"/>
  <c r="B102" i="5"/>
  <c r="C102" i="5" s="1"/>
  <c r="B103" i="5"/>
  <c r="C103" i="5" s="1"/>
  <c r="B104" i="5"/>
  <c r="C104" i="5" s="1"/>
  <c r="B105" i="5"/>
  <c r="C105" i="5" s="1"/>
  <c r="B106" i="5"/>
  <c r="C106" i="5" s="1"/>
  <c r="B107" i="5"/>
  <c r="C107" i="5" s="1"/>
  <c r="B108" i="5"/>
  <c r="C108" i="5" s="1"/>
  <c r="B109" i="5"/>
  <c r="C109" i="5" s="1"/>
  <c r="B110" i="5"/>
  <c r="C110" i="5" s="1"/>
  <c r="B111" i="5"/>
  <c r="C111" i="5" s="1"/>
  <c r="B112" i="5"/>
  <c r="C112" i="5" s="1"/>
  <c r="B113" i="5"/>
  <c r="C113" i="5" s="1"/>
  <c r="B114" i="5"/>
  <c r="C114" i="5" s="1"/>
  <c r="B115" i="5"/>
  <c r="C115" i="5" s="1"/>
  <c r="B116" i="5"/>
  <c r="C116" i="5" s="1"/>
  <c r="B117" i="5"/>
  <c r="C117" i="5" s="1"/>
  <c r="B118" i="5"/>
  <c r="C118" i="5" s="1"/>
  <c r="B119" i="5"/>
  <c r="C119" i="5" s="1"/>
  <c r="B120" i="5"/>
  <c r="C120" i="5" s="1"/>
  <c r="B121" i="5"/>
  <c r="C121" i="5" s="1"/>
  <c r="B122" i="5"/>
  <c r="C122" i="5" s="1"/>
  <c r="B123" i="5"/>
  <c r="C123" i="5" s="1"/>
  <c r="B124" i="5"/>
  <c r="C124" i="5" s="1"/>
  <c r="B125" i="5"/>
  <c r="C125" i="5" s="1"/>
  <c r="B126" i="5"/>
  <c r="C126" i="5" s="1"/>
  <c r="B127" i="5"/>
  <c r="C127" i="5" s="1"/>
  <c r="B128" i="5"/>
  <c r="C128" i="5" s="1"/>
  <c r="B129" i="5"/>
  <c r="C129" i="5" s="1"/>
  <c r="B130" i="5"/>
  <c r="C130" i="5" s="1"/>
  <c r="B131" i="5"/>
  <c r="C131" i="5" s="1"/>
  <c r="B132" i="5"/>
  <c r="C132" i="5" s="1"/>
  <c r="B133" i="5"/>
  <c r="C133" i="5" s="1"/>
  <c r="B134" i="5"/>
  <c r="C134" i="5" s="1"/>
  <c r="B135" i="5"/>
  <c r="C135" i="5" s="1"/>
  <c r="B136" i="5"/>
  <c r="C136" i="5" s="1"/>
  <c r="B137" i="5"/>
  <c r="C137" i="5" s="1"/>
  <c r="B138" i="5"/>
  <c r="C138" i="5" s="1"/>
  <c r="B139" i="5"/>
  <c r="C139" i="5" s="1"/>
  <c r="B140" i="5"/>
  <c r="C140" i="5" s="1"/>
  <c r="B141" i="5"/>
  <c r="C141" i="5" s="1"/>
  <c r="B142" i="5"/>
  <c r="C142" i="5" s="1"/>
  <c r="B143" i="5"/>
  <c r="C143" i="5" s="1"/>
  <c r="B144" i="5"/>
  <c r="C144" i="5" s="1"/>
  <c r="B145" i="5"/>
  <c r="C145" i="5" s="1"/>
  <c r="B146" i="5"/>
  <c r="C146" i="5" s="1"/>
  <c r="B147" i="5"/>
  <c r="C147" i="5" s="1"/>
  <c r="B148" i="5"/>
  <c r="C148" i="5" s="1"/>
  <c r="B149" i="5"/>
  <c r="C149" i="5" s="1"/>
  <c r="B150" i="5"/>
  <c r="C150" i="5" s="1"/>
  <c r="B151" i="5"/>
  <c r="C151" i="5" s="1"/>
  <c r="B2" i="5"/>
  <c r="C2" i="5" s="1"/>
  <c r="O148" i="5" l="1"/>
  <c r="O140" i="5"/>
  <c r="O132" i="5"/>
  <c r="O124" i="5"/>
  <c r="I6" i="10"/>
  <c r="O116" i="5"/>
  <c r="O108" i="5"/>
  <c r="O9" i="5"/>
  <c r="O17" i="5"/>
  <c r="O25" i="5"/>
  <c r="O33" i="5"/>
  <c r="O41" i="5"/>
  <c r="O49" i="5"/>
  <c r="O57" i="5"/>
  <c r="O65" i="5"/>
  <c r="O73" i="5"/>
  <c r="O81" i="5"/>
  <c r="O89" i="5"/>
  <c r="O97" i="5"/>
  <c r="O105" i="5"/>
  <c r="O113" i="5"/>
  <c r="O121" i="5"/>
  <c r="O129" i="5"/>
  <c r="O137" i="5"/>
  <c r="O145" i="5"/>
  <c r="O100" i="5"/>
  <c r="O92" i="5"/>
  <c r="O84" i="5"/>
  <c r="O76" i="5"/>
  <c r="O68" i="5"/>
  <c r="O60" i="5"/>
  <c r="O52" i="5"/>
  <c r="O44" i="5"/>
  <c r="O36" i="5"/>
  <c r="O28" i="5"/>
  <c r="O20" i="5"/>
  <c r="O12" i="5"/>
  <c r="O4" i="5"/>
  <c r="O7" i="5"/>
  <c r="O15" i="5"/>
  <c r="O23" i="5"/>
  <c r="O31" i="5"/>
  <c r="O39" i="5"/>
  <c r="O47" i="5"/>
  <c r="O55" i="5"/>
  <c r="O63" i="5"/>
  <c r="O71" i="5"/>
  <c r="O79" i="5"/>
  <c r="O87" i="5"/>
  <c r="O95" i="5"/>
  <c r="O103" i="5"/>
  <c r="O111" i="5"/>
  <c r="O119" i="5"/>
  <c r="O127" i="5"/>
  <c r="O135" i="5"/>
  <c r="O143" i="5"/>
  <c r="O151" i="5"/>
  <c r="O8" i="5"/>
  <c r="O16" i="5"/>
  <c r="O24" i="5"/>
  <c r="O32" i="5"/>
  <c r="O40" i="5"/>
  <c r="O48" i="5"/>
  <c r="O56" i="5"/>
  <c r="O64" i="5"/>
  <c r="O72" i="5"/>
  <c r="O80" i="5"/>
  <c r="O88" i="5"/>
  <c r="O96" i="5"/>
  <c r="O104" i="5"/>
  <c r="O112" i="5"/>
  <c r="O120" i="5"/>
  <c r="O128" i="5"/>
  <c r="O136" i="5"/>
  <c r="O144" i="5"/>
  <c r="O2" i="5"/>
  <c r="O10" i="5"/>
  <c r="O18" i="5"/>
  <c r="O26" i="5"/>
  <c r="O34" i="5"/>
  <c r="O42" i="5"/>
  <c r="O50" i="5"/>
  <c r="O58" i="5"/>
  <c r="O66" i="5"/>
  <c r="O74" i="5"/>
  <c r="O82" i="5"/>
  <c r="O90" i="5"/>
  <c r="O98" i="5"/>
  <c r="O106" i="5"/>
  <c r="O114" i="5"/>
  <c r="O122" i="5"/>
  <c r="O130" i="5"/>
  <c r="O138" i="5"/>
  <c r="O146" i="5"/>
  <c r="O3" i="5"/>
  <c r="O11" i="5"/>
  <c r="O19" i="5"/>
  <c r="O27" i="5"/>
  <c r="O35" i="5"/>
  <c r="O43" i="5"/>
  <c r="O51" i="5"/>
  <c r="O59" i="5"/>
  <c r="O67" i="5"/>
  <c r="O75" i="5"/>
  <c r="O83" i="5"/>
  <c r="O91" i="5"/>
  <c r="O99" i="5"/>
  <c r="O107" i="5"/>
  <c r="O115" i="5"/>
  <c r="O123" i="5"/>
  <c r="O131" i="5"/>
  <c r="O139" i="5"/>
  <c r="O147" i="5"/>
  <c r="O5" i="5"/>
  <c r="O13" i="5"/>
  <c r="O21" i="5"/>
  <c r="O29" i="5"/>
  <c r="O37" i="5"/>
  <c r="O45" i="5"/>
  <c r="O53" i="5"/>
  <c r="O61" i="5"/>
  <c r="O69" i="5"/>
  <c r="O77" i="5"/>
  <c r="O85" i="5"/>
  <c r="O93" i="5"/>
  <c r="O101" i="5"/>
  <c r="O109" i="5"/>
  <c r="O117" i="5"/>
  <c r="O125" i="5"/>
  <c r="O133" i="5"/>
  <c r="O141" i="5"/>
  <c r="O149" i="5"/>
  <c r="O6" i="5"/>
  <c r="O14" i="5"/>
  <c r="O22" i="5"/>
  <c r="O30" i="5"/>
  <c r="O38" i="5"/>
  <c r="O46" i="5"/>
  <c r="O54" i="5"/>
  <c r="O62" i="5"/>
  <c r="O70" i="5"/>
  <c r="O78" i="5"/>
  <c r="O86" i="5"/>
  <c r="O94" i="5"/>
  <c r="O102" i="5"/>
  <c r="O110" i="5"/>
  <c r="O118" i="5"/>
  <c r="O126" i="5"/>
  <c r="O134" i="5"/>
  <c r="O142" i="5"/>
  <c r="O150" i="5"/>
  <c r="H7" i="5"/>
  <c r="I7" i="5" s="1"/>
  <c r="H15" i="5"/>
  <c r="I15" i="5" s="1"/>
  <c r="L15" i="5" s="1"/>
  <c r="H23" i="5"/>
  <c r="I23" i="5" s="1"/>
  <c r="L23" i="5" s="1"/>
  <c r="H31" i="5"/>
  <c r="I31" i="5" s="1"/>
  <c r="K31" i="5" s="1"/>
  <c r="H39" i="5"/>
  <c r="I39" i="5" s="1"/>
  <c r="K39" i="5" s="1"/>
  <c r="H47" i="5"/>
  <c r="I47" i="5" s="1"/>
  <c r="K47" i="5" s="1"/>
  <c r="H55" i="5"/>
  <c r="I55" i="5" s="1"/>
  <c r="K55" i="5" s="1"/>
  <c r="H63" i="5"/>
  <c r="I63" i="5" s="1"/>
  <c r="L63" i="5" s="1"/>
  <c r="H71" i="5"/>
  <c r="I71" i="5" s="1"/>
  <c r="H79" i="5"/>
  <c r="I79" i="5" s="1"/>
  <c r="K79" i="5" s="1"/>
  <c r="H87" i="5"/>
  <c r="I87" i="5" s="1"/>
  <c r="H95" i="5"/>
  <c r="I95" i="5" s="1"/>
  <c r="H103" i="5"/>
  <c r="I103" i="5" s="1"/>
  <c r="H111" i="5"/>
  <c r="I111" i="5" s="1"/>
  <c r="L111" i="5" s="1"/>
  <c r="H119" i="5"/>
  <c r="I119" i="5" s="1"/>
  <c r="K119" i="5" s="1"/>
  <c r="H127" i="5"/>
  <c r="I127" i="5" s="1"/>
  <c r="L127" i="5" s="1"/>
  <c r="H135" i="5"/>
  <c r="I135" i="5" s="1"/>
  <c r="H143" i="5"/>
  <c r="I143" i="5" s="1"/>
  <c r="L143" i="5" s="1"/>
  <c r="H151" i="5"/>
  <c r="I151" i="5" s="1"/>
  <c r="K151" i="5" s="1"/>
  <c r="H8" i="5"/>
  <c r="I8" i="5" s="1"/>
  <c r="H16" i="5"/>
  <c r="I16" i="5" s="1"/>
  <c r="L16" i="5" s="1"/>
  <c r="H24" i="5"/>
  <c r="I24" i="5" s="1"/>
  <c r="L24" i="5" s="1"/>
  <c r="H32" i="5"/>
  <c r="I32" i="5" s="1"/>
  <c r="K32" i="5" s="1"/>
  <c r="H40" i="5"/>
  <c r="I40" i="5" s="1"/>
  <c r="K40" i="5" s="1"/>
  <c r="H48" i="5"/>
  <c r="I48" i="5" s="1"/>
  <c r="H56" i="5"/>
  <c r="I56" i="5" s="1"/>
  <c r="K56" i="5" s="1"/>
  <c r="H64" i="5"/>
  <c r="I64" i="5" s="1"/>
  <c r="H72" i="5"/>
  <c r="I72" i="5" s="1"/>
  <c r="K72" i="5" s="1"/>
  <c r="H80" i="5"/>
  <c r="I80" i="5" s="1"/>
  <c r="L80" i="5" s="1"/>
  <c r="H88" i="5"/>
  <c r="I88" i="5" s="1"/>
  <c r="L88" i="5" s="1"/>
  <c r="H96" i="5"/>
  <c r="I96" i="5" s="1"/>
  <c r="L96" i="5" s="1"/>
  <c r="H104" i="5"/>
  <c r="I104" i="5" s="1"/>
  <c r="L104" i="5" s="1"/>
  <c r="H112" i="5"/>
  <c r="I112" i="5" s="1"/>
  <c r="H120" i="5"/>
  <c r="I120" i="5" s="1"/>
  <c r="L120" i="5" s="1"/>
  <c r="H128" i="5"/>
  <c r="I128" i="5" s="1"/>
  <c r="L128" i="5" s="1"/>
  <c r="H136" i="5"/>
  <c r="I136" i="5" s="1"/>
  <c r="H144" i="5"/>
  <c r="I144" i="5" s="1"/>
  <c r="H9" i="5"/>
  <c r="I9" i="5" s="1"/>
  <c r="K9" i="5" s="1"/>
  <c r="H17" i="5"/>
  <c r="I17" i="5" s="1"/>
  <c r="H25" i="5"/>
  <c r="I25" i="5" s="1"/>
  <c r="K25" i="5" s="1"/>
  <c r="H33" i="5"/>
  <c r="I33" i="5" s="1"/>
  <c r="K33" i="5" s="1"/>
  <c r="H41" i="5"/>
  <c r="I41" i="5" s="1"/>
  <c r="K41" i="5" s="1"/>
  <c r="H49" i="5"/>
  <c r="I49" i="5" s="1"/>
  <c r="L49" i="5" s="1"/>
  <c r="H57" i="5"/>
  <c r="I57" i="5" s="1"/>
  <c r="H65" i="5"/>
  <c r="I65" i="5" s="1"/>
  <c r="K65" i="5" s="1"/>
  <c r="H73" i="5"/>
  <c r="I73" i="5" s="1"/>
  <c r="K73" i="5" s="1"/>
  <c r="H81" i="5"/>
  <c r="I81" i="5" s="1"/>
  <c r="L81" i="5" s="1"/>
  <c r="H89" i="5"/>
  <c r="I89" i="5" s="1"/>
  <c r="L89" i="5" s="1"/>
  <c r="H97" i="5"/>
  <c r="I97" i="5" s="1"/>
  <c r="K97" i="5" s="1"/>
  <c r="H105" i="5"/>
  <c r="I105" i="5" s="1"/>
  <c r="K105" i="5" s="1"/>
  <c r="H113" i="5"/>
  <c r="I113" i="5" s="1"/>
  <c r="H121" i="5"/>
  <c r="I121" i="5" s="1"/>
  <c r="L121" i="5" s="1"/>
  <c r="H129" i="5"/>
  <c r="I129" i="5" s="1"/>
  <c r="K129" i="5" s="1"/>
  <c r="H137" i="5"/>
  <c r="I137" i="5" s="1"/>
  <c r="K137" i="5" s="1"/>
  <c r="H145" i="5"/>
  <c r="I145" i="5" s="1"/>
  <c r="L145" i="5" s="1"/>
  <c r="H2" i="5"/>
  <c r="I2" i="5" s="1"/>
  <c r="H10" i="5"/>
  <c r="I10" i="5" s="1"/>
  <c r="H18" i="5"/>
  <c r="I18" i="5" s="1"/>
  <c r="H26" i="5"/>
  <c r="I26" i="5" s="1"/>
  <c r="H34" i="5"/>
  <c r="I34" i="5" s="1"/>
  <c r="H42" i="5"/>
  <c r="I42" i="5" s="1"/>
  <c r="H50" i="5"/>
  <c r="I50" i="5" s="1"/>
  <c r="H58" i="5"/>
  <c r="I58" i="5" s="1"/>
  <c r="H66" i="5"/>
  <c r="I66" i="5" s="1"/>
  <c r="H74" i="5"/>
  <c r="I74" i="5" s="1"/>
  <c r="H82" i="5"/>
  <c r="I82" i="5" s="1"/>
  <c r="H90" i="5"/>
  <c r="I90" i="5" s="1"/>
  <c r="H98" i="5"/>
  <c r="I98" i="5" s="1"/>
  <c r="H106" i="5"/>
  <c r="I106" i="5" s="1"/>
  <c r="H114" i="5"/>
  <c r="I114" i="5" s="1"/>
  <c r="H122" i="5"/>
  <c r="I122" i="5" s="1"/>
  <c r="H130" i="5"/>
  <c r="I130" i="5" s="1"/>
  <c r="H138" i="5"/>
  <c r="I138" i="5" s="1"/>
  <c r="H146" i="5"/>
  <c r="I146" i="5" s="1"/>
  <c r="H3" i="5"/>
  <c r="I3" i="5" s="1"/>
  <c r="H11" i="5"/>
  <c r="I11" i="5" s="1"/>
  <c r="H19" i="5"/>
  <c r="I19" i="5" s="1"/>
  <c r="H27" i="5"/>
  <c r="I27" i="5" s="1"/>
  <c r="H35" i="5"/>
  <c r="I35" i="5" s="1"/>
  <c r="H43" i="5"/>
  <c r="I43" i="5" s="1"/>
  <c r="H51" i="5"/>
  <c r="I51" i="5" s="1"/>
  <c r="H59" i="5"/>
  <c r="I59" i="5" s="1"/>
  <c r="H67" i="5"/>
  <c r="I67" i="5" s="1"/>
  <c r="H75" i="5"/>
  <c r="I75" i="5" s="1"/>
  <c r="H83" i="5"/>
  <c r="I83" i="5" s="1"/>
  <c r="H91" i="5"/>
  <c r="I91" i="5" s="1"/>
  <c r="H99" i="5"/>
  <c r="I99" i="5" s="1"/>
  <c r="H107" i="5"/>
  <c r="I107" i="5" s="1"/>
  <c r="H115" i="5"/>
  <c r="I115" i="5" s="1"/>
  <c r="H123" i="5"/>
  <c r="I123" i="5" s="1"/>
  <c r="H131" i="5"/>
  <c r="I131" i="5" s="1"/>
  <c r="H139" i="5"/>
  <c r="I139" i="5" s="1"/>
  <c r="H147" i="5"/>
  <c r="I147" i="5" s="1"/>
  <c r="H4" i="5"/>
  <c r="I4" i="5" s="1"/>
  <c r="L4" i="5" s="1"/>
  <c r="H12" i="5"/>
  <c r="I12" i="5" s="1"/>
  <c r="L12" i="5" s="1"/>
  <c r="H20" i="5"/>
  <c r="I20" i="5" s="1"/>
  <c r="L20" i="5" s="1"/>
  <c r="H28" i="5"/>
  <c r="I28" i="5" s="1"/>
  <c r="H36" i="5"/>
  <c r="I36" i="5" s="1"/>
  <c r="H44" i="5"/>
  <c r="I44" i="5" s="1"/>
  <c r="H52" i="5"/>
  <c r="I52" i="5" s="1"/>
  <c r="H60" i="5"/>
  <c r="I60" i="5" s="1"/>
  <c r="L60" i="5" s="1"/>
  <c r="H68" i="5"/>
  <c r="I68" i="5" s="1"/>
  <c r="L68" i="5" s="1"/>
  <c r="H76" i="5"/>
  <c r="I76" i="5" s="1"/>
  <c r="L76" i="5" s="1"/>
  <c r="H84" i="5"/>
  <c r="I84" i="5" s="1"/>
  <c r="L84" i="5" s="1"/>
  <c r="H92" i="5"/>
  <c r="I92" i="5" s="1"/>
  <c r="H100" i="5"/>
  <c r="I100" i="5" s="1"/>
  <c r="H108" i="5"/>
  <c r="I108" i="5" s="1"/>
  <c r="H116" i="5"/>
  <c r="I116" i="5" s="1"/>
  <c r="H124" i="5"/>
  <c r="I124" i="5" s="1"/>
  <c r="H132" i="5"/>
  <c r="I132" i="5" s="1"/>
  <c r="L132" i="5" s="1"/>
  <c r="H140" i="5"/>
  <c r="I140" i="5" s="1"/>
  <c r="H148" i="5"/>
  <c r="I148" i="5" s="1"/>
  <c r="H5" i="5"/>
  <c r="I5" i="5" s="1"/>
  <c r="L5" i="5" s="1"/>
  <c r="H13" i="5"/>
  <c r="I13" i="5" s="1"/>
  <c r="L13" i="5" s="1"/>
  <c r="H21" i="5"/>
  <c r="I21" i="5" s="1"/>
  <c r="H29" i="5"/>
  <c r="I29" i="5" s="1"/>
  <c r="L29" i="5" s="1"/>
  <c r="H37" i="5"/>
  <c r="I37" i="5" s="1"/>
  <c r="L37" i="5" s="1"/>
  <c r="H45" i="5"/>
  <c r="I45" i="5" s="1"/>
  <c r="L45" i="5" s="1"/>
  <c r="H53" i="5"/>
  <c r="I53" i="5" s="1"/>
  <c r="L53" i="5" s="1"/>
  <c r="H61" i="5"/>
  <c r="I61" i="5" s="1"/>
  <c r="H69" i="5"/>
  <c r="I69" i="5" s="1"/>
  <c r="L69" i="5" s="1"/>
  <c r="H77" i="5"/>
  <c r="I77" i="5" s="1"/>
  <c r="L77" i="5" s="1"/>
  <c r="H85" i="5"/>
  <c r="I85" i="5" s="1"/>
  <c r="L85" i="5" s="1"/>
  <c r="H93" i="5"/>
  <c r="I93" i="5" s="1"/>
  <c r="L93" i="5" s="1"/>
  <c r="H101" i="5"/>
  <c r="I101" i="5" s="1"/>
  <c r="L101" i="5" s="1"/>
  <c r="H109" i="5"/>
  <c r="I109" i="5" s="1"/>
  <c r="L109" i="5" s="1"/>
  <c r="H117" i="5"/>
  <c r="I117" i="5" s="1"/>
  <c r="L117" i="5" s="1"/>
  <c r="H125" i="5"/>
  <c r="I125" i="5" s="1"/>
  <c r="L125" i="5" s="1"/>
  <c r="H133" i="5"/>
  <c r="I133" i="5" s="1"/>
  <c r="L133" i="5" s="1"/>
  <c r="H141" i="5"/>
  <c r="I141" i="5" s="1"/>
  <c r="L141" i="5" s="1"/>
  <c r="H149" i="5"/>
  <c r="I149" i="5" s="1"/>
  <c r="L149" i="5" s="1"/>
  <c r="H6" i="5"/>
  <c r="I6" i="5" s="1"/>
  <c r="H14" i="5"/>
  <c r="I14" i="5" s="1"/>
  <c r="H22" i="5"/>
  <c r="I22" i="5" s="1"/>
  <c r="H30" i="5"/>
  <c r="I30" i="5" s="1"/>
  <c r="H38" i="5"/>
  <c r="I38" i="5" s="1"/>
  <c r="H46" i="5"/>
  <c r="I46" i="5" s="1"/>
  <c r="H54" i="5"/>
  <c r="I54" i="5" s="1"/>
  <c r="H62" i="5"/>
  <c r="I62" i="5" s="1"/>
  <c r="H70" i="5"/>
  <c r="I70" i="5" s="1"/>
  <c r="H78" i="5"/>
  <c r="I78" i="5" s="1"/>
  <c r="L78" i="5" s="1"/>
  <c r="H86" i="5"/>
  <c r="I86" i="5" s="1"/>
  <c r="L86" i="5" s="1"/>
  <c r="H94" i="5"/>
  <c r="I94" i="5" s="1"/>
  <c r="L94" i="5" s="1"/>
  <c r="H102" i="5"/>
  <c r="I102" i="5" s="1"/>
  <c r="L102" i="5" s="1"/>
  <c r="H110" i="5"/>
  <c r="I110" i="5" s="1"/>
  <c r="L110" i="5" s="1"/>
  <c r="H118" i="5"/>
  <c r="I118" i="5" s="1"/>
  <c r="L118" i="5" s="1"/>
  <c r="H126" i="5"/>
  <c r="I126" i="5" s="1"/>
  <c r="L126" i="5" s="1"/>
  <c r="H134" i="5"/>
  <c r="I134" i="5" s="1"/>
  <c r="K134" i="5" s="1"/>
  <c r="H142" i="5"/>
  <c r="I142" i="5" s="1"/>
  <c r="L142" i="5" s="1"/>
  <c r="H150" i="5"/>
  <c r="I150" i="5" s="1"/>
  <c r="L150" i="5" s="1"/>
  <c r="Q2" i="5" l="1"/>
  <c r="K6" i="10" s="1"/>
  <c r="L47" i="5"/>
  <c r="M47" i="5" s="1" a="1"/>
  <c r="M47" i="5" s="1"/>
  <c r="L79" i="5"/>
  <c r="M79" i="5" s="1" a="1"/>
  <c r="M79" i="5" s="1"/>
  <c r="L55" i="5"/>
  <c r="M55" i="5" s="1" a="1"/>
  <c r="M55" i="5" s="1"/>
  <c r="K111" i="5"/>
  <c r="M111" i="5" s="1" a="1"/>
  <c r="M111" i="5" s="1"/>
  <c r="K24" i="5"/>
  <c r="M24" i="5" s="1" a="1"/>
  <c r="M24" i="5" s="1"/>
  <c r="K96" i="5"/>
  <c r="M96" i="5" s="1" a="1"/>
  <c r="M96" i="5" s="1"/>
  <c r="K13" i="5"/>
  <c r="M13" i="5" s="1" a="1"/>
  <c r="M13" i="5" s="1"/>
  <c r="K143" i="5"/>
  <c r="M143" i="5" s="1" a="1"/>
  <c r="M143" i="5" s="1"/>
  <c r="K77" i="5"/>
  <c r="M77" i="5" s="1" a="1"/>
  <c r="M77" i="5" s="1"/>
  <c r="K141" i="5"/>
  <c r="M141" i="5" s="1" a="1"/>
  <c r="M141" i="5" s="1"/>
  <c r="K88" i="5"/>
  <c r="M88" i="5" s="1" a="1"/>
  <c r="M88" i="5" s="1"/>
  <c r="L136" i="5"/>
  <c r="K136" i="5"/>
  <c r="L95" i="5"/>
  <c r="K95" i="5"/>
  <c r="K64" i="5"/>
  <c r="L64" i="5"/>
  <c r="K87" i="5"/>
  <c r="L87" i="5"/>
  <c r="K16" i="5"/>
  <c r="M16" i="5" s="1" a="1"/>
  <c r="M16" i="5" s="1"/>
  <c r="L40" i="5"/>
  <c r="M40" i="5" s="1" a="1"/>
  <c r="M40" i="5" s="1"/>
  <c r="K5" i="5"/>
  <c r="M5" i="5" s="1" a="1"/>
  <c r="M5" i="5" s="1"/>
  <c r="L134" i="5"/>
  <c r="M134" i="5" s="1" a="1"/>
  <c r="M134" i="5" s="1"/>
  <c r="K78" i="5"/>
  <c r="M78" i="5" s="1" a="1"/>
  <c r="M78" i="5" s="1"/>
  <c r="K45" i="5"/>
  <c r="M45" i="5" s="1" a="1"/>
  <c r="M45" i="5" s="1"/>
  <c r="L97" i="5"/>
  <c r="M97" i="5" s="1" a="1"/>
  <c r="M97" i="5" s="1"/>
  <c r="L151" i="5"/>
  <c r="M151" i="5" s="1" a="1"/>
  <c r="M151" i="5" s="1"/>
  <c r="L33" i="5"/>
  <c r="M33" i="5" s="1" a="1"/>
  <c r="M33" i="5" s="1"/>
  <c r="K69" i="5"/>
  <c r="M69" i="5" s="1" a="1"/>
  <c r="M69" i="5" s="1"/>
  <c r="K142" i="5"/>
  <c r="M142" i="5" s="1" a="1"/>
  <c r="M142" i="5" s="1"/>
  <c r="L65" i="5"/>
  <c r="M65" i="5" s="1" a="1"/>
  <c r="M65" i="5" s="1"/>
  <c r="L39" i="5"/>
  <c r="M39" i="5" s="1" a="1"/>
  <c r="M39" i="5" s="1"/>
  <c r="K80" i="5"/>
  <c r="M80" i="5" s="1" a="1"/>
  <c r="M80" i="5" s="1"/>
  <c r="K101" i="5"/>
  <c r="M101" i="5" s="1" a="1"/>
  <c r="M101" i="5" s="1"/>
  <c r="L105" i="5"/>
  <c r="M105" i="5" s="1" a="1"/>
  <c r="M105" i="5" s="1"/>
  <c r="L119" i="5"/>
  <c r="M119" i="5" s="1" a="1"/>
  <c r="M119" i="5" s="1"/>
  <c r="L56" i="5"/>
  <c r="M56" i="5" s="1" a="1"/>
  <c r="M56" i="5" s="1"/>
  <c r="K109" i="5"/>
  <c r="M109" i="5" s="1" a="1"/>
  <c r="M109" i="5" s="1"/>
  <c r="K20" i="5"/>
  <c r="M20" i="5" s="1" a="1"/>
  <c r="M20" i="5" s="1"/>
  <c r="K133" i="5"/>
  <c r="M133" i="5" s="1" a="1"/>
  <c r="M133" i="5" s="1"/>
  <c r="K60" i="5"/>
  <c r="M60" i="5" s="1" a="1"/>
  <c r="M60" i="5" s="1"/>
  <c r="L17" i="5"/>
  <c r="K17" i="5"/>
  <c r="L42" i="5"/>
  <c r="K42" i="5"/>
  <c r="K144" i="5"/>
  <c r="L144" i="5"/>
  <c r="K103" i="5"/>
  <c r="L103" i="5"/>
  <c r="L57" i="5"/>
  <c r="K57" i="5"/>
  <c r="K8" i="5"/>
  <c r="L8" i="5"/>
  <c r="L21" i="5"/>
  <c r="K21" i="5"/>
  <c r="L139" i="5"/>
  <c r="K139" i="5"/>
  <c r="K75" i="5"/>
  <c r="L75" i="5"/>
  <c r="L113" i="5"/>
  <c r="K113" i="5"/>
  <c r="L61" i="5"/>
  <c r="K61" i="5"/>
  <c r="K107" i="5"/>
  <c r="L107" i="5"/>
  <c r="K112" i="5"/>
  <c r="L112" i="5"/>
  <c r="L48" i="5"/>
  <c r="K48" i="5"/>
  <c r="L135" i="5"/>
  <c r="K135" i="5"/>
  <c r="K71" i="5"/>
  <c r="L71" i="5"/>
  <c r="K7" i="5"/>
  <c r="L7" i="5"/>
  <c r="L100" i="5"/>
  <c r="K100" i="5"/>
  <c r="K130" i="5"/>
  <c r="L130" i="5"/>
  <c r="K37" i="5"/>
  <c r="M37" i="5" s="1" a="1"/>
  <c r="M37" i="5" s="1"/>
  <c r="L108" i="5"/>
  <c r="K108" i="5"/>
  <c r="L38" i="5"/>
  <c r="K38" i="5"/>
  <c r="K148" i="5"/>
  <c r="L148" i="5"/>
  <c r="K131" i="5"/>
  <c r="L131" i="5"/>
  <c r="L67" i="5"/>
  <c r="K67" i="5"/>
  <c r="L3" i="5"/>
  <c r="K3" i="5"/>
  <c r="K114" i="5"/>
  <c r="L114" i="5"/>
  <c r="K50" i="5"/>
  <c r="L50" i="5"/>
  <c r="K127" i="5"/>
  <c r="M127" i="5" s="1" a="1"/>
  <c r="M127" i="5" s="1"/>
  <c r="L31" i="5"/>
  <c r="M31" i="5" s="1" a="1"/>
  <c r="M31" i="5" s="1"/>
  <c r="K89" i="5"/>
  <c r="M89" i="5" s="1" a="1"/>
  <c r="M89" i="5" s="1"/>
  <c r="K53" i="5"/>
  <c r="M53" i="5" s="1" a="1"/>
  <c r="M53" i="5" s="1"/>
  <c r="K117" i="5"/>
  <c r="M117" i="5" s="1" a="1"/>
  <c r="M117" i="5" s="1"/>
  <c r="K86" i="5"/>
  <c r="M86" i="5" s="1" a="1"/>
  <c r="M86" i="5" s="1"/>
  <c r="K150" i="5"/>
  <c r="M150" i="5" s="1" a="1"/>
  <c r="M150" i="5" s="1"/>
  <c r="L41" i="5"/>
  <c r="M41" i="5" s="1" a="1"/>
  <c r="M41" i="5" s="1"/>
  <c r="K68" i="5"/>
  <c r="M68" i="5" s="1" a="1"/>
  <c r="M68" i="5" s="1"/>
  <c r="K116" i="5"/>
  <c r="L116" i="5"/>
  <c r="L30" i="5"/>
  <c r="K30" i="5"/>
  <c r="K123" i="5"/>
  <c r="L123" i="5"/>
  <c r="L59" i="5"/>
  <c r="K59" i="5"/>
  <c r="K106" i="5"/>
  <c r="L106" i="5"/>
  <c r="K120" i="5"/>
  <c r="M120" i="5" s="1" a="1"/>
  <c r="M120" i="5" s="1"/>
  <c r="L129" i="5"/>
  <c r="M129" i="5" s="1" a="1"/>
  <c r="M129" i="5" s="1"/>
  <c r="L9" i="5"/>
  <c r="M9" i="5" s="1" a="1"/>
  <c r="M9" i="5" s="1"/>
  <c r="L32" i="5"/>
  <c r="M32" i="5" s="1" a="1"/>
  <c r="M32" i="5" s="1"/>
  <c r="K121" i="5"/>
  <c r="M121" i="5" s="1" a="1"/>
  <c r="M121" i="5" s="1"/>
  <c r="K125" i="5"/>
  <c r="M125" i="5" s="1" a="1"/>
  <c r="M125" i="5" s="1"/>
  <c r="K94" i="5"/>
  <c r="M94" i="5" s="1" a="1"/>
  <c r="M94" i="5" s="1"/>
  <c r="L73" i="5"/>
  <c r="M73" i="5" s="1" a="1"/>
  <c r="M73" i="5" s="1"/>
  <c r="K76" i="5"/>
  <c r="M76" i="5" s="1" a="1"/>
  <c r="M76" i="5" s="1"/>
  <c r="K70" i="5"/>
  <c r="L70" i="5"/>
  <c r="K19" i="5"/>
  <c r="L19" i="5"/>
  <c r="L28" i="5"/>
  <c r="K28" i="5"/>
  <c r="K122" i="5"/>
  <c r="L122" i="5"/>
  <c r="K98" i="5"/>
  <c r="L98" i="5"/>
  <c r="K63" i="5"/>
  <c r="M63" i="5" s="1" a="1"/>
  <c r="M63" i="5" s="1"/>
  <c r="K110" i="5"/>
  <c r="M110" i="5" s="1" a="1"/>
  <c r="M110" i="5" s="1"/>
  <c r="K132" i="5"/>
  <c r="M132" i="5" s="1" a="1"/>
  <c r="M132" i="5" s="1"/>
  <c r="K44" i="5"/>
  <c r="L44" i="5"/>
  <c r="L36" i="5"/>
  <c r="K36" i="5"/>
  <c r="L83" i="5"/>
  <c r="K83" i="5"/>
  <c r="L66" i="5"/>
  <c r="K66" i="5"/>
  <c r="L25" i="5"/>
  <c r="M25" i="5" s="1" a="1"/>
  <c r="M25" i="5" s="1"/>
  <c r="K58" i="5"/>
  <c r="L58" i="5"/>
  <c r="K115" i="5"/>
  <c r="L115" i="5"/>
  <c r="K22" i="5"/>
  <c r="L22" i="5"/>
  <c r="K34" i="5"/>
  <c r="L34" i="5"/>
  <c r="K84" i="5"/>
  <c r="M84" i="5" s="1" a="1"/>
  <c r="M84" i="5" s="1"/>
  <c r="L14" i="5"/>
  <c r="K14" i="5"/>
  <c r="L26" i="5"/>
  <c r="K26" i="5"/>
  <c r="K81" i="5"/>
  <c r="M81" i="5" s="1" a="1"/>
  <c r="M81" i="5" s="1"/>
  <c r="L72" i="5"/>
  <c r="M72" i="5" s="1" a="1"/>
  <c r="M72" i="5" s="1"/>
  <c r="L137" i="5"/>
  <c r="M137" i="5" s="1" a="1"/>
  <c r="M137" i="5" s="1"/>
  <c r="K6" i="5"/>
  <c r="L6" i="5"/>
  <c r="L52" i="5"/>
  <c r="K52" i="5"/>
  <c r="K99" i="5"/>
  <c r="L99" i="5"/>
  <c r="K35" i="5"/>
  <c r="L35" i="5"/>
  <c r="L146" i="5"/>
  <c r="K146" i="5"/>
  <c r="K82" i="5"/>
  <c r="L82" i="5"/>
  <c r="K18" i="5"/>
  <c r="L18" i="5"/>
  <c r="K23" i="5"/>
  <c r="M23" i="5" s="1" a="1"/>
  <c r="M23" i="5" s="1"/>
  <c r="K15" i="5"/>
  <c r="M15" i="5" s="1" a="1"/>
  <c r="M15" i="5" s="1"/>
  <c r="K128" i="5"/>
  <c r="M128" i="5" s="1" a="1"/>
  <c r="M128" i="5" s="1"/>
  <c r="K85" i="5"/>
  <c r="M85" i="5" s="1" a="1"/>
  <c r="M85" i="5" s="1"/>
  <c r="K149" i="5"/>
  <c r="M149" i="5" s="1" a="1"/>
  <c r="M149" i="5" s="1"/>
  <c r="K118" i="5"/>
  <c r="M118" i="5" s="1" a="1"/>
  <c r="M118" i="5" s="1"/>
  <c r="K4" i="5"/>
  <c r="M4" i="5" s="1" a="1"/>
  <c r="M4" i="5" s="1"/>
  <c r="L11" i="5"/>
  <c r="K11" i="5"/>
  <c r="K54" i="5"/>
  <c r="L54" i="5"/>
  <c r="L147" i="5"/>
  <c r="K147" i="5"/>
  <c r="K2" i="5"/>
  <c r="L2" i="5"/>
  <c r="K43" i="5"/>
  <c r="L43" i="5"/>
  <c r="K46" i="5"/>
  <c r="L46" i="5"/>
  <c r="K92" i="5"/>
  <c r="L92" i="5"/>
  <c r="L140" i="5"/>
  <c r="K140" i="5"/>
  <c r="L51" i="5"/>
  <c r="K51" i="5"/>
  <c r="K49" i="5"/>
  <c r="M49" i="5" s="1" a="1"/>
  <c r="M49" i="5" s="1"/>
  <c r="K102" i="5"/>
  <c r="M102" i="5" s="1" a="1"/>
  <c r="M102" i="5" s="1"/>
  <c r="L124" i="5"/>
  <c r="K124" i="5"/>
  <c r="L90" i="5"/>
  <c r="K90" i="5"/>
  <c r="L62" i="5"/>
  <c r="K62" i="5"/>
  <c r="K91" i="5"/>
  <c r="L91" i="5"/>
  <c r="L27" i="5"/>
  <c r="K27" i="5"/>
  <c r="K138" i="5"/>
  <c r="L138" i="5"/>
  <c r="K74" i="5"/>
  <c r="L74" i="5"/>
  <c r="K10" i="5"/>
  <c r="L10" i="5"/>
  <c r="K145" i="5"/>
  <c r="M145" i="5" s="1" a="1"/>
  <c r="M145" i="5" s="1"/>
  <c r="K29" i="5"/>
  <c r="M29" i="5" s="1" a="1"/>
  <c r="M29" i="5" s="1"/>
  <c r="K93" i="5"/>
  <c r="M93" i="5" s="1" a="1"/>
  <c r="M93" i="5" s="1"/>
  <c r="K104" i="5"/>
  <c r="M104" i="5" s="1" a="1"/>
  <c r="M104" i="5" s="1"/>
  <c r="K126" i="5"/>
  <c r="M126" i="5" s="1" a="1"/>
  <c r="M126" i="5" s="1"/>
  <c r="K12" i="5"/>
  <c r="M12" i="5" s="1" a="1"/>
  <c r="M12" i="5" s="1"/>
  <c r="M146" i="5" l="1" a="1"/>
  <c r="M146" i="5" s="1"/>
  <c r="M3" i="5" a="1"/>
  <c r="M3" i="5" s="1"/>
  <c r="M38" i="5" a="1"/>
  <c r="M38" i="5" s="1"/>
  <c r="M90" i="5" a="1"/>
  <c r="M90" i="5" s="1"/>
  <c r="M140" i="5" a="1"/>
  <c r="M140" i="5" s="1"/>
  <c r="M26" i="5" a="1"/>
  <c r="M26" i="5" s="1"/>
  <c r="M83" i="5" a="1"/>
  <c r="M83" i="5" s="1"/>
  <c r="M95" i="5" a="1"/>
  <c r="M95" i="5" s="1"/>
  <c r="M52" i="5" a="1"/>
  <c r="M52" i="5" s="1"/>
  <c r="M27" i="5" a="1"/>
  <c r="M27" i="5" s="1"/>
  <c r="M124" i="5" a="1"/>
  <c r="M124" i="5" s="1"/>
  <c r="M147" i="5" a="1"/>
  <c r="M147" i="5" s="1"/>
  <c r="M14" i="5" a="1"/>
  <c r="M14" i="5" s="1"/>
  <c r="M36" i="5" a="1"/>
  <c r="M36" i="5" s="1"/>
  <c r="M30" i="5" a="1"/>
  <c r="M30" i="5" s="1"/>
  <c r="M100" i="5" a="1"/>
  <c r="M100" i="5" s="1"/>
  <c r="M48" i="5" a="1"/>
  <c r="M48" i="5" s="1"/>
  <c r="M113" i="5" a="1"/>
  <c r="M113" i="5" s="1"/>
  <c r="M42" i="5" a="1"/>
  <c r="M42" i="5" s="1"/>
  <c r="M136" i="5" a="1"/>
  <c r="M136" i="5" s="1"/>
  <c r="M91" i="5" a="1"/>
  <c r="M91" i="5" s="1"/>
  <c r="M54" i="5" a="1"/>
  <c r="M54" i="5" s="1"/>
  <c r="M22" i="5" a="1"/>
  <c r="M22" i="5" s="1"/>
  <c r="M10" i="5" a="1"/>
  <c r="M10" i="5" s="1"/>
  <c r="M46" i="5" a="1"/>
  <c r="M46" i="5" s="1"/>
  <c r="M62" i="5" a="1"/>
  <c r="M62" i="5" s="1"/>
  <c r="M51" i="5" a="1"/>
  <c r="M51" i="5" s="1"/>
  <c r="M11" i="5" a="1"/>
  <c r="M11" i="5" s="1"/>
  <c r="M35" i="5" a="1"/>
  <c r="M35" i="5" s="1"/>
  <c r="M34" i="5" a="1"/>
  <c r="M34" i="5" s="1"/>
  <c r="M66" i="5" a="1"/>
  <c r="M66" i="5" s="1"/>
  <c r="M59" i="5" a="1"/>
  <c r="M59" i="5" s="1"/>
  <c r="M139" i="5" a="1"/>
  <c r="M139" i="5" s="1"/>
  <c r="M123" i="5" a="1"/>
  <c r="M123" i="5" s="1"/>
  <c r="M130" i="5" a="1"/>
  <c r="M130" i="5" s="1"/>
  <c r="M144" i="5" a="1"/>
  <c r="M144" i="5" s="1"/>
  <c r="M44" i="5" a="1"/>
  <c r="M44" i="5" s="1"/>
  <c r="M106" i="5" a="1"/>
  <c r="M106" i="5" s="1"/>
  <c r="M116" i="5" a="1"/>
  <c r="M116" i="5" s="1"/>
  <c r="M7" i="5" a="1"/>
  <c r="M7" i="5" s="1"/>
  <c r="M112" i="5" a="1"/>
  <c r="M112" i="5" s="1"/>
  <c r="M75" i="5" a="1"/>
  <c r="M75" i="5" s="1"/>
  <c r="M87" i="5" a="1"/>
  <c r="M87" i="5" s="1"/>
  <c r="M74" i="5" a="1"/>
  <c r="M74" i="5" s="1"/>
  <c r="M28" i="5" a="1"/>
  <c r="M28" i="5" s="1"/>
  <c r="M67" i="5" a="1"/>
  <c r="M67" i="5" s="1"/>
  <c r="M108" i="5" a="1"/>
  <c r="M108" i="5" s="1"/>
  <c r="M43" i="5" a="1"/>
  <c r="M43" i="5" s="1"/>
  <c r="M71" i="5" a="1"/>
  <c r="M71" i="5" s="1"/>
  <c r="M107" i="5" a="1"/>
  <c r="M107" i="5" s="1"/>
  <c r="M103" i="5" a="1"/>
  <c r="M103" i="5" s="1"/>
  <c r="M64" i="5" a="1"/>
  <c r="M64" i="5" s="1"/>
  <c r="M18" i="5" a="1"/>
  <c r="M18" i="5" s="1"/>
  <c r="M19" i="5" a="1"/>
  <c r="M19" i="5" s="1"/>
  <c r="M50" i="5" a="1"/>
  <c r="M50" i="5" s="1"/>
  <c r="M131" i="5" a="1"/>
  <c r="M131" i="5" s="1"/>
  <c r="M135" i="5" a="1"/>
  <c r="M135" i="5" s="1"/>
  <c r="M61" i="5" a="1"/>
  <c r="M61" i="5" s="1"/>
  <c r="M21" i="5" a="1"/>
  <c r="M21" i="5" s="1"/>
  <c r="M138" i="5" a="1"/>
  <c r="M138" i="5" s="1"/>
  <c r="M2" i="5" a="1"/>
  <c r="M2" i="5" s="1"/>
  <c r="M98" i="5" a="1"/>
  <c r="M98" i="5" s="1"/>
  <c r="M70" i="5" a="1"/>
  <c r="M70" i="5" s="1"/>
  <c r="M114" i="5" a="1"/>
  <c r="M114" i="5" s="1"/>
  <c r="M148" i="5" a="1"/>
  <c r="M148" i="5" s="1"/>
  <c r="M92" i="5" a="1"/>
  <c r="M92" i="5" s="1"/>
  <c r="M8" i="5" a="1"/>
  <c r="M8" i="5" s="1"/>
  <c r="M99" i="5" a="1"/>
  <c r="M99" i="5" s="1"/>
  <c r="M82" i="5" a="1"/>
  <c r="M82" i="5" s="1"/>
  <c r="M115" i="5" a="1"/>
  <c r="M115" i="5" s="1"/>
  <c r="M6" i="5" a="1"/>
  <c r="M6" i="5" s="1"/>
  <c r="M58" i="5" a="1"/>
  <c r="M58" i="5" s="1"/>
  <c r="M122" i="5" a="1"/>
  <c r="M122" i="5" s="1"/>
  <c r="M57" i="5" a="1"/>
  <c r="M57" i="5" s="1"/>
  <c r="M17" i="5" a="1"/>
  <c r="M17" i="5" s="1"/>
  <c r="E6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BEACA6-BC8A-4FBB-9275-FED4B3F203AA}" keepAlive="1" name="Query - DemandHistory" description="Connection to the 'DemandHistory' query in the workbook." type="5" refreshedVersion="8" background="1" saveData="1">
    <dbPr connection="Provider=Microsoft.Mashup.OleDb.1;Data Source=$Workbook$;Location=DemandHistory;Extended Properties=&quot;&quot;" command="SELECT * FROM [DemandHistory]"/>
  </connection>
  <connection id="2" xr16:uid="{C987323E-3FE5-476C-B62A-90BCE6DC5271}" keepAlive="1" name="Query - SKU_Master" description="Connection to the 'SKU_Master' query in the workbook." type="5" refreshedVersion="8" background="1" saveData="1">
    <dbPr connection="Provider=Microsoft.Mashup.OleDb.1;Data Source=$Workbook$;Location=SKU_Master;Extended Properties=&quot;&quot;" command="SELECT * FROM [SKU_Master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<sst xmlns="http://schemas.openxmlformats.org/spreadsheetml/2006/main" count="4765" uniqueCount="357">
  <si>
    <t>SKUID</t>
  </si>
  <si>
    <t>SKUName</t>
  </si>
  <si>
    <t>Category</t>
  </si>
  <si>
    <t>UnitCost</t>
  </si>
  <si>
    <t>OrderingCost</t>
  </si>
  <si>
    <t>HoldingCostPerUnitPerYear</t>
  </si>
  <si>
    <t>LeadTimeDaysAvg</t>
  </si>
  <si>
    <t>LeadTimeDaysStdDev</t>
  </si>
  <si>
    <t>CurrentStockLevel</t>
  </si>
  <si>
    <t>SKU0001</t>
  </si>
  <si>
    <t>Trimmers Model 1</t>
  </si>
  <si>
    <t>Trimmers</t>
  </si>
  <si>
    <t>SKU0002</t>
  </si>
  <si>
    <t>Chainsaws Model 2</t>
  </si>
  <si>
    <t>Chainsaws</t>
  </si>
  <si>
    <t>SKU0003</t>
  </si>
  <si>
    <t>Chains &amp; Bars Model 3</t>
  </si>
  <si>
    <t>Chains &amp; Bars</t>
  </si>
  <si>
    <t>SKU0004</t>
  </si>
  <si>
    <t>Blowers Model 4</t>
  </si>
  <si>
    <t>Blowers</t>
  </si>
  <si>
    <t>SKU0005</t>
  </si>
  <si>
    <t>Batteries Model 5</t>
  </si>
  <si>
    <t>Batteries</t>
  </si>
  <si>
    <t>SKU0006</t>
  </si>
  <si>
    <t>Mowers Model 6</t>
  </si>
  <si>
    <t>Mowers</t>
  </si>
  <si>
    <t>SKU0007</t>
  </si>
  <si>
    <t>Accessories Model 7</t>
  </si>
  <si>
    <t>Accessories</t>
  </si>
  <si>
    <t>SKU0008</t>
  </si>
  <si>
    <t>Mowers Model 8</t>
  </si>
  <si>
    <t>SKU0009</t>
  </si>
  <si>
    <t>Small Parts Model 9</t>
  </si>
  <si>
    <t>Small Parts</t>
  </si>
  <si>
    <t>SKU0010</t>
  </si>
  <si>
    <t>Chains &amp; Bars Model 10</t>
  </si>
  <si>
    <t>SKU0011</t>
  </si>
  <si>
    <t>Chains &amp; Bars Model 11</t>
  </si>
  <si>
    <t>SKU0012</t>
  </si>
  <si>
    <t>Trimmers Model 12</t>
  </si>
  <si>
    <t>SKU0013</t>
  </si>
  <si>
    <t>Accessories Model 13</t>
  </si>
  <si>
    <t>SKU0014</t>
  </si>
  <si>
    <t>Chains &amp; Bars Model 14</t>
  </si>
  <si>
    <t>SKU0015</t>
  </si>
  <si>
    <t>Trimmers Model 15</t>
  </si>
  <si>
    <t>SKU0016</t>
  </si>
  <si>
    <t>Chains &amp; Bars Model 16</t>
  </si>
  <si>
    <t>SKU0017</t>
  </si>
  <si>
    <t>Chainsaws Model 17</t>
  </si>
  <si>
    <t>SKU0018</t>
  </si>
  <si>
    <t>Trimmers Model 18</t>
  </si>
  <si>
    <t>SKU0019</t>
  </si>
  <si>
    <t>Small Parts Model 19</t>
  </si>
  <si>
    <t>SKU0020</t>
  </si>
  <si>
    <t>Chainsaws Model 20</t>
  </si>
  <si>
    <t>SKU0021</t>
  </si>
  <si>
    <t>Small Parts Model 21</t>
  </si>
  <si>
    <t>SKU0022</t>
  </si>
  <si>
    <t>Trimmers Model 22</t>
  </si>
  <si>
    <t>SKU0023</t>
  </si>
  <si>
    <t>Chainsaws Model 23</t>
  </si>
  <si>
    <t>SKU0024</t>
  </si>
  <si>
    <t>Chains &amp; Bars Model 24</t>
  </si>
  <si>
    <t>SKU0025</t>
  </si>
  <si>
    <t>Mowers Model 25</t>
  </si>
  <si>
    <t>SKU0026</t>
  </si>
  <si>
    <t>Blowers Model 26</t>
  </si>
  <si>
    <t>SKU0027</t>
  </si>
  <si>
    <t>Small Parts Model 27</t>
  </si>
  <si>
    <t>SKU0028</t>
  </si>
  <si>
    <t>Small Parts Model 28</t>
  </si>
  <si>
    <t>SKU0029</t>
  </si>
  <si>
    <t>Blowers Model 29</t>
  </si>
  <si>
    <t>SKU0030</t>
  </si>
  <si>
    <t>Small Parts Model 30</t>
  </si>
  <si>
    <t>SKU0031</t>
  </si>
  <si>
    <t>Blowers Model 31</t>
  </si>
  <si>
    <t>SKU0032</t>
  </si>
  <si>
    <t>Batteries Model 32</t>
  </si>
  <si>
    <t>SKU0033</t>
  </si>
  <si>
    <t>Chainsaws Model 33</t>
  </si>
  <si>
    <t>SKU0034</t>
  </si>
  <si>
    <t>Accessories Model 34</t>
  </si>
  <si>
    <t>SKU0035</t>
  </si>
  <si>
    <t>Trimmers Model 35</t>
  </si>
  <si>
    <t>SKU0036</t>
  </si>
  <si>
    <t>Chainsaws Model 36</t>
  </si>
  <si>
    <t>SKU0037</t>
  </si>
  <si>
    <t>Mowers Model 37</t>
  </si>
  <si>
    <t>SKU0038</t>
  </si>
  <si>
    <t>Mowers Model 38</t>
  </si>
  <si>
    <t>SKU0039</t>
  </si>
  <si>
    <t>Chainsaws Model 39</t>
  </si>
  <si>
    <t>SKU0040</t>
  </si>
  <si>
    <t>Chainsaws Model 40</t>
  </si>
  <si>
    <t>SKU0041</t>
  </si>
  <si>
    <t>Blowers Model 41</t>
  </si>
  <si>
    <t>SKU0042</t>
  </si>
  <si>
    <t>Trimmers Model 42</t>
  </si>
  <si>
    <t>SKU0043</t>
  </si>
  <si>
    <t>Accessories Model 43</t>
  </si>
  <si>
    <t>SKU0044</t>
  </si>
  <si>
    <t>Blowers Model 44</t>
  </si>
  <si>
    <t>SKU0045</t>
  </si>
  <si>
    <t>Blowers Model 45</t>
  </si>
  <si>
    <t>SKU0046</t>
  </si>
  <si>
    <t>Small Parts Model 46</t>
  </si>
  <si>
    <t>SKU0047</t>
  </si>
  <si>
    <t>Batteries Model 47</t>
  </si>
  <si>
    <t>SKU0048</t>
  </si>
  <si>
    <t>Batteries Model 48</t>
  </si>
  <si>
    <t>SKU0049</t>
  </si>
  <si>
    <t>Accessories Model 49</t>
  </si>
  <si>
    <t>SKU0050</t>
  </si>
  <si>
    <t>Trimmers Model 50</t>
  </si>
  <si>
    <t>SKU0051</t>
  </si>
  <si>
    <t>Chainsaws Model 51</t>
  </si>
  <si>
    <t>SKU0052</t>
  </si>
  <si>
    <t>Chains &amp; Bars Model 52</t>
  </si>
  <si>
    <t>SKU0053</t>
  </si>
  <si>
    <t>Chains &amp; Bars Model 53</t>
  </si>
  <si>
    <t>SKU0054</t>
  </si>
  <si>
    <t>Trimmers Model 54</t>
  </si>
  <si>
    <t>SKU0055</t>
  </si>
  <si>
    <t>Accessories Model 55</t>
  </si>
  <si>
    <t>SKU0056</t>
  </si>
  <si>
    <t>Blowers Model 56</t>
  </si>
  <si>
    <t>SKU0057</t>
  </si>
  <si>
    <t>Chains &amp; Bars Model 57</t>
  </si>
  <si>
    <t>SKU0058</t>
  </si>
  <si>
    <t>Chainsaws Model 58</t>
  </si>
  <si>
    <t>SKU0059</t>
  </si>
  <si>
    <t>Accessories Model 59</t>
  </si>
  <si>
    <t>SKU0060</t>
  </si>
  <si>
    <t>Batteries Model 60</t>
  </si>
  <si>
    <t>SKU0061</t>
  </si>
  <si>
    <t>Mowers Model 61</t>
  </si>
  <si>
    <t>SKU0062</t>
  </si>
  <si>
    <t>Chains &amp; Bars Model 62</t>
  </si>
  <si>
    <t>SKU0063</t>
  </si>
  <si>
    <t>Blowers Model 63</t>
  </si>
  <si>
    <t>SKU0064</t>
  </si>
  <si>
    <t>Small Parts Model 64</t>
  </si>
  <si>
    <t>SKU0065</t>
  </si>
  <si>
    <t>Chains &amp; Bars Model 65</t>
  </si>
  <si>
    <t>SKU0066</t>
  </si>
  <si>
    <t>Blowers Model 66</t>
  </si>
  <si>
    <t>SKU0067</t>
  </si>
  <si>
    <t>Chainsaws Model 67</t>
  </si>
  <si>
    <t>SKU0068</t>
  </si>
  <si>
    <t>Mowers Model 68</t>
  </si>
  <si>
    <t>SKU0069</t>
  </si>
  <si>
    <t>Accessories Model 69</t>
  </si>
  <si>
    <t>SKU0070</t>
  </si>
  <si>
    <t>Batteries Model 70</t>
  </si>
  <si>
    <t>SKU0071</t>
  </si>
  <si>
    <t>Blowers Model 71</t>
  </si>
  <si>
    <t>SKU0072</t>
  </si>
  <si>
    <t>Chainsaws Model 72</t>
  </si>
  <si>
    <t>SKU0073</t>
  </si>
  <si>
    <t>Trimmers Model 73</t>
  </si>
  <si>
    <t>SKU0074</t>
  </si>
  <si>
    <t>Chains &amp; Bars Model 74</t>
  </si>
  <si>
    <t>SKU0075</t>
  </si>
  <si>
    <t>Accessories Model 75</t>
  </si>
  <si>
    <t>SKU0076</t>
  </si>
  <si>
    <t>Blowers Model 76</t>
  </si>
  <si>
    <t>SKU0077</t>
  </si>
  <si>
    <t>Chainsaws Model 77</t>
  </si>
  <si>
    <t>SKU0078</t>
  </si>
  <si>
    <t>Accessories Model 78</t>
  </si>
  <si>
    <t>SKU0079</t>
  </si>
  <si>
    <t>Blowers Model 79</t>
  </si>
  <si>
    <t>SKU0080</t>
  </si>
  <si>
    <t>Accessories Model 80</t>
  </si>
  <si>
    <t>SKU0081</t>
  </si>
  <si>
    <t>Mowers Model 81</t>
  </si>
  <si>
    <t>SKU0082</t>
  </si>
  <si>
    <t>Small Parts Model 82</t>
  </si>
  <si>
    <t>SKU0083</t>
  </si>
  <si>
    <t>Accessories Model 83</t>
  </si>
  <si>
    <t>SKU0084</t>
  </si>
  <si>
    <t>Trimmers Model 84</t>
  </si>
  <si>
    <t>SKU0085</t>
  </si>
  <si>
    <t>Blowers Model 85</t>
  </si>
  <si>
    <t>SKU0086</t>
  </si>
  <si>
    <t>Trimmers Model 86</t>
  </si>
  <si>
    <t>SKU0087</t>
  </si>
  <si>
    <t>Chains &amp; Bars Model 87</t>
  </si>
  <si>
    <t>SKU0088</t>
  </si>
  <si>
    <t>Small Parts Model 88</t>
  </si>
  <si>
    <t>SKU0089</t>
  </si>
  <si>
    <t>Blowers Model 89</t>
  </si>
  <si>
    <t>SKU0090</t>
  </si>
  <si>
    <t>Chains &amp; Bars Model 90</t>
  </si>
  <si>
    <t>SKU0091</t>
  </si>
  <si>
    <t>Chains &amp; Bars Model 91</t>
  </si>
  <si>
    <t>SKU0092</t>
  </si>
  <si>
    <t>Chains &amp; Bars Model 92</t>
  </si>
  <si>
    <t>SKU0093</t>
  </si>
  <si>
    <t>Accessories Model 93</t>
  </si>
  <si>
    <t>SKU0094</t>
  </si>
  <si>
    <t>Blowers Model 94</t>
  </si>
  <si>
    <t>SKU0095</t>
  </si>
  <si>
    <t>Blowers Model 95</t>
  </si>
  <si>
    <t>SKU0096</t>
  </si>
  <si>
    <t>Batteries Model 96</t>
  </si>
  <si>
    <t>SKU0097</t>
  </si>
  <si>
    <t>Blowers Model 97</t>
  </si>
  <si>
    <t>SKU0098</t>
  </si>
  <si>
    <t>Chainsaws Model 98</t>
  </si>
  <si>
    <t>SKU0099</t>
  </si>
  <si>
    <t>Chainsaws Model 99</t>
  </si>
  <si>
    <t>SKU0100</t>
  </si>
  <si>
    <t>Trimmers Model 100</t>
  </si>
  <si>
    <t>SKU0101</t>
  </si>
  <si>
    <t>Accessories Model 101</t>
  </si>
  <si>
    <t>SKU0102</t>
  </si>
  <si>
    <t>Chainsaws Model 102</t>
  </si>
  <si>
    <t>SKU0103</t>
  </si>
  <si>
    <t>Trimmers Model 103</t>
  </si>
  <si>
    <t>SKU0104</t>
  </si>
  <si>
    <t>Chainsaws Model 104</t>
  </si>
  <si>
    <t>SKU0105</t>
  </si>
  <si>
    <t>Blowers Model 105</t>
  </si>
  <si>
    <t>SKU0106</t>
  </si>
  <si>
    <t>Chainsaws Model 106</t>
  </si>
  <si>
    <t>SKU0107</t>
  </si>
  <si>
    <t>Batteries Model 107</t>
  </si>
  <si>
    <t>SKU0108</t>
  </si>
  <si>
    <t>Batteries Model 108</t>
  </si>
  <si>
    <t>SKU0109</t>
  </si>
  <si>
    <t>Blowers Model 109</t>
  </si>
  <si>
    <t>SKU0110</t>
  </si>
  <si>
    <t>Chains &amp; Bars Model 110</t>
  </si>
  <si>
    <t>SKU0111</t>
  </si>
  <si>
    <t>Chainsaws Model 111</t>
  </si>
  <si>
    <t>SKU0112</t>
  </si>
  <si>
    <t>Mowers Model 112</t>
  </si>
  <si>
    <t>SKU0113</t>
  </si>
  <si>
    <t>Trimmers Model 113</t>
  </si>
  <si>
    <t>SKU0114</t>
  </si>
  <si>
    <t>Accessories Model 114</t>
  </si>
  <si>
    <t>SKU0115</t>
  </si>
  <si>
    <t>Mowers Model 115</t>
  </si>
  <si>
    <t>SKU0116</t>
  </si>
  <si>
    <t>Blowers Model 116</t>
  </si>
  <si>
    <t>SKU0117</t>
  </si>
  <si>
    <t>Accessories Model 117</t>
  </si>
  <si>
    <t>SKU0118</t>
  </si>
  <si>
    <t>Accessories Model 118</t>
  </si>
  <si>
    <t>SKU0119</t>
  </si>
  <si>
    <t>Accessories Model 119</t>
  </si>
  <si>
    <t>SKU0120</t>
  </si>
  <si>
    <t>Small Parts Model 120</t>
  </si>
  <si>
    <t>SKU0121</t>
  </si>
  <si>
    <t>Small Parts Model 121</t>
  </si>
  <si>
    <t>SKU0122</t>
  </si>
  <si>
    <t>Trimmers Model 122</t>
  </si>
  <si>
    <t>SKU0123</t>
  </si>
  <si>
    <t>Batteries Model 123</t>
  </si>
  <si>
    <t>SKU0124</t>
  </si>
  <si>
    <t>Chains &amp; Bars Model 124</t>
  </si>
  <si>
    <t>SKU0125</t>
  </si>
  <si>
    <t>Small Parts Model 125</t>
  </si>
  <si>
    <t>SKU0126</t>
  </si>
  <si>
    <t>Batteries Model 126</t>
  </si>
  <si>
    <t>SKU0127</t>
  </si>
  <si>
    <t>Trimmers Model 127</t>
  </si>
  <si>
    <t>SKU0128</t>
  </si>
  <si>
    <t>Accessories Model 128</t>
  </si>
  <si>
    <t>SKU0129</t>
  </si>
  <si>
    <t>Trimmers Model 129</t>
  </si>
  <si>
    <t>SKU0130</t>
  </si>
  <si>
    <t>Chains &amp; Bars Model 130</t>
  </si>
  <si>
    <t>SKU0131</t>
  </si>
  <si>
    <t>Small Parts Model 131</t>
  </si>
  <si>
    <t>SKU0132</t>
  </si>
  <si>
    <t>Accessories Model 132</t>
  </si>
  <si>
    <t>SKU0133</t>
  </si>
  <si>
    <t>Small Parts Model 133</t>
  </si>
  <si>
    <t>SKU0134</t>
  </si>
  <si>
    <t>Blowers Model 134</t>
  </si>
  <si>
    <t>SKU0135</t>
  </si>
  <si>
    <t>Chainsaws Model 135</t>
  </si>
  <si>
    <t>SKU0136</t>
  </si>
  <si>
    <t>Mowers Model 136</t>
  </si>
  <si>
    <t>SKU0137</t>
  </si>
  <si>
    <t>Small Parts Model 137</t>
  </si>
  <si>
    <t>SKU0138</t>
  </si>
  <si>
    <t>Accessories Model 138</t>
  </si>
  <si>
    <t>SKU0139</t>
  </si>
  <si>
    <t>Trimmers Model 139</t>
  </si>
  <si>
    <t>SKU0140</t>
  </si>
  <si>
    <t>Chainsaws Model 140</t>
  </si>
  <si>
    <t>SKU0141</t>
  </si>
  <si>
    <t>Small Parts Model 141</t>
  </si>
  <si>
    <t>SKU0142</t>
  </si>
  <si>
    <t>Batteries Model 142</t>
  </si>
  <si>
    <t>SKU0143</t>
  </si>
  <si>
    <t>Mowers Model 143</t>
  </si>
  <si>
    <t>SKU0144</t>
  </si>
  <si>
    <t>Small Parts Model 144</t>
  </si>
  <si>
    <t>SKU0145</t>
  </si>
  <si>
    <t>Trimmers Model 145</t>
  </si>
  <si>
    <t>SKU0146</t>
  </si>
  <si>
    <t>Chainsaws Model 146</t>
  </si>
  <si>
    <t>SKU0147</t>
  </si>
  <si>
    <t>Mowers Model 147</t>
  </si>
  <si>
    <t>SKU0148</t>
  </si>
  <si>
    <t>Blowers Model 148</t>
  </si>
  <si>
    <t>SKU0149</t>
  </si>
  <si>
    <t>Blowers Model 149</t>
  </si>
  <si>
    <t>SKU0150</t>
  </si>
  <si>
    <t>Trimmers Model 150</t>
  </si>
  <si>
    <t>WeekEndingDate</t>
  </si>
  <si>
    <t>ActualDemand</t>
  </si>
  <si>
    <t>AnnualDemand</t>
  </si>
  <si>
    <t>EOQ</t>
  </si>
  <si>
    <t>AvgWeeklyDemand</t>
  </si>
  <si>
    <t>StdDevWeeklyDemand</t>
  </si>
  <si>
    <t>LeadTimeWeeks</t>
  </si>
  <si>
    <t>Row Labels</t>
  </si>
  <si>
    <t>Grand Total</t>
  </si>
  <si>
    <t>SafetyStock</t>
  </si>
  <si>
    <t>StockOutRisk</t>
  </si>
  <si>
    <t>ReorderPoint</t>
  </si>
  <si>
    <t>LeadTimeWeeksStdDev</t>
  </si>
  <si>
    <t>SeverityRisk</t>
  </si>
  <si>
    <t>RiskTier</t>
  </si>
  <si>
    <t>MovingAvgDemand</t>
  </si>
  <si>
    <t>PriorWeekCount</t>
  </si>
  <si>
    <t>AbsPctError</t>
  </si>
  <si>
    <t>AvgForecastError</t>
  </si>
  <si>
    <t>DemandCV</t>
  </si>
  <si>
    <t>Correlation: Demand Volatility vs. Forecast Error</t>
  </si>
  <si>
    <t>CriticalOverstock</t>
  </si>
  <si>
    <t>CriticalUnderstock</t>
  </si>
  <si>
    <t>Optimal</t>
  </si>
  <si>
    <t>WatchOverstock</t>
  </si>
  <si>
    <t>WatchUnderstock</t>
  </si>
  <si>
    <t>Count of SKUID</t>
  </si>
  <si>
    <t>Column Labels</t>
  </si>
  <si>
    <t>Average of AvgForecastError</t>
  </si>
  <si>
    <t>Sum of SafetyStock</t>
  </si>
  <si>
    <t>Sum of ReorderPoint</t>
  </si>
  <si>
    <t>Total SKU's</t>
  </si>
  <si>
    <t>Critical - Understock</t>
  </si>
  <si>
    <t>Avg Forecast Error</t>
  </si>
  <si>
    <t>Volatility - Error Correlation</t>
  </si>
  <si>
    <t>Inventory Risk &amp; Forecast Dashboard</t>
  </si>
  <si>
    <t>150 SKUs across 8 product categories — updated 09/04/2026</t>
  </si>
  <si>
    <t>Median Forecast Error</t>
  </si>
  <si>
    <t>Correlation: CurrentStock vs. ReorderPoint</t>
  </si>
  <si>
    <t>Critical - Overstock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</si>
</sst>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6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1" xfId="0" applyBorder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3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4" formatCode="0.0%"/>
    </dxf>
    <dxf>
      <numFmt numFmtId="164" formatCode="0.0%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[Inventory_Model_ROP_SafetyStock.xlsx.xlsx]PivotTables!PivotTable1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RiskTier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PivotTables!$A$4:$A$9</c:f>
              <c:strCache>
                <c:ptCount val="5"/>
                <c:pt idx="0">
                  <c:v>CriticalOverstock</c:v>
                </c:pt>
                <c:pt idx="1">
                  <c:v>CriticalUnderstock</c:v>
                </c:pt>
                <c:pt idx="2">
                  <c:v>Optimal</c:v>
                </c:pt>
                <c:pt idx="3">
                  <c:v>WatchOverstock</c:v>
                </c:pt>
                <c:pt idx="4">
                  <c:v>WatchUnderstock</c:v>
                </c:pt>
              </c:strCache>
            </c:strRef>
          </c:cat>
          <c:val>
            <c:numRef>
              <c:f>PivotTables!$B$4:$B$9</c:f>
              <c:numCache>
                <c:formatCode>General</c:formatCode>
                <c:ptCount val="5"/>
                <c:pt idx="0">
                  <c:v>30</c:v>
                </c:pt>
                <c:pt idx="1">
                  <c:v>32</c:v>
                </c:pt>
                <c:pt idx="2">
                  <c:v>34</c:v>
                </c:pt>
                <c:pt idx="3">
                  <c:v>19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9-4804-B0DA-4B5455520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2976336"/>
        <c:axId val="1255549872"/>
      </c:barChart>
      <c:catAx>
        <c:axId val="1172976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549872"/>
        <c:crosses val="autoZero"/>
        <c:auto val="1"/>
        <c:lblAlgn val="ctr"/>
        <c:lblOffset val="100"/>
        <c:noMultiLvlLbl val="0"/>
      </c:catAx>
      <c:valAx>
        <c:axId val="125554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97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[Inventory_Model_ROP_SafetyStock.xlsx.xlsx]PivotTables!PivotTable3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Forecast Error by RiskTier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PivotTables!$B$18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PivotTables!$A$19:$A$24</c:f>
              <c:strCache>
                <c:ptCount val="5"/>
                <c:pt idx="0">
                  <c:v>CriticalOverstock</c:v>
                </c:pt>
                <c:pt idx="1">
                  <c:v>CriticalUnderstock</c:v>
                </c:pt>
                <c:pt idx="2">
                  <c:v>Optimal</c:v>
                </c:pt>
                <c:pt idx="3">
                  <c:v>WatchOverstock</c:v>
                </c:pt>
                <c:pt idx="4">
                  <c:v>WatchUnderstock</c:v>
                </c:pt>
              </c:strCache>
            </c:strRef>
          </c:cat>
          <c:val>
            <c:numRef>
              <c:f>PivotTables!$B$19:$B$24</c:f>
              <c:numCache>
                <c:formatCode>0.00</c:formatCode>
                <c:ptCount val="5"/>
                <c:pt idx="0">
                  <c:v>0.1062415480675611</c:v>
                </c:pt>
                <c:pt idx="1">
                  <c:v>0.343925863037576</c:v>
                </c:pt>
                <c:pt idx="2">
                  <c:v>0.10729984412474843</c:v>
                </c:pt>
                <c:pt idx="3">
                  <c:v>0.10197913716229901</c:v>
                </c:pt>
                <c:pt idx="4">
                  <c:v>0.10353615547801544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D-43F6-BA72-E86F511F1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6368240"/>
        <c:axId val="1255567632"/>
        <c:axId val="0"/>
      </c:bar3DChart>
      <c:catAx>
        <c:axId val="125636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567632"/>
        <c:crosses val="autoZero"/>
        <c:auto val="1"/>
        <c:lblAlgn val="ctr"/>
        <c:lblOffset val="100"/>
        <c:noMultiLvlLbl val="0"/>
      </c:catAx>
      <c:valAx>
        <c:axId val="125556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36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6</xdr:row>
      <xdr:rowOff>185737</xdr:rowOff>
    </xdr:from>
    <xdr:to>
      <xdr:col>6</xdr:col>
      <xdr:colOff>1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A5E7AB-8E06-A4CD-F3A2-FA8E4551E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28574</xdr:colOff>
      <xdr:row>6</xdr:row>
      <xdr:rowOff>185736</xdr:rowOff>
    </xdr:from>
    <xdr:to>
      <xdr:col>10</xdr:col>
      <xdr:colOff>1666874</xdr:colOff>
      <xdr:row>21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691C8C-3BE2-2E3F-4A7F-2FF4CF4AE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256.471063888886" createdVersion="8" refreshedVersion="8" minRefreshableVersion="3" recordCount="3900" xr:uid="{C560EC21-B9AC-4CAF-BBC6-A596BD6CB8EC}">
  <cacheSource type="worksheet">
    <worksheetSource name="DemandHistory"/>
  </cacheSource>
  <cacheFields count="3">
    <cacheField name="SKUID" numFmtId="0">
      <sharedItems count="150">
        <s v="SKU0001"/>
        <s v="SKU0002"/>
        <s v="SKU0003"/>
        <s v="SKU0004"/>
        <s v="SKU0005"/>
        <s v="SKU0006"/>
        <s v="SKU0007"/>
        <s v="SKU0008"/>
        <s v="SKU0009"/>
        <s v="SKU0010"/>
        <s v="SKU0011"/>
        <s v="SKU0012"/>
        <s v="SKU0013"/>
        <s v="SKU0014"/>
        <s v="SKU0015"/>
        <s v="SKU0016"/>
        <s v="SKU0017"/>
        <s v="SKU0018"/>
        <s v="SKU0019"/>
        <s v="SKU0020"/>
        <s v="SKU0021"/>
        <s v="SKU0022"/>
        <s v="SKU0023"/>
        <s v="SKU0024"/>
        <s v="SKU0025"/>
        <s v="SKU0026"/>
        <s v="SKU0027"/>
        <s v="SKU0028"/>
        <s v="SKU0029"/>
        <s v="SKU0030"/>
        <s v="SKU0031"/>
        <s v="SKU0032"/>
        <s v="SKU0033"/>
        <s v="SKU0034"/>
        <s v="SKU0035"/>
        <s v="SKU0036"/>
        <s v="SKU0037"/>
        <s v="SKU0038"/>
        <s v="SKU0039"/>
        <s v="SKU0040"/>
        <s v="SKU0041"/>
        <s v="SKU0042"/>
        <s v="SKU0043"/>
        <s v="SKU0044"/>
        <s v="SKU0045"/>
        <s v="SKU0046"/>
        <s v="SKU0047"/>
        <s v="SKU0048"/>
        <s v="SKU0049"/>
        <s v="SKU0050"/>
        <s v="SKU0051"/>
        <s v="SKU0052"/>
        <s v="SKU0053"/>
        <s v="SKU0054"/>
        <s v="SKU0055"/>
        <s v="SKU0056"/>
        <s v="SKU0057"/>
        <s v="SKU0058"/>
        <s v="SKU0059"/>
        <s v="SKU0060"/>
        <s v="SKU0061"/>
        <s v="SKU0062"/>
        <s v="SKU0063"/>
        <s v="SKU0064"/>
        <s v="SKU0065"/>
        <s v="SKU0066"/>
        <s v="SKU0067"/>
        <s v="SKU0068"/>
        <s v="SKU0069"/>
        <s v="SKU0070"/>
        <s v="SKU0071"/>
        <s v="SKU0072"/>
        <s v="SKU0073"/>
        <s v="SKU0074"/>
        <s v="SKU0075"/>
        <s v="SKU0076"/>
        <s v="SKU0077"/>
        <s v="SKU0078"/>
        <s v="SKU0079"/>
        <s v="SKU0080"/>
        <s v="SKU0081"/>
        <s v="SKU0082"/>
        <s v="SKU0083"/>
        <s v="SKU0084"/>
        <s v="SKU0085"/>
        <s v="SKU0086"/>
        <s v="SKU0087"/>
        <s v="SKU0088"/>
        <s v="SKU0089"/>
        <s v="SKU0090"/>
        <s v="SKU0091"/>
        <s v="SKU0092"/>
        <s v="SKU0093"/>
        <s v="SKU0094"/>
        <s v="SKU0095"/>
        <s v="SKU0096"/>
        <s v="SKU0097"/>
        <s v="SKU0098"/>
        <s v="SKU0099"/>
        <s v="SKU0100"/>
        <s v="SKU0101"/>
        <s v="SKU0102"/>
        <s v="SKU0103"/>
        <s v="SKU0104"/>
        <s v="SKU0105"/>
        <s v="SKU0106"/>
        <s v="SKU0107"/>
        <s v="SKU0108"/>
        <s v="SKU0109"/>
        <s v="SKU0110"/>
        <s v="SKU0111"/>
        <s v="SKU0112"/>
        <s v="SKU0113"/>
        <s v="SKU0114"/>
        <s v="SKU0115"/>
        <s v="SKU0116"/>
        <s v="SKU0117"/>
        <s v="SKU0118"/>
        <s v="SKU0119"/>
        <s v="SKU0120"/>
        <s v="SKU0121"/>
        <s v="SKU0122"/>
        <s v="SKU0123"/>
        <s v="SKU0124"/>
        <s v="SKU0125"/>
        <s v="SKU0126"/>
        <s v="SKU0127"/>
        <s v="SKU0128"/>
        <s v="SKU0129"/>
        <s v="SKU0130"/>
        <s v="SKU0131"/>
        <s v="SKU0132"/>
        <s v="SKU0133"/>
        <s v="SKU0134"/>
        <s v="SKU0135"/>
        <s v="SKU0136"/>
        <s v="SKU0137"/>
        <s v="SKU0138"/>
        <s v="SKU0139"/>
        <s v="SKU0140"/>
        <s v="SKU0141"/>
        <s v="SKU0142"/>
        <s v="SKU0143"/>
        <s v="SKU0144"/>
        <s v="SKU0145"/>
        <s v="SKU0146"/>
        <s v="SKU0147"/>
        <s v="SKU0148"/>
        <s v="SKU0149"/>
        <s v="SKU0150"/>
      </sharedItems>
    </cacheField>
    <cacheField name="WeekEndingDate" numFmtId="14">
      <sharedItems containsSemiMixedTypes="0" containsNonDate="0" containsDate="1" containsString="0" minDate="2026-01-05T00:00:00" maxDate="2026-06-30T00:00:00"/>
    </cacheField>
    <cacheField name="ActualDemand" numFmtId="0">
      <sharedItems containsSemiMixedTypes="0" containsString="0" containsNumber="1" containsInteger="1" minValue="0" maxValue="2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269.441028125002" createdVersion="8" refreshedVersion="8" minRefreshableVersion="3" recordCount="150" xr:uid="{FB8E0E3A-BFCD-4894-8243-69845545AB78}">
  <cacheSource type="worksheet">
    <worksheetSource name="InventoryModel"/>
  </cacheSource>
  <cacheFields count="16">
    <cacheField name="SKUID" numFmtId="0">
      <sharedItems/>
    </cacheField>
    <cacheField name="AnnualDemand" numFmtId="0">
      <sharedItems containsSemiMixedTypes="0" containsString="0" containsNumber="1" containsInteger="1" minValue="896" maxValue="7528"/>
    </cacheField>
    <cacheField name="EOQ" numFmtId="1">
      <sharedItems containsSemiMixedTypes="0" containsString="0" containsNumber="1" minValue="30.293662782488958" maxValue="642.6721714840312"/>
    </cacheField>
    <cacheField name="AvgWeeklyDemand" numFmtId="2">
      <sharedItems containsSemiMixedTypes="0" containsString="0" containsNumber="1" minValue="17.23076923076923" maxValue="144.76923076923077"/>
    </cacheField>
    <cacheField name="StdDevWeeklyDemand" numFmtId="2">
      <sharedItems containsSemiMixedTypes="0" containsString="0" containsNumber="1" minValue="2.4368958817441424" maxValue="50.67223484922868"/>
    </cacheField>
    <cacheField name="LeadTimeWeeksStdDev" numFmtId="2">
      <sharedItems containsSemiMixedTypes="0" containsString="0" containsNumber="1" minValue="0.14285714285714285" maxValue="1.6285714285714286"/>
    </cacheField>
    <cacheField name="LeadTimeWeeks" numFmtId="2">
      <sharedItems containsSemiMixedTypes="0" containsString="0" containsNumber="1" minValue="0.7142857142857143" maxValue="6.4285714285714288"/>
    </cacheField>
    <cacheField name="SafetyStock" numFmtId="1">
      <sharedItems containsSemiMixedTypes="0" containsString="0" containsNumber="1" minValue="7.2734297956764413" maxValue="309.43598959802239"/>
    </cacheField>
    <cacheField name="ReorderPoint" numFmtId="1">
      <sharedItems containsSemiMixedTypes="0" containsString="0" containsNumber="1" minValue="28.552876839781746" maxValue="839.32424042091645"/>
    </cacheField>
    <cacheField name="CurrentStockLevel" numFmtId="0">
      <sharedItems containsSemiMixedTypes="0" containsString="0" containsNumber="1" containsInteger="1" minValue="6" maxValue="293"/>
    </cacheField>
    <cacheField name="StockOutRisk" numFmtId="0">
      <sharedItems/>
    </cacheField>
    <cacheField name="SeverityRisk" numFmtId="164">
      <sharedItems containsSemiMixedTypes="0" containsString="0" containsNumber="1" minValue="-5.2340478333867466" maxValue="0.98861495052910298"/>
    </cacheField>
    <cacheField name="RiskTier" numFmtId="2">
      <sharedItems count="5">
        <s v="WatchOverstock"/>
        <s v="WatchUnderstock"/>
        <s v="Optimal"/>
        <s v="CriticalUnderstock"/>
        <s v="CriticalOverstock"/>
      </sharedItems>
    </cacheField>
    <cacheField name="AvgForecastError" numFmtId="2">
      <sharedItems containsSemiMixedTypes="0" containsString="0" containsNumber="1" minValue="4.794351019547699E-2" maxValue="1.9597676827154482"/>
    </cacheField>
    <cacheField name="DemandCV" numFmtId="2">
      <sharedItems containsSemiMixedTypes="0" containsString="0" containsNumber="1" minValue="8.5125639865912664E-2" maxValue="0.56545120462001519"/>
    </cacheField>
    <cacheField name="Category" numFmtId="2">
      <sharedItems count="8">
        <s v="Trimmers"/>
        <s v="Chainsaws"/>
        <s v="Chains &amp; Bars"/>
        <s v="Blowers"/>
        <s v="Batteries"/>
        <s v="Mowers"/>
        <s v="Accessories"/>
        <s v="Small Par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x v="0"/>
    <d v="2026-01-05T00:00:00"/>
    <n v="43"/>
  </r>
  <r>
    <x v="0"/>
    <d v="2026-01-12T00:00:00"/>
    <n v="60"/>
  </r>
  <r>
    <x v="0"/>
    <d v="2026-01-19T00:00:00"/>
    <n v="47"/>
  </r>
  <r>
    <x v="0"/>
    <d v="2026-01-26T00:00:00"/>
    <n v="59"/>
  </r>
  <r>
    <x v="0"/>
    <d v="2026-02-02T00:00:00"/>
    <n v="68"/>
  </r>
  <r>
    <x v="0"/>
    <d v="2026-02-09T00:00:00"/>
    <n v="59"/>
  </r>
  <r>
    <x v="0"/>
    <d v="2026-02-16T00:00:00"/>
    <n v="52"/>
  </r>
  <r>
    <x v="0"/>
    <d v="2026-02-23T00:00:00"/>
    <n v="59"/>
  </r>
  <r>
    <x v="0"/>
    <d v="2026-03-02T00:00:00"/>
    <n v="61"/>
  </r>
  <r>
    <x v="0"/>
    <d v="2026-03-09T00:00:00"/>
    <n v="47"/>
  </r>
  <r>
    <x v="0"/>
    <d v="2026-03-16T00:00:00"/>
    <n v="56"/>
  </r>
  <r>
    <x v="0"/>
    <d v="2026-03-23T00:00:00"/>
    <n v="63"/>
  </r>
  <r>
    <x v="0"/>
    <d v="2026-03-30T00:00:00"/>
    <n v="59"/>
  </r>
  <r>
    <x v="0"/>
    <d v="2026-04-06T00:00:00"/>
    <n v="64"/>
  </r>
  <r>
    <x v="0"/>
    <d v="2026-04-13T00:00:00"/>
    <n v="70"/>
  </r>
  <r>
    <x v="0"/>
    <d v="2026-04-20T00:00:00"/>
    <n v="71"/>
  </r>
  <r>
    <x v="0"/>
    <d v="2026-04-27T00:00:00"/>
    <n v="73"/>
  </r>
  <r>
    <x v="0"/>
    <d v="2026-05-04T00:00:00"/>
    <n v="71"/>
  </r>
  <r>
    <x v="0"/>
    <d v="2026-05-11T00:00:00"/>
    <n v="65"/>
  </r>
  <r>
    <x v="0"/>
    <d v="2026-05-18T00:00:00"/>
    <n v="68"/>
  </r>
  <r>
    <x v="0"/>
    <d v="2026-05-25T00:00:00"/>
    <n v="66"/>
  </r>
  <r>
    <x v="0"/>
    <d v="2026-06-01T00:00:00"/>
    <n v="67"/>
  </r>
  <r>
    <x v="0"/>
    <d v="2026-06-08T00:00:00"/>
    <n v="69"/>
  </r>
  <r>
    <x v="0"/>
    <d v="2026-06-15T00:00:00"/>
    <n v="57"/>
  </r>
  <r>
    <x v="0"/>
    <d v="2026-06-22T00:00:00"/>
    <n v="69"/>
  </r>
  <r>
    <x v="0"/>
    <d v="2026-06-29T00:00:00"/>
    <n v="72"/>
  </r>
  <r>
    <x v="1"/>
    <d v="2026-01-05T00:00:00"/>
    <n v="64"/>
  </r>
  <r>
    <x v="1"/>
    <d v="2026-01-12T00:00:00"/>
    <n v="59"/>
  </r>
  <r>
    <x v="1"/>
    <d v="2026-01-19T00:00:00"/>
    <n v="87"/>
  </r>
  <r>
    <x v="1"/>
    <d v="2026-01-26T00:00:00"/>
    <n v="83"/>
  </r>
  <r>
    <x v="1"/>
    <d v="2026-02-02T00:00:00"/>
    <n v="66"/>
  </r>
  <r>
    <x v="1"/>
    <d v="2026-02-09T00:00:00"/>
    <n v="69"/>
  </r>
  <r>
    <x v="1"/>
    <d v="2026-02-16T00:00:00"/>
    <n v="91"/>
  </r>
  <r>
    <x v="1"/>
    <d v="2026-02-23T00:00:00"/>
    <n v="91"/>
  </r>
  <r>
    <x v="1"/>
    <d v="2026-03-02T00:00:00"/>
    <n v="97"/>
  </r>
  <r>
    <x v="1"/>
    <d v="2026-03-09T00:00:00"/>
    <n v="81"/>
  </r>
  <r>
    <x v="1"/>
    <d v="2026-03-16T00:00:00"/>
    <n v="99"/>
  </r>
  <r>
    <x v="1"/>
    <d v="2026-03-23T00:00:00"/>
    <n v="66"/>
  </r>
  <r>
    <x v="1"/>
    <d v="2026-03-30T00:00:00"/>
    <n v="83"/>
  </r>
  <r>
    <x v="1"/>
    <d v="2026-04-06T00:00:00"/>
    <n v="71"/>
  </r>
  <r>
    <x v="1"/>
    <d v="2026-04-13T00:00:00"/>
    <n v="99"/>
  </r>
  <r>
    <x v="1"/>
    <d v="2026-04-20T00:00:00"/>
    <n v="123"/>
  </r>
  <r>
    <x v="1"/>
    <d v="2026-04-27T00:00:00"/>
    <n v="87"/>
  </r>
  <r>
    <x v="1"/>
    <d v="2026-05-04T00:00:00"/>
    <n v="90"/>
  </r>
  <r>
    <x v="1"/>
    <d v="2026-05-11T00:00:00"/>
    <n v="89"/>
  </r>
  <r>
    <x v="1"/>
    <d v="2026-05-18T00:00:00"/>
    <n v="117"/>
  </r>
  <r>
    <x v="1"/>
    <d v="2026-05-25T00:00:00"/>
    <n v="114"/>
  </r>
  <r>
    <x v="1"/>
    <d v="2026-06-01T00:00:00"/>
    <n v="92"/>
  </r>
  <r>
    <x v="1"/>
    <d v="2026-06-08T00:00:00"/>
    <n v="101"/>
  </r>
  <r>
    <x v="1"/>
    <d v="2026-06-15T00:00:00"/>
    <n v="142"/>
  </r>
  <r>
    <x v="1"/>
    <d v="2026-06-22T00:00:00"/>
    <n v="85"/>
  </r>
  <r>
    <x v="1"/>
    <d v="2026-06-29T00:00:00"/>
    <n v="108"/>
  </r>
  <r>
    <x v="2"/>
    <d v="2026-01-05T00:00:00"/>
    <n v="91"/>
  </r>
  <r>
    <x v="2"/>
    <d v="2026-01-12T00:00:00"/>
    <n v="98"/>
  </r>
  <r>
    <x v="2"/>
    <d v="2026-01-19T00:00:00"/>
    <n v="99"/>
  </r>
  <r>
    <x v="2"/>
    <d v="2026-01-26T00:00:00"/>
    <n v="104"/>
  </r>
  <r>
    <x v="2"/>
    <d v="2026-02-02T00:00:00"/>
    <n v="116"/>
  </r>
  <r>
    <x v="2"/>
    <d v="2026-02-09T00:00:00"/>
    <n v="92"/>
  </r>
  <r>
    <x v="2"/>
    <d v="2026-02-16T00:00:00"/>
    <n v="107"/>
  </r>
  <r>
    <x v="2"/>
    <d v="2026-02-23T00:00:00"/>
    <n v="97"/>
  </r>
  <r>
    <x v="2"/>
    <d v="2026-03-02T00:00:00"/>
    <n v="104"/>
  </r>
  <r>
    <x v="2"/>
    <d v="2026-03-09T00:00:00"/>
    <n v="98"/>
  </r>
  <r>
    <x v="2"/>
    <d v="2026-03-16T00:00:00"/>
    <n v="87"/>
  </r>
  <r>
    <x v="2"/>
    <d v="2026-03-23T00:00:00"/>
    <n v="103"/>
  </r>
  <r>
    <x v="2"/>
    <d v="2026-03-30T00:00:00"/>
    <n v="91"/>
  </r>
  <r>
    <x v="2"/>
    <d v="2026-04-06T00:00:00"/>
    <n v="130"/>
  </r>
  <r>
    <x v="2"/>
    <d v="2026-04-13T00:00:00"/>
    <n v="94"/>
  </r>
  <r>
    <x v="2"/>
    <d v="2026-04-20T00:00:00"/>
    <n v="106"/>
  </r>
  <r>
    <x v="2"/>
    <d v="2026-04-27T00:00:00"/>
    <n v="118"/>
  </r>
  <r>
    <x v="2"/>
    <d v="2026-05-04T00:00:00"/>
    <n v="110"/>
  </r>
  <r>
    <x v="2"/>
    <d v="2026-05-11T00:00:00"/>
    <n v="134"/>
  </r>
  <r>
    <x v="2"/>
    <d v="2026-05-18T00:00:00"/>
    <n v="116"/>
  </r>
  <r>
    <x v="2"/>
    <d v="2026-05-25T00:00:00"/>
    <n v="100"/>
  </r>
  <r>
    <x v="2"/>
    <d v="2026-06-01T00:00:00"/>
    <n v="134"/>
  </r>
  <r>
    <x v="2"/>
    <d v="2026-06-08T00:00:00"/>
    <n v="117"/>
  </r>
  <r>
    <x v="2"/>
    <d v="2026-06-15T00:00:00"/>
    <n v="162"/>
  </r>
  <r>
    <x v="2"/>
    <d v="2026-06-22T00:00:00"/>
    <n v="112"/>
  </r>
  <r>
    <x v="2"/>
    <d v="2026-06-29T00:00:00"/>
    <n v="119"/>
  </r>
  <r>
    <x v="3"/>
    <d v="2026-01-05T00:00:00"/>
    <n v="114"/>
  </r>
  <r>
    <x v="3"/>
    <d v="2026-01-12T00:00:00"/>
    <n v="127"/>
  </r>
  <r>
    <x v="3"/>
    <d v="2026-01-19T00:00:00"/>
    <n v="123"/>
  </r>
  <r>
    <x v="3"/>
    <d v="2026-01-26T00:00:00"/>
    <n v="114"/>
  </r>
  <r>
    <x v="3"/>
    <d v="2026-02-02T00:00:00"/>
    <n v="109"/>
  </r>
  <r>
    <x v="3"/>
    <d v="2026-02-09T00:00:00"/>
    <n v="119"/>
  </r>
  <r>
    <x v="3"/>
    <d v="2026-02-16T00:00:00"/>
    <n v="141"/>
  </r>
  <r>
    <x v="3"/>
    <d v="2026-02-23T00:00:00"/>
    <n v="118"/>
  </r>
  <r>
    <x v="3"/>
    <d v="2026-03-02T00:00:00"/>
    <n v="143"/>
  </r>
  <r>
    <x v="3"/>
    <d v="2026-03-09T00:00:00"/>
    <n v="116"/>
  </r>
  <r>
    <x v="3"/>
    <d v="2026-03-16T00:00:00"/>
    <n v="125"/>
  </r>
  <r>
    <x v="3"/>
    <d v="2026-03-23T00:00:00"/>
    <n v="112"/>
  </r>
  <r>
    <x v="3"/>
    <d v="2026-03-30T00:00:00"/>
    <n v="132"/>
  </r>
  <r>
    <x v="3"/>
    <d v="2026-04-06T00:00:00"/>
    <n v="140"/>
  </r>
  <r>
    <x v="3"/>
    <d v="2026-04-13T00:00:00"/>
    <n v="126"/>
  </r>
  <r>
    <x v="3"/>
    <d v="2026-04-20T00:00:00"/>
    <n v="127"/>
  </r>
  <r>
    <x v="3"/>
    <d v="2026-04-27T00:00:00"/>
    <n v="134"/>
  </r>
  <r>
    <x v="3"/>
    <d v="2026-05-04T00:00:00"/>
    <n v="140"/>
  </r>
  <r>
    <x v="3"/>
    <d v="2026-05-11T00:00:00"/>
    <n v="125"/>
  </r>
  <r>
    <x v="3"/>
    <d v="2026-05-18T00:00:00"/>
    <n v="142"/>
  </r>
  <r>
    <x v="3"/>
    <d v="2026-05-25T00:00:00"/>
    <n v="145"/>
  </r>
  <r>
    <x v="3"/>
    <d v="2026-06-01T00:00:00"/>
    <n v="145"/>
  </r>
  <r>
    <x v="3"/>
    <d v="2026-06-08T00:00:00"/>
    <n v="137"/>
  </r>
  <r>
    <x v="3"/>
    <d v="2026-06-15T00:00:00"/>
    <n v="143"/>
  </r>
  <r>
    <x v="3"/>
    <d v="2026-06-22T00:00:00"/>
    <n v="136"/>
  </r>
  <r>
    <x v="3"/>
    <d v="2026-06-29T00:00:00"/>
    <n v="148"/>
  </r>
  <r>
    <x v="4"/>
    <d v="2026-01-05T00:00:00"/>
    <n v="61"/>
  </r>
  <r>
    <x v="4"/>
    <d v="2026-01-12T00:00:00"/>
    <n v="64"/>
  </r>
  <r>
    <x v="4"/>
    <d v="2026-01-19T00:00:00"/>
    <n v="61"/>
  </r>
  <r>
    <x v="4"/>
    <d v="2026-01-26T00:00:00"/>
    <n v="62"/>
  </r>
  <r>
    <x v="4"/>
    <d v="2026-02-02T00:00:00"/>
    <n v="86"/>
  </r>
  <r>
    <x v="4"/>
    <d v="2026-02-09T00:00:00"/>
    <n v="89"/>
  </r>
  <r>
    <x v="4"/>
    <d v="2026-02-16T00:00:00"/>
    <n v="73"/>
  </r>
  <r>
    <x v="4"/>
    <d v="2026-02-23T00:00:00"/>
    <n v="79"/>
  </r>
  <r>
    <x v="4"/>
    <d v="2026-03-02T00:00:00"/>
    <n v="86"/>
  </r>
  <r>
    <x v="4"/>
    <d v="2026-03-09T00:00:00"/>
    <n v="83"/>
  </r>
  <r>
    <x v="4"/>
    <d v="2026-03-16T00:00:00"/>
    <n v="88"/>
  </r>
  <r>
    <x v="4"/>
    <d v="2026-03-23T00:00:00"/>
    <n v="64"/>
  </r>
  <r>
    <x v="4"/>
    <d v="2026-03-30T00:00:00"/>
    <n v="71"/>
  </r>
  <r>
    <x v="4"/>
    <d v="2026-04-06T00:00:00"/>
    <n v="83"/>
  </r>
  <r>
    <x v="4"/>
    <d v="2026-04-13T00:00:00"/>
    <n v="94"/>
  </r>
  <r>
    <x v="4"/>
    <d v="2026-04-20T00:00:00"/>
    <n v="82"/>
  </r>
  <r>
    <x v="4"/>
    <d v="2026-04-27T00:00:00"/>
    <n v="73"/>
  </r>
  <r>
    <x v="4"/>
    <d v="2026-05-04T00:00:00"/>
    <n v="79"/>
  </r>
  <r>
    <x v="4"/>
    <d v="2026-05-11T00:00:00"/>
    <n v="77"/>
  </r>
  <r>
    <x v="4"/>
    <d v="2026-05-18T00:00:00"/>
    <n v="76"/>
  </r>
  <r>
    <x v="4"/>
    <d v="2026-05-25T00:00:00"/>
    <n v="100"/>
  </r>
  <r>
    <x v="4"/>
    <d v="2026-06-01T00:00:00"/>
    <n v="80"/>
  </r>
  <r>
    <x v="4"/>
    <d v="2026-06-08T00:00:00"/>
    <n v="87"/>
  </r>
  <r>
    <x v="4"/>
    <d v="2026-06-15T00:00:00"/>
    <n v="109"/>
  </r>
  <r>
    <x v="4"/>
    <d v="2026-06-22T00:00:00"/>
    <n v="101"/>
  </r>
  <r>
    <x v="4"/>
    <d v="2026-06-29T00:00:00"/>
    <n v="93"/>
  </r>
  <r>
    <x v="5"/>
    <d v="2026-01-05T00:00:00"/>
    <n v="74"/>
  </r>
  <r>
    <x v="5"/>
    <d v="2026-01-12T00:00:00"/>
    <n v="79"/>
  </r>
  <r>
    <x v="5"/>
    <d v="2026-01-19T00:00:00"/>
    <n v="75"/>
  </r>
  <r>
    <x v="5"/>
    <d v="2026-01-26T00:00:00"/>
    <n v="74"/>
  </r>
  <r>
    <x v="5"/>
    <d v="2026-02-02T00:00:00"/>
    <n v="67"/>
  </r>
  <r>
    <x v="5"/>
    <d v="2026-02-09T00:00:00"/>
    <n v="67"/>
  </r>
  <r>
    <x v="5"/>
    <d v="2026-02-16T00:00:00"/>
    <n v="64"/>
  </r>
  <r>
    <x v="5"/>
    <d v="2026-02-23T00:00:00"/>
    <n v="76"/>
  </r>
  <r>
    <x v="5"/>
    <d v="2026-03-02T00:00:00"/>
    <n v="67"/>
  </r>
  <r>
    <x v="5"/>
    <d v="2026-03-09T00:00:00"/>
    <n v="66"/>
  </r>
  <r>
    <x v="5"/>
    <d v="2026-03-16T00:00:00"/>
    <n v="67"/>
  </r>
  <r>
    <x v="5"/>
    <d v="2026-03-23T00:00:00"/>
    <n v="80"/>
  </r>
  <r>
    <x v="5"/>
    <d v="2026-03-30T00:00:00"/>
    <n v="74"/>
  </r>
  <r>
    <x v="5"/>
    <d v="2026-04-06T00:00:00"/>
    <n v="77"/>
  </r>
  <r>
    <x v="5"/>
    <d v="2026-04-13T00:00:00"/>
    <n v="63"/>
  </r>
  <r>
    <x v="5"/>
    <d v="2026-04-20T00:00:00"/>
    <n v="64"/>
  </r>
  <r>
    <x v="5"/>
    <d v="2026-04-27T00:00:00"/>
    <n v="79"/>
  </r>
  <r>
    <x v="5"/>
    <d v="2026-05-04T00:00:00"/>
    <n v="74"/>
  </r>
  <r>
    <x v="5"/>
    <d v="2026-05-11T00:00:00"/>
    <n v="76"/>
  </r>
  <r>
    <x v="5"/>
    <d v="2026-05-18T00:00:00"/>
    <n v="81"/>
  </r>
  <r>
    <x v="5"/>
    <d v="2026-05-25T00:00:00"/>
    <n v="70"/>
  </r>
  <r>
    <x v="5"/>
    <d v="2026-06-01T00:00:00"/>
    <n v="90"/>
  </r>
  <r>
    <x v="5"/>
    <d v="2026-06-08T00:00:00"/>
    <n v="94"/>
  </r>
  <r>
    <x v="5"/>
    <d v="2026-06-15T00:00:00"/>
    <n v="91"/>
  </r>
  <r>
    <x v="5"/>
    <d v="2026-06-22T00:00:00"/>
    <n v="98"/>
  </r>
  <r>
    <x v="5"/>
    <d v="2026-06-29T00:00:00"/>
    <n v="109"/>
  </r>
  <r>
    <x v="6"/>
    <d v="2026-01-05T00:00:00"/>
    <n v="53"/>
  </r>
  <r>
    <x v="6"/>
    <d v="2026-01-12T00:00:00"/>
    <n v="50"/>
  </r>
  <r>
    <x v="6"/>
    <d v="2026-01-19T00:00:00"/>
    <n v="49"/>
  </r>
  <r>
    <x v="6"/>
    <d v="2026-01-26T00:00:00"/>
    <n v="42"/>
  </r>
  <r>
    <x v="6"/>
    <d v="2026-02-02T00:00:00"/>
    <n v="55"/>
  </r>
  <r>
    <x v="6"/>
    <d v="2026-02-09T00:00:00"/>
    <n v="44"/>
  </r>
  <r>
    <x v="6"/>
    <d v="2026-02-16T00:00:00"/>
    <n v="51"/>
  </r>
  <r>
    <x v="6"/>
    <d v="2026-02-23T00:00:00"/>
    <n v="59"/>
  </r>
  <r>
    <x v="6"/>
    <d v="2026-03-02T00:00:00"/>
    <n v="45"/>
  </r>
  <r>
    <x v="6"/>
    <d v="2026-03-09T00:00:00"/>
    <n v="57"/>
  </r>
  <r>
    <x v="6"/>
    <d v="2026-03-16T00:00:00"/>
    <n v="50"/>
  </r>
  <r>
    <x v="6"/>
    <d v="2026-03-23T00:00:00"/>
    <n v="55"/>
  </r>
  <r>
    <x v="6"/>
    <d v="2026-03-30T00:00:00"/>
    <n v="47"/>
  </r>
  <r>
    <x v="6"/>
    <d v="2026-04-06T00:00:00"/>
    <n v="46"/>
  </r>
  <r>
    <x v="6"/>
    <d v="2026-04-13T00:00:00"/>
    <n v="59"/>
  </r>
  <r>
    <x v="6"/>
    <d v="2026-04-20T00:00:00"/>
    <n v="68"/>
  </r>
  <r>
    <x v="6"/>
    <d v="2026-04-27T00:00:00"/>
    <n v="62"/>
  </r>
  <r>
    <x v="6"/>
    <d v="2026-05-04T00:00:00"/>
    <n v="59"/>
  </r>
  <r>
    <x v="6"/>
    <d v="2026-05-11T00:00:00"/>
    <n v="60"/>
  </r>
  <r>
    <x v="6"/>
    <d v="2026-05-18T00:00:00"/>
    <n v="69"/>
  </r>
  <r>
    <x v="6"/>
    <d v="2026-05-25T00:00:00"/>
    <n v="69"/>
  </r>
  <r>
    <x v="6"/>
    <d v="2026-06-01T00:00:00"/>
    <n v="59"/>
  </r>
  <r>
    <x v="6"/>
    <d v="2026-06-08T00:00:00"/>
    <n v="57"/>
  </r>
  <r>
    <x v="6"/>
    <d v="2026-06-15T00:00:00"/>
    <n v="72"/>
  </r>
  <r>
    <x v="6"/>
    <d v="2026-06-22T00:00:00"/>
    <n v="62"/>
  </r>
  <r>
    <x v="6"/>
    <d v="2026-06-29T00:00:00"/>
    <n v="68"/>
  </r>
  <r>
    <x v="7"/>
    <d v="2026-01-05T00:00:00"/>
    <n v="130"/>
  </r>
  <r>
    <x v="7"/>
    <d v="2026-01-12T00:00:00"/>
    <n v="92"/>
  </r>
  <r>
    <x v="7"/>
    <d v="2026-01-19T00:00:00"/>
    <n v="78"/>
  </r>
  <r>
    <x v="7"/>
    <d v="2026-01-26T00:00:00"/>
    <n v="94"/>
  </r>
  <r>
    <x v="7"/>
    <d v="2026-02-02T00:00:00"/>
    <n v="98"/>
  </r>
  <r>
    <x v="7"/>
    <d v="2026-02-09T00:00:00"/>
    <n v="101"/>
  </r>
  <r>
    <x v="7"/>
    <d v="2026-02-16T00:00:00"/>
    <n v="147"/>
  </r>
  <r>
    <x v="7"/>
    <d v="2026-02-23T00:00:00"/>
    <n v="111"/>
  </r>
  <r>
    <x v="7"/>
    <d v="2026-03-02T00:00:00"/>
    <n v="109"/>
  </r>
  <r>
    <x v="7"/>
    <d v="2026-03-09T00:00:00"/>
    <n v="144"/>
  </r>
  <r>
    <x v="7"/>
    <d v="2026-03-16T00:00:00"/>
    <n v="112"/>
  </r>
  <r>
    <x v="7"/>
    <d v="2026-03-23T00:00:00"/>
    <n v="92"/>
  </r>
  <r>
    <x v="7"/>
    <d v="2026-03-30T00:00:00"/>
    <n v="90"/>
  </r>
  <r>
    <x v="7"/>
    <d v="2026-04-06T00:00:00"/>
    <n v="100"/>
  </r>
  <r>
    <x v="7"/>
    <d v="2026-04-13T00:00:00"/>
    <n v="115"/>
  </r>
  <r>
    <x v="7"/>
    <d v="2026-04-20T00:00:00"/>
    <n v="118"/>
  </r>
  <r>
    <x v="7"/>
    <d v="2026-04-27T00:00:00"/>
    <n v="135"/>
  </r>
  <r>
    <x v="7"/>
    <d v="2026-05-04T00:00:00"/>
    <n v="133"/>
  </r>
  <r>
    <x v="7"/>
    <d v="2026-05-11T00:00:00"/>
    <n v="144"/>
  </r>
  <r>
    <x v="7"/>
    <d v="2026-05-18T00:00:00"/>
    <n v="162"/>
  </r>
  <r>
    <x v="7"/>
    <d v="2026-05-25T00:00:00"/>
    <n v="119"/>
  </r>
  <r>
    <x v="7"/>
    <d v="2026-06-01T00:00:00"/>
    <n v="118"/>
  </r>
  <r>
    <x v="7"/>
    <d v="2026-06-08T00:00:00"/>
    <n v="140"/>
  </r>
  <r>
    <x v="7"/>
    <d v="2026-06-15T00:00:00"/>
    <n v="144"/>
  </r>
  <r>
    <x v="7"/>
    <d v="2026-06-22T00:00:00"/>
    <n v="132"/>
  </r>
  <r>
    <x v="7"/>
    <d v="2026-06-29T00:00:00"/>
    <n v="129"/>
  </r>
  <r>
    <x v="8"/>
    <d v="2026-01-05T00:00:00"/>
    <n v="19"/>
  </r>
  <r>
    <x v="8"/>
    <d v="2026-01-12T00:00:00"/>
    <n v="19"/>
  </r>
  <r>
    <x v="8"/>
    <d v="2026-01-19T00:00:00"/>
    <n v="22"/>
  </r>
  <r>
    <x v="8"/>
    <d v="2026-01-26T00:00:00"/>
    <n v="18"/>
  </r>
  <r>
    <x v="8"/>
    <d v="2026-02-02T00:00:00"/>
    <n v="22"/>
  </r>
  <r>
    <x v="8"/>
    <d v="2026-02-09T00:00:00"/>
    <n v="21"/>
  </r>
  <r>
    <x v="8"/>
    <d v="2026-02-16T00:00:00"/>
    <n v="24"/>
  </r>
  <r>
    <x v="8"/>
    <d v="2026-02-23T00:00:00"/>
    <n v="19"/>
  </r>
  <r>
    <x v="8"/>
    <d v="2026-03-02T00:00:00"/>
    <n v="23"/>
  </r>
  <r>
    <x v="8"/>
    <d v="2026-03-09T00:00:00"/>
    <n v="22"/>
  </r>
  <r>
    <x v="8"/>
    <d v="2026-03-16T00:00:00"/>
    <n v="23"/>
  </r>
  <r>
    <x v="8"/>
    <d v="2026-03-23T00:00:00"/>
    <n v="24"/>
  </r>
  <r>
    <x v="8"/>
    <d v="2026-03-30T00:00:00"/>
    <n v="27"/>
  </r>
  <r>
    <x v="8"/>
    <d v="2026-04-06T00:00:00"/>
    <n v="24"/>
  </r>
  <r>
    <x v="8"/>
    <d v="2026-04-13T00:00:00"/>
    <n v="25"/>
  </r>
  <r>
    <x v="8"/>
    <d v="2026-04-20T00:00:00"/>
    <n v="22"/>
  </r>
  <r>
    <x v="8"/>
    <d v="2026-04-27T00:00:00"/>
    <n v="25"/>
  </r>
  <r>
    <x v="8"/>
    <d v="2026-05-04T00:00:00"/>
    <n v="22"/>
  </r>
  <r>
    <x v="8"/>
    <d v="2026-05-11T00:00:00"/>
    <n v="25"/>
  </r>
  <r>
    <x v="8"/>
    <d v="2026-05-18T00:00:00"/>
    <n v="26"/>
  </r>
  <r>
    <x v="8"/>
    <d v="2026-05-25T00:00:00"/>
    <n v="28"/>
  </r>
  <r>
    <x v="8"/>
    <d v="2026-06-01T00:00:00"/>
    <n v="27"/>
  </r>
  <r>
    <x v="8"/>
    <d v="2026-06-08T00:00:00"/>
    <n v="26"/>
  </r>
  <r>
    <x v="8"/>
    <d v="2026-06-15T00:00:00"/>
    <n v="28"/>
  </r>
  <r>
    <x v="8"/>
    <d v="2026-06-22T00:00:00"/>
    <n v="26"/>
  </r>
  <r>
    <x v="8"/>
    <d v="2026-06-29T00:00:00"/>
    <n v="27"/>
  </r>
  <r>
    <x v="9"/>
    <d v="2026-01-05T00:00:00"/>
    <n v="88"/>
  </r>
  <r>
    <x v="9"/>
    <d v="2026-01-12T00:00:00"/>
    <n v="60"/>
  </r>
  <r>
    <x v="9"/>
    <d v="2026-01-19T00:00:00"/>
    <n v="85"/>
  </r>
  <r>
    <x v="9"/>
    <d v="2026-01-26T00:00:00"/>
    <n v="26"/>
  </r>
  <r>
    <x v="9"/>
    <d v="2026-02-02T00:00:00"/>
    <n v="27"/>
  </r>
  <r>
    <x v="9"/>
    <d v="2026-02-09T00:00:00"/>
    <n v="33"/>
  </r>
  <r>
    <x v="9"/>
    <d v="2026-02-16T00:00:00"/>
    <n v="41"/>
  </r>
  <r>
    <x v="9"/>
    <d v="2026-02-23T00:00:00"/>
    <n v="92"/>
  </r>
  <r>
    <x v="9"/>
    <d v="2026-03-02T00:00:00"/>
    <n v="54"/>
  </r>
  <r>
    <x v="9"/>
    <d v="2026-03-09T00:00:00"/>
    <n v="47"/>
  </r>
  <r>
    <x v="9"/>
    <d v="2026-03-16T00:00:00"/>
    <n v="42"/>
  </r>
  <r>
    <x v="9"/>
    <d v="2026-03-23T00:00:00"/>
    <n v="53"/>
  </r>
  <r>
    <x v="9"/>
    <d v="2026-03-30T00:00:00"/>
    <n v="47"/>
  </r>
  <r>
    <x v="9"/>
    <d v="2026-04-06T00:00:00"/>
    <n v="57"/>
  </r>
  <r>
    <x v="9"/>
    <d v="2026-04-13T00:00:00"/>
    <n v="19"/>
  </r>
  <r>
    <x v="9"/>
    <d v="2026-04-20T00:00:00"/>
    <n v="40"/>
  </r>
  <r>
    <x v="9"/>
    <d v="2026-04-27T00:00:00"/>
    <n v="73"/>
  </r>
  <r>
    <x v="9"/>
    <d v="2026-05-04T00:00:00"/>
    <n v="29"/>
  </r>
  <r>
    <x v="9"/>
    <d v="2026-05-11T00:00:00"/>
    <n v="52"/>
  </r>
  <r>
    <x v="9"/>
    <d v="2026-05-18T00:00:00"/>
    <n v="85"/>
  </r>
  <r>
    <x v="9"/>
    <d v="2026-05-25T00:00:00"/>
    <n v="39"/>
  </r>
  <r>
    <x v="9"/>
    <d v="2026-06-01T00:00:00"/>
    <n v="57"/>
  </r>
  <r>
    <x v="9"/>
    <d v="2026-06-08T00:00:00"/>
    <n v="61"/>
  </r>
  <r>
    <x v="9"/>
    <d v="2026-06-15T00:00:00"/>
    <n v="53"/>
  </r>
  <r>
    <x v="9"/>
    <d v="2026-06-22T00:00:00"/>
    <n v="56"/>
  </r>
  <r>
    <x v="9"/>
    <d v="2026-06-29T00:00:00"/>
    <n v="72"/>
  </r>
  <r>
    <x v="10"/>
    <d v="2026-01-05T00:00:00"/>
    <n v="111"/>
  </r>
  <r>
    <x v="10"/>
    <d v="2026-01-12T00:00:00"/>
    <n v="124"/>
  </r>
  <r>
    <x v="10"/>
    <d v="2026-01-19T00:00:00"/>
    <n v="86"/>
  </r>
  <r>
    <x v="10"/>
    <d v="2026-01-26T00:00:00"/>
    <n v="135"/>
  </r>
  <r>
    <x v="10"/>
    <d v="2026-02-02T00:00:00"/>
    <n v="106"/>
  </r>
  <r>
    <x v="10"/>
    <d v="2026-02-09T00:00:00"/>
    <n v="153"/>
  </r>
  <r>
    <x v="10"/>
    <d v="2026-02-16T00:00:00"/>
    <n v="109"/>
  </r>
  <r>
    <x v="10"/>
    <d v="2026-02-23T00:00:00"/>
    <n v="125"/>
  </r>
  <r>
    <x v="10"/>
    <d v="2026-03-02T00:00:00"/>
    <n v="107"/>
  </r>
  <r>
    <x v="10"/>
    <d v="2026-03-09T00:00:00"/>
    <n v="95"/>
  </r>
  <r>
    <x v="10"/>
    <d v="2026-03-16T00:00:00"/>
    <n v="137"/>
  </r>
  <r>
    <x v="10"/>
    <d v="2026-03-23T00:00:00"/>
    <n v="135"/>
  </r>
  <r>
    <x v="10"/>
    <d v="2026-03-30T00:00:00"/>
    <n v="147"/>
  </r>
  <r>
    <x v="10"/>
    <d v="2026-04-06T00:00:00"/>
    <n v="137"/>
  </r>
  <r>
    <x v="10"/>
    <d v="2026-04-13T00:00:00"/>
    <n v="112"/>
  </r>
  <r>
    <x v="10"/>
    <d v="2026-04-20T00:00:00"/>
    <n v="94"/>
  </r>
  <r>
    <x v="10"/>
    <d v="2026-04-27T00:00:00"/>
    <n v="113"/>
  </r>
  <r>
    <x v="10"/>
    <d v="2026-05-04T00:00:00"/>
    <n v="114"/>
  </r>
  <r>
    <x v="10"/>
    <d v="2026-05-11T00:00:00"/>
    <n v="113"/>
  </r>
  <r>
    <x v="10"/>
    <d v="2026-05-18T00:00:00"/>
    <n v="140"/>
  </r>
  <r>
    <x v="10"/>
    <d v="2026-05-25T00:00:00"/>
    <n v="137"/>
  </r>
  <r>
    <x v="10"/>
    <d v="2026-06-01T00:00:00"/>
    <n v="127"/>
  </r>
  <r>
    <x v="10"/>
    <d v="2026-06-08T00:00:00"/>
    <n v="137"/>
  </r>
  <r>
    <x v="10"/>
    <d v="2026-06-15T00:00:00"/>
    <n v="132"/>
  </r>
  <r>
    <x v="10"/>
    <d v="2026-06-22T00:00:00"/>
    <n v="140"/>
  </r>
  <r>
    <x v="10"/>
    <d v="2026-06-29T00:00:00"/>
    <n v="151"/>
  </r>
  <r>
    <x v="11"/>
    <d v="2026-01-05T00:00:00"/>
    <n v="66"/>
  </r>
  <r>
    <x v="11"/>
    <d v="2026-01-12T00:00:00"/>
    <n v="102"/>
  </r>
  <r>
    <x v="11"/>
    <d v="2026-01-19T00:00:00"/>
    <n v="88"/>
  </r>
  <r>
    <x v="11"/>
    <d v="2026-01-26T00:00:00"/>
    <n v="100"/>
  </r>
  <r>
    <x v="11"/>
    <d v="2026-02-02T00:00:00"/>
    <n v="69"/>
  </r>
  <r>
    <x v="11"/>
    <d v="2026-02-09T00:00:00"/>
    <n v="86"/>
  </r>
  <r>
    <x v="11"/>
    <d v="2026-02-16T00:00:00"/>
    <n v="91"/>
  </r>
  <r>
    <x v="11"/>
    <d v="2026-02-23T00:00:00"/>
    <n v="75"/>
  </r>
  <r>
    <x v="11"/>
    <d v="2026-03-02T00:00:00"/>
    <n v="87"/>
  </r>
  <r>
    <x v="11"/>
    <d v="2026-03-09T00:00:00"/>
    <n v="103"/>
  </r>
  <r>
    <x v="11"/>
    <d v="2026-03-16T00:00:00"/>
    <n v="108"/>
  </r>
  <r>
    <x v="11"/>
    <d v="2026-03-23T00:00:00"/>
    <n v="115"/>
  </r>
  <r>
    <x v="11"/>
    <d v="2026-03-30T00:00:00"/>
    <n v="87"/>
  </r>
  <r>
    <x v="11"/>
    <d v="2026-04-06T00:00:00"/>
    <n v="82"/>
  </r>
  <r>
    <x v="11"/>
    <d v="2026-04-13T00:00:00"/>
    <n v="106"/>
  </r>
  <r>
    <x v="11"/>
    <d v="2026-04-20T00:00:00"/>
    <n v="112"/>
  </r>
  <r>
    <x v="11"/>
    <d v="2026-04-27T00:00:00"/>
    <n v="104"/>
  </r>
  <r>
    <x v="11"/>
    <d v="2026-05-04T00:00:00"/>
    <n v="88"/>
  </r>
  <r>
    <x v="11"/>
    <d v="2026-05-11T00:00:00"/>
    <n v="114"/>
  </r>
  <r>
    <x v="11"/>
    <d v="2026-05-18T00:00:00"/>
    <n v="115"/>
  </r>
  <r>
    <x v="11"/>
    <d v="2026-05-25T00:00:00"/>
    <n v="113"/>
  </r>
  <r>
    <x v="11"/>
    <d v="2026-06-01T00:00:00"/>
    <n v="102"/>
  </r>
  <r>
    <x v="11"/>
    <d v="2026-06-08T00:00:00"/>
    <n v="112"/>
  </r>
  <r>
    <x v="11"/>
    <d v="2026-06-15T00:00:00"/>
    <n v="119"/>
  </r>
  <r>
    <x v="11"/>
    <d v="2026-06-22T00:00:00"/>
    <n v="105"/>
  </r>
  <r>
    <x v="11"/>
    <d v="2026-06-29T00:00:00"/>
    <n v="91"/>
  </r>
  <r>
    <x v="12"/>
    <d v="2026-01-05T00:00:00"/>
    <n v="61"/>
  </r>
  <r>
    <x v="12"/>
    <d v="2026-01-12T00:00:00"/>
    <n v="30"/>
  </r>
  <r>
    <x v="12"/>
    <d v="2026-01-19T00:00:00"/>
    <n v="22"/>
  </r>
  <r>
    <x v="12"/>
    <d v="2026-01-26T00:00:00"/>
    <n v="26"/>
  </r>
  <r>
    <x v="12"/>
    <d v="2026-02-02T00:00:00"/>
    <n v="39"/>
  </r>
  <r>
    <x v="12"/>
    <d v="2026-02-09T00:00:00"/>
    <n v="78"/>
  </r>
  <r>
    <x v="12"/>
    <d v="2026-02-16T00:00:00"/>
    <n v="34"/>
  </r>
  <r>
    <x v="12"/>
    <d v="2026-02-23T00:00:00"/>
    <n v="79"/>
  </r>
  <r>
    <x v="12"/>
    <d v="2026-03-02T00:00:00"/>
    <n v="48"/>
  </r>
  <r>
    <x v="12"/>
    <d v="2026-03-09T00:00:00"/>
    <n v="38"/>
  </r>
  <r>
    <x v="12"/>
    <d v="2026-03-16T00:00:00"/>
    <n v="33"/>
  </r>
  <r>
    <x v="12"/>
    <d v="2026-03-23T00:00:00"/>
    <n v="30"/>
  </r>
  <r>
    <x v="12"/>
    <d v="2026-03-30T00:00:00"/>
    <n v="45"/>
  </r>
  <r>
    <x v="12"/>
    <d v="2026-04-06T00:00:00"/>
    <n v="48"/>
  </r>
  <r>
    <x v="12"/>
    <d v="2026-04-13T00:00:00"/>
    <n v="36"/>
  </r>
  <r>
    <x v="12"/>
    <d v="2026-04-20T00:00:00"/>
    <n v="54"/>
  </r>
  <r>
    <x v="12"/>
    <d v="2026-04-27T00:00:00"/>
    <n v="40"/>
  </r>
  <r>
    <x v="12"/>
    <d v="2026-05-04T00:00:00"/>
    <n v="50"/>
  </r>
  <r>
    <x v="12"/>
    <d v="2026-05-11T00:00:00"/>
    <n v="54"/>
  </r>
  <r>
    <x v="12"/>
    <d v="2026-05-18T00:00:00"/>
    <n v="35"/>
  </r>
  <r>
    <x v="12"/>
    <d v="2026-05-25T00:00:00"/>
    <n v="57"/>
  </r>
  <r>
    <x v="12"/>
    <d v="2026-06-01T00:00:00"/>
    <n v="31"/>
  </r>
  <r>
    <x v="12"/>
    <d v="2026-06-08T00:00:00"/>
    <n v="77"/>
  </r>
  <r>
    <x v="12"/>
    <d v="2026-06-15T00:00:00"/>
    <n v="47"/>
  </r>
  <r>
    <x v="12"/>
    <d v="2026-06-22T00:00:00"/>
    <n v="34"/>
  </r>
  <r>
    <x v="12"/>
    <d v="2026-06-29T00:00:00"/>
    <n v="50"/>
  </r>
  <r>
    <x v="13"/>
    <d v="2026-01-05T00:00:00"/>
    <n v="103"/>
  </r>
  <r>
    <x v="13"/>
    <d v="2026-01-12T00:00:00"/>
    <n v="97"/>
  </r>
  <r>
    <x v="13"/>
    <d v="2026-01-19T00:00:00"/>
    <n v="97"/>
  </r>
  <r>
    <x v="13"/>
    <d v="2026-01-26T00:00:00"/>
    <n v="98"/>
  </r>
  <r>
    <x v="13"/>
    <d v="2026-02-02T00:00:00"/>
    <n v="101"/>
  </r>
  <r>
    <x v="13"/>
    <d v="2026-02-09T00:00:00"/>
    <n v="123"/>
  </r>
  <r>
    <x v="13"/>
    <d v="2026-02-16T00:00:00"/>
    <n v="98"/>
  </r>
  <r>
    <x v="13"/>
    <d v="2026-02-23T00:00:00"/>
    <n v="90"/>
  </r>
  <r>
    <x v="13"/>
    <d v="2026-03-02T00:00:00"/>
    <n v="92"/>
  </r>
  <r>
    <x v="13"/>
    <d v="2026-03-09T00:00:00"/>
    <n v="90"/>
  </r>
  <r>
    <x v="13"/>
    <d v="2026-03-16T00:00:00"/>
    <n v="100"/>
  </r>
  <r>
    <x v="13"/>
    <d v="2026-03-23T00:00:00"/>
    <n v="95"/>
  </r>
  <r>
    <x v="13"/>
    <d v="2026-03-30T00:00:00"/>
    <n v="122"/>
  </r>
  <r>
    <x v="13"/>
    <d v="2026-04-06T00:00:00"/>
    <n v="101"/>
  </r>
  <r>
    <x v="13"/>
    <d v="2026-04-13T00:00:00"/>
    <n v="106"/>
  </r>
  <r>
    <x v="13"/>
    <d v="2026-04-20T00:00:00"/>
    <n v="110"/>
  </r>
  <r>
    <x v="13"/>
    <d v="2026-04-27T00:00:00"/>
    <n v="118"/>
  </r>
  <r>
    <x v="13"/>
    <d v="2026-05-04T00:00:00"/>
    <n v="122"/>
  </r>
  <r>
    <x v="13"/>
    <d v="2026-05-11T00:00:00"/>
    <n v="110"/>
  </r>
  <r>
    <x v="13"/>
    <d v="2026-05-18T00:00:00"/>
    <n v="123"/>
  </r>
  <r>
    <x v="13"/>
    <d v="2026-05-25T00:00:00"/>
    <n v="113"/>
  </r>
  <r>
    <x v="13"/>
    <d v="2026-06-01T00:00:00"/>
    <n v="100"/>
  </r>
  <r>
    <x v="13"/>
    <d v="2026-06-08T00:00:00"/>
    <n v="124"/>
  </r>
  <r>
    <x v="13"/>
    <d v="2026-06-15T00:00:00"/>
    <n v="135"/>
  </r>
  <r>
    <x v="13"/>
    <d v="2026-06-22T00:00:00"/>
    <n v="124"/>
  </r>
  <r>
    <x v="13"/>
    <d v="2026-06-29T00:00:00"/>
    <n v="121"/>
  </r>
  <r>
    <x v="14"/>
    <d v="2026-01-05T00:00:00"/>
    <n v="129"/>
  </r>
  <r>
    <x v="14"/>
    <d v="2026-01-12T00:00:00"/>
    <n v="77"/>
  </r>
  <r>
    <x v="14"/>
    <d v="2026-01-19T00:00:00"/>
    <n v="26"/>
  </r>
  <r>
    <x v="14"/>
    <d v="2026-01-26T00:00:00"/>
    <n v="67"/>
  </r>
  <r>
    <x v="14"/>
    <d v="2026-02-02T00:00:00"/>
    <n v="118"/>
  </r>
  <r>
    <x v="14"/>
    <d v="2026-02-09T00:00:00"/>
    <n v="27"/>
  </r>
  <r>
    <x v="14"/>
    <d v="2026-02-16T00:00:00"/>
    <n v="72"/>
  </r>
  <r>
    <x v="14"/>
    <d v="2026-02-23T00:00:00"/>
    <n v="79"/>
  </r>
  <r>
    <x v="14"/>
    <d v="2026-03-02T00:00:00"/>
    <n v="110"/>
  </r>
  <r>
    <x v="14"/>
    <d v="2026-03-09T00:00:00"/>
    <n v="19"/>
  </r>
  <r>
    <x v="14"/>
    <d v="2026-03-16T00:00:00"/>
    <n v="97"/>
  </r>
  <r>
    <x v="14"/>
    <d v="2026-03-23T00:00:00"/>
    <n v="94"/>
  </r>
  <r>
    <x v="14"/>
    <d v="2026-03-30T00:00:00"/>
    <n v="90"/>
  </r>
  <r>
    <x v="14"/>
    <d v="2026-04-06T00:00:00"/>
    <n v="129"/>
  </r>
  <r>
    <x v="14"/>
    <d v="2026-04-13T00:00:00"/>
    <n v="102"/>
  </r>
  <r>
    <x v="14"/>
    <d v="2026-04-20T00:00:00"/>
    <n v="77"/>
  </r>
  <r>
    <x v="14"/>
    <d v="2026-04-27T00:00:00"/>
    <n v="49"/>
  </r>
  <r>
    <x v="14"/>
    <d v="2026-05-04T00:00:00"/>
    <n v="133"/>
  </r>
  <r>
    <x v="14"/>
    <d v="2026-05-11T00:00:00"/>
    <n v="66"/>
  </r>
  <r>
    <x v="14"/>
    <d v="2026-05-18T00:00:00"/>
    <n v="92"/>
  </r>
  <r>
    <x v="14"/>
    <d v="2026-05-25T00:00:00"/>
    <n v="82"/>
  </r>
  <r>
    <x v="14"/>
    <d v="2026-06-01T00:00:00"/>
    <n v="89"/>
  </r>
  <r>
    <x v="14"/>
    <d v="2026-06-08T00:00:00"/>
    <n v="97"/>
  </r>
  <r>
    <x v="14"/>
    <d v="2026-06-15T00:00:00"/>
    <n v="62"/>
  </r>
  <r>
    <x v="14"/>
    <d v="2026-06-22T00:00:00"/>
    <n v="63"/>
  </r>
  <r>
    <x v="14"/>
    <d v="2026-06-29T00:00:00"/>
    <n v="135"/>
  </r>
  <r>
    <x v="15"/>
    <d v="2026-01-05T00:00:00"/>
    <n v="70"/>
  </r>
  <r>
    <x v="15"/>
    <d v="2026-01-12T00:00:00"/>
    <n v="67"/>
  </r>
  <r>
    <x v="15"/>
    <d v="2026-01-19T00:00:00"/>
    <n v="75"/>
  </r>
  <r>
    <x v="15"/>
    <d v="2026-01-26T00:00:00"/>
    <n v="72"/>
  </r>
  <r>
    <x v="15"/>
    <d v="2026-02-02T00:00:00"/>
    <n v="84"/>
  </r>
  <r>
    <x v="15"/>
    <d v="2026-02-09T00:00:00"/>
    <n v="77"/>
  </r>
  <r>
    <x v="15"/>
    <d v="2026-02-16T00:00:00"/>
    <n v="85"/>
  </r>
  <r>
    <x v="15"/>
    <d v="2026-02-23T00:00:00"/>
    <n v="82"/>
  </r>
  <r>
    <x v="15"/>
    <d v="2026-03-02T00:00:00"/>
    <n v="80"/>
  </r>
  <r>
    <x v="15"/>
    <d v="2026-03-09T00:00:00"/>
    <n v="83"/>
  </r>
  <r>
    <x v="15"/>
    <d v="2026-03-16T00:00:00"/>
    <n v="76"/>
  </r>
  <r>
    <x v="15"/>
    <d v="2026-03-23T00:00:00"/>
    <n v="88"/>
  </r>
  <r>
    <x v="15"/>
    <d v="2026-03-30T00:00:00"/>
    <n v="83"/>
  </r>
  <r>
    <x v="15"/>
    <d v="2026-04-06T00:00:00"/>
    <n v="79"/>
  </r>
  <r>
    <x v="15"/>
    <d v="2026-04-13T00:00:00"/>
    <n v="86"/>
  </r>
  <r>
    <x v="15"/>
    <d v="2026-04-20T00:00:00"/>
    <n v="93"/>
  </r>
  <r>
    <x v="15"/>
    <d v="2026-04-27T00:00:00"/>
    <n v="88"/>
  </r>
  <r>
    <x v="15"/>
    <d v="2026-05-04T00:00:00"/>
    <n v="72"/>
  </r>
  <r>
    <x v="15"/>
    <d v="2026-05-11T00:00:00"/>
    <n v="85"/>
  </r>
  <r>
    <x v="15"/>
    <d v="2026-05-18T00:00:00"/>
    <n v="91"/>
  </r>
  <r>
    <x v="15"/>
    <d v="2026-05-25T00:00:00"/>
    <n v="95"/>
  </r>
  <r>
    <x v="15"/>
    <d v="2026-06-01T00:00:00"/>
    <n v="86"/>
  </r>
  <r>
    <x v="15"/>
    <d v="2026-06-08T00:00:00"/>
    <n v="96"/>
  </r>
  <r>
    <x v="15"/>
    <d v="2026-06-15T00:00:00"/>
    <n v="100"/>
  </r>
  <r>
    <x v="15"/>
    <d v="2026-06-22T00:00:00"/>
    <n v="99"/>
  </r>
  <r>
    <x v="15"/>
    <d v="2026-06-29T00:00:00"/>
    <n v="84"/>
  </r>
  <r>
    <x v="16"/>
    <d v="2026-01-05T00:00:00"/>
    <n v="86"/>
  </r>
  <r>
    <x v="16"/>
    <d v="2026-01-12T00:00:00"/>
    <n v="85"/>
  </r>
  <r>
    <x v="16"/>
    <d v="2026-01-19T00:00:00"/>
    <n v="101"/>
  </r>
  <r>
    <x v="16"/>
    <d v="2026-01-26T00:00:00"/>
    <n v="95"/>
  </r>
  <r>
    <x v="16"/>
    <d v="2026-02-02T00:00:00"/>
    <n v="92"/>
  </r>
  <r>
    <x v="16"/>
    <d v="2026-02-09T00:00:00"/>
    <n v="86"/>
  </r>
  <r>
    <x v="16"/>
    <d v="2026-02-16T00:00:00"/>
    <n v="107"/>
  </r>
  <r>
    <x v="16"/>
    <d v="2026-02-23T00:00:00"/>
    <n v="95"/>
  </r>
  <r>
    <x v="16"/>
    <d v="2026-03-02T00:00:00"/>
    <n v="123"/>
  </r>
  <r>
    <x v="16"/>
    <d v="2026-03-09T00:00:00"/>
    <n v="107"/>
  </r>
  <r>
    <x v="16"/>
    <d v="2026-03-16T00:00:00"/>
    <n v="99"/>
  </r>
  <r>
    <x v="16"/>
    <d v="2026-03-23T00:00:00"/>
    <n v="96"/>
  </r>
  <r>
    <x v="16"/>
    <d v="2026-03-30T00:00:00"/>
    <n v="94"/>
  </r>
  <r>
    <x v="16"/>
    <d v="2026-04-06T00:00:00"/>
    <n v="116"/>
  </r>
  <r>
    <x v="16"/>
    <d v="2026-04-13T00:00:00"/>
    <n v="116"/>
  </r>
  <r>
    <x v="16"/>
    <d v="2026-04-20T00:00:00"/>
    <n v="131"/>
  </r>
  <r>
    <x v="16"/>
    <d v="2026-04-27T00:00:00"/>
    <n v="106"/>
  </r>
  <r>
    <x v="16"/>
    <d v="2026-05-04T00:00:00"/>
    <n v="92"/>
  </r>
  <r>
    <x v="16"/>
    <d v="2026-05-11T00:00:00"/>
    <n v="114"/>
  </r>
  <r>
    <x v="16"/>
    <d v="2026-05-18T00:00:00"/>
    <n v="110"/>
  </r>
  <r>
    <x v="16"/>
    <d v="2026-05-25T00:00:00"/>
    <n v="128"/>
  </r>
  <r>
    <x v="16"/>
    <d v="2026-06-01T00:00:00"/>
    <n v="106"/>
  </r>
  <r>
    <x v="16"/>
    <d v="2026-06-08T00:00:00"/>
    <n v="115"/>
  </r>
  <r>
    <x v="16"/>
    <d v="2026-06-15T00:00:00"/>
    <n v="137"/>
  </r>
  <r>
    <x v="16"/>
    <d v="2026-06-22T00:00:00"/>
    <n v="122"/>
  </r>
  <r>
    <x v="16"/>
    <d v="2026-06-29T00:00:00"/>
    <n v="139"/>
  </r>
  <r>
    <x v="17"/>
    <d v="2026-01-05T00:00:00"/>
    <n v="71"/>
  </r>
  <r>
    <x v="17"/>
    <d v="2026-01-12T00:00:00"/>
    <n v="59"/>
  </r>
  <r>
    <x v="17"/>
    <d v="2026-01-19T00:00:00"/>
    <n v="176"/>
  </r>
  <r>
    <x v="17"/>
    <d v="2026-01-26T00:00:00"/>
    <n v="60"/>
  </r>
  <r>
    <x v="17"/>
    <d v="2026-02-02T00:00:00"/>
    <n v="178"/>
  </r>
  <r>
    <x v="17"/>
    <d v="2026-02-09T00:00:00"/>
    <n v="130"/>
  </r>
  <r>
    <x v="17"/>
    <d v="2026-02-16T00:00:00"/>
    <n v="167"/>
  </r>
  <r>
    <x v="17"/>
    <d v="2026-02-23T00:00:00"/>
    <n v="59"/>
  </r>
  <r>
    <x v="17"/>
    <d v="2026-03-02T00:00:00"/>
    <n v="158"/>
  </r>
  <r>
    <x v="17"/>
    <d v="2026-03-09T00:00:00"/>
    <n v="171"/>
  </r>
  <r>
    <x v="17"/>
    <d v="2026-03-16T00:00:00"/>
    <n v="101"/>
  </r>
  <r>
    <x v="17"/>
    <d v="2026-03-23T00:00:00"/>
    <n v="102"/>
  </r>
  <r>
    <x v="17"/>
    <d v="2026-03-30T00:00:00"/>
    <n v="219"/>
  </r>
  <r>
    <x v="17"/>
    <d v="2026-04-06T00:00:00"/>
    <n v="118"/>
  </r>
  <r>
    <x v="17"/>
    <d v="2026-04-13T00:00:00"/>
    <n v="93"/>
  </r>
  <r>
    <x v="17"/>
    <d v="2026-04-20T00:00:00"/>
    <n v="85"/>
  </r>
  <r>
    <x v="17"/>
    <d v="2026-04-27T00:00:00"/>
    <n v="134"/>
  </r>
  <r>
    <x v="17"/>
    <d v="2026-05-04T00:00:00"/>
    <n v="130"/>
  </r>
  <r>
    <x v="17"/>
    <d v="2026-05-11T00:00:00"/>
    <n v="125"/>
  </r>
  <r>
    <x v="17"/>
    <d v="2026-05-18T00:00:00"/>
    <n v="195"/>
  </r>
  <r>
    <x v="17"/>
    <d v="2026-05-25T00:00:00"/>
    <n v="105"/>
  </r>
  <r>
    <x v="17"/>
    <d v="2026-06-01T00:00:00"/>
    <n v="142"/>
  </r>
  <r>
    <x v="17"/>
    <d v="2026-06-08T00:00:00"/>
    <n v="187"/>
  </r>
  <r>
    <x v="17"/>
    <d v="2026-06-15T00:00:00"/>
    <n v="78"/>
  </r>
  <r>
    <x v="17"/>
    <d v="2026-06-22T00:00:00"/>
    <n v="171"/>
  </r>
  <r>
    <x v="17"/>
    <d v="2026-06-29T00:00:00"/>
    <n v="208"/>
  </r>
  <r>
    <x v="18"/>
    <d v="2026-01-05T00:00:00"/>
    <n v="183"/>
  </r>
  <r>
    <x v="18"/>
    <d v="2026-01-12T00:00:00"/>
    <n v="151"/>
  </r>
  <r>
    <x v="18"/>
    <d v="2026-01-19T00:00:00"/>
    <n v="26"/>
  </r>
  <r>
    <x v="18"/>
    <d v="2026-01-26T00:00:00"/>
    <n v="74"/>
  </r>
  <r>
    <x v="18"/>
    <d v="2026-02-02T00:00:00"/>
    <n v="80"/>
  </r>
  <r>
    <x v="18"/>
    <d v="2026-02-09T00:00:00"/>
    <n v="154"/>
  </r>
  <r>
    <x v="18"/>
    <d v="2026-02-16T00:00:00"/>
    <n v="104"/>
  </r>
  <r>
    <x v="18"/>
    <d v="2026-02-23T00:00:00"/>
    <n v="120"/>
  </r>
  <r>
    <x v="18"/>
    <d v="2026-03-02T00:00:00"/>
    <n v="142"/>
  </r>
  <r>
    <x v="18"/>
    <d v="2026-03-09T00:00:00"/>
    <n v="40"/>
  </r>
  <r>
    <x v="18"/>
    <d v="2026-03-16T00:00:00"/>
    <n v="123"/>
  </r>
  <r>
    <x v="18"/>
    <d v="2026-03-23T00:00:00"/>
    <n v="123"/>
  </r>
  <r>
    <x v="18"/>
    <d v="2026-03-30T00:00:00"/>
    <n v="25"/>
  </r>
  <r>
    <x v="18"/>
    <d v="2026-04-06T00:00:00"/>
    <n v="154"/>
  </r>
  <r>
    <x v="18"/>
    <d v="2026-04-13T00:00:00"/>
    <n v="46"/>
  </r>
  <r>
    <x v="18"/>
    <d v="2026-04-20T00:00:00"/>
    <n v="121"/>
  </r>
  <r>
    <x v="18"/>
    <d v="2026-04-27T00:00:00"/>
    <n v="3"/>
  </r>
  <r>
    <x v="18"/>
    <d v="2026-05-04T00:00:00"/>
    <n v="124"/>
  </r>
  <r>
    <x v="18"/>
    <d v="2026-05-11T00:00:00"/>
    <n v="103"/>
  </r>
  <r>
    <x v="18"/>
    <d v="2026-05-18T00:00:00"/>
    <n v="80"/>
  </r>
  <r>
    <x v="18"/>
    <d v="2026-05-25T00:00:00"/>
    <n v="151"/>
  </r>
  <r>
    <x v="18"/>
    <d v="2026-06-01T00:00:00"/>
    <n v="176"/>
  </r>
  <r>
    <x v="18"/>
    <d v="2026-06-08T00:00:00"/>
    <n v="116"/>
  </r>
  <r>
    <x v="18"/>
    <d v="2026-06-15T00:00:00"/>
    <n v="91"/>
  </r>
  <r>
    <x v="18"/>
    <d v="2026-06-22T00:00:00"/>
    <n v="88"/>
  </r>
  <r>
    <x v="18"/>
    <d v="2026-06-29T00:00:00"/>
    <n v="193"/>
  </r>
  <r>
    <x v="19"/>
    <d v="2026-01-05T00:00:00"/>
    <n v="85"/>
  </r>
  <r>
    <x v="19"/>
    <d v="2026-01-12T00:00:00"/>
    <n v="69"/>
  </r>
  <r>
    <x v="19"/>
    <d v="2026-01-19T00:00:00"/>
    <n v="52"/>
  </r>
  <r>
    <x v="19"/>
    <d v="2026-01-26T00:00:00"/>
    <n v="97"/>
  </r>
  <r>
    <x v="19"/>
    <d v="2026-02-02T00:00:00"/>
    <n v="98"/>
  </r>
  <r>
    <x v="19"/>
    <d v="2026-02-09T00:00:00"/>
    <n v="91"/>
  </r>
  <r>
    <x v="19"/>
    <d v="2026-02-16T00:00:00"/>
    <n v="82"/>
  </r>
  <r>
    <x v="19"/>
    <d v="2026-02-23T00:00:00"/>
    <n v="83"/>
  </r>
  <r>
    <x v="19"/>
    <d v="2026-03-02T00:00:00"/>
    <n v="72"/>
  </r>
  <r>
    <x v="19"/>
    <d v="2026-03-09T00:00:00"/>
    <n v="75"/>
  </r>
  <r>
    <x v="19"/>
    <d v="2026-03-16T00:00:00"/>
    <n v="99"/>
  </r>
  <r>
    <x v="19"/>
    <d v="2026-03-23T00:00:00"/>
    <n v="85"/>
  </r>
  <r>
    <x v="19"/>
    <d v="2026-03-30T00:00:00"/>
    <n v="105"/>
  </r>
  <r>
    <x v="19"/>
    <d v="2026-04-06T00:00:00"/>
    <n v="90"/>
  </r>
  <r>
    <x v="19"/>
    <d v="2026-04-13T00:00:00"/>
    <n v="66"/>
  </r>
  <r>
    <x v="19"/>
    <d v="2026-04-20T00:00:00"/>
    <n v="96"/>
  </r>
  <r>
    <x v="19"/>
    <d v="2026-04-27T00:00:00"/>
    <n v="114"/>
  </r>
  <r>
    <x v="19"/>
    <d v="2026-05-04T00:00:00"/>
    <n v="100"/>
  </r>
  <r>
    <x v="19"/>
    <d v="2026-05-11T00:00:00"/>
    <n v="89"/>
  </r>
  <r>
    <x v="19"/>
    <d v="2026-05-18T00:00:00"/>
    <n v="90"/>
  </r>
  <r>
    <x v="19"/>
    <d v="2026-05-25T00:00:00"/>
    <n v="107"/>
  </r>
  <r>
    <x v="19"/>
    <d v="2026-06-01T00:00:00"/>
    <n v="91"/>
  </r>
  <r>
    <x v="19"/>
    <d v="2026-06-08T00:00:00"/>
    <n v="86"/>
  </r>
  <r>
    <x v="19"/>
    <d v="2026-06-15T00:00:00"/>
    <n v="105"/>
  </r>
  <r>
    <x v="19"/>
    <d v="2026-06-22T00:00:00"/>
    <n v="104"/>
  </r>
  <r>
    <x v="19"/>
    <d v="2026-06-29T00:00:00"/>
    <n v="96"/>
  </r>
  <r>
    <x v="20"/>
    <d v="2026-01-05T00:00:00"/>
    <n v="70"/>
  </r>
  <r>
    <x v="20"/>
    <d v="2026-01-12T00:00:00"/>
    <n v="74"/>
  </r>
  <r>
    <x v="20"/>
    <d v="2026-01-19T00:00:00"/>
    <n v="70"/>
  </r>
  <r>
    <x v="20"/>
    <d v="2026-01-26T00:00:00"/>
    <n v="81"/>
  </r>
  <r>
    <x v="20"/>
    <d v="2026-02-02T00:00:00"/>
    <n v="66"/>
  </r>
  <r>
    <x v="20"/>
    <d v="2026-02-09T00:00:00"/>
    <n v="75"/>
  </r>
  <r>
    <x v="20"/>
    <d v="2026-02-16T00:00:00"/>
    <n v="93"/>
  </r>
  <r>
    <x v="20"/>
    <d v="2026-02-23T00:00:00"/>
    <n v="75"/>
  </r>
  <r>
    <x v="20"/>
    <d v="2026-03-02T00:00:00"/>
    <n v="74"/>
  </r>
  <r>
    <x v="20"/>
    <d v="2026-03-09T00:00:00"/>
    <n v="83"/>
  </r>
  <r>
    <x v="20"/>
    <d v="2026-03-16T00:00:00"/>
    <n v="75"/>
  </r>
  <r>
    <x v="20"/>
    <d v="2026-03-23T00:00:00"/>
    <n v="81"/>
  </r>
  <r>
    <x v="20"/>
    <d v="2026-03-30T00:00:00"/>
    <n v="86"/>
  </r>
  <r>
    <x v="20"/>
    <d v="2026-04-06T00:00:00"/>
    <n v="95"/>
  </r>
  <r>
    <x v="20"/>
    <d v="2026-04-13T00:00:00"/>
    <n v="99"/>
  </r>
  <r>
    <x v="20"/>
    <d v="2026-04-20T00:00:00"/>
    <n v="100"/>
  </r>
  <r>
    <x v="20"/>
    <d v="2026-04-27T00:00:00"/>
    <n v="109"/>
  </r>
  <r>
    <x v="20"/>
    <d v="2026-05-04T00:00:00"/>
    <n v="101"/>
  </r>
  <r>
    <x v="20"/>
    <d v="2026-05-11T00:00:00"/>
    <n v="78"/>
  </r>
  <r>
    <x v="20"/>
    <d v="2026-05-18T00:00:00"/>
    <n v="94"/>
  </r>
  <r>
    <x v="20"/>
    <d v="2026-05-25T00:00:00"/>
    <n v="80"/>
  </r>
  <r>
    <x v="20"/>
    <d v="2026-06-01T00:00:00"/>
    <n v="96"/>
  </r>
  <r>
    <x v="20"/>
    <d v="2026-06-08T00:00:00"/>
    <n v="87"/>
  </r>
  <r>
    <x v="20"/>
    <d v="2026-06-15T00:00:00"/>
    <n v="94"/>
  </r>
  <r>
    <x v="20"/>
    <d v="2026-06-22T00:00:00"/>
    <n v="108"/>
  </r>
  <r>
    <x v="20"/>
    <d v="2026-06-29T00:00:00"/>
    <n v="98"/>
  </r>
  <r>
    <x v="21"/>
    <d v="2026-01-05T00:00:00"/>
    <n v="64"/>
  </r>
  <r>
    <x v="21"/>
    <d v="2026-01-12T00:00:00"/>
    <n v="59"/>
  </r>
  <r>
    <x v="21"/>
    <d v="2026-01-19T00:00:00"/>
    <n v="90"/>
  </r>
  <r>
    <x v="21"/>
    <d v="2026-01-26T00:00:00"/>
    <n v="70"/>
  </r>
  <r>
    <x v="21"/>
    <d v="2026-02-02T00:00:00"/>
    <n v="67"/>
  </r>
  <r>
    <x v="21"/>
    <d v="2026-02-09T00:00:00"/>
    <n v="69"/>
  </r>
  <r>
    <x v="21"/>
    <d v="2026-02-16T00:00:00"/>
    <n v="76"/>
  </r>
  <r>
    <x v="21"/>
    <d v="2026-02-23T00:00:00"/>
    <n v="67"/>
  </r>
  <r>
    <x v="21"/>
    <d v="2026-03-02T00:00:00"/>
    <n v="80"/>
  </r>
  <r>
    <x v="21"/>
    <d v="2026-03-09T00:00:00"/>
    <n v="77"/>
  </r>
  <r>
    <x v="21"/>
    <d v="2026-03-16T00:00:00"/>
    <n v="79"/>
  </r>
  <r>
    <x v="21"/>
    <d v="2026-03-23T00:00:00"/>
    <n v="75"/>
  </r>
  <r>
    <x v="21"/>
    <d v="2026-03-30T00:00:00"/>
    <n v="88"/>
  </r>
  <r>
    <x v="21"/>
    <d v="2026-04-06T00:00:00"/>
    <n v="83"/>
  </r>
  <r>
    <x v="21"/>
    <d v="2026-04-13T00:00:00"/>
    <n v="90"/>
  </r>
  <r>
    <x v="21"/>
    <d v="2026-04-20T00:00:00"/>
    <n v="93"/>
  </r>
  <r>
    <x v="21"/>
    <d v="2026-04-27T00:00:00"/>
    <n v="95"/>
  </r>
  <r>
    <x v="21"/>
    <d v="2026-05-04T00:00:00"/>
    <n v="67"/>
  </r>
  <r>
    <x v="21"/>
    <d v="2026-05-11T00:00:00"/>
    <n v="87"/>
  </r>
  <r>
    <x v="21"/>
    <d v="2026-05-18T00:00:00"/>
    <n v="85"/>
  </r>
  <r>
    <x v="21"/>
    <d v="2026-05-25T00:00:00"/>
    <n v="104"/>
  </r>
  <r>
    <x v="21"/>
    <d v="2026-06-01T00:00:00"/>
    <n v="78"/>
  </r>
  <r>
    <x v="21"/>
    <d v="2026-06-08T00:00:00"/>
    <n v="89"/>
  </r>
  <r>
    <x v="21"/>
    <d v="2026-06-15T00:00:00"/>
    <n v="95"/>
  </r>
  <r>
    <x v="21"/>
    <d v="2026-06-22T00:00:00"/>
    <n v="95"/>
  </r>
  <r>
    <x v="21"/>
    <d v="2026-06-29T00:00:00"/>
    <n v="112"/>
  </r>
  <r>
    <x v="22"/>
    <d v="2026-01-05T00:00:00"/>
    <n v="32"/>
  </r>
  <r>
    <x v="22"/>
    <d v="2026-01-12T00:00:00"/>
    <n v="45"/>
  </r>
  <r>
    <x v="22"/>
    <d v="2026-01-19T00:00:00"/>
    <n v="76"/>
  </r>
  <r>
    <x v="22"/>
    <d v="2026-01-26T00:00:00"/>
    <n v="45"/>
  </r>
  <r>
    <x v="22"/>
    <d v="2026-02-02T00:00:00"/>
    <n v="22"/>
  </r>
  <r>
    <x v="22"/>
    <d v="2026-02-09T00:00:00"/>
    <n v="54"/>
  </r>
  <r>
    <x v="22"/>
    <d v="2026-02-16T00:00:00"/>
    <n v="62"/>
  </r>
  <r>
    <x v="22"/>
    <d v="2026-02-23T00:00:00"/>
    <n v="40"/>
  </r>
  <r>
    <x v="22"/>
    <d v="2026-03-02T00:00:00"/>
    <n v="54"/>
  </r>
  <r>
    <x v="22"/>
    <d v="2026-03-09T00:00:00"/>
    <n v="43"/>
  </r>
  <r>
    <x v="22"/>
    <d v="2026-03-16T00:00:00"/>
    <n v="89"/>
  </r>
  <r>
    <x v="22"/>
    <d v="2026-03-23T00:00:00"/>
    <n v="75"/>
  </r>
  <r>
    <x v="22"/>
    <d v="2026-03-30T00:00:00"/>
    <n v="13"/>
  </r>
  <r>
    <x v="22"/>
    <d v="2026-04-06T00:00:00"/>
    <n v="30"/>
  </r>
  <r>
    <x v="22"/>
    <d v="2026-04-13T00:00:00"/>
    <n v="59"/>
  </r>
  <r>
    <x v="22"/>
    <d v="2026-04-20T00:00:00"/>
    <n v="57"/>
  </r>
  <r>
    <x v="22"/>
    <d v="2026-04-27T00:00:00"/>
    <n v="70"/>
  </r>
  <r>
    <x v="22"/>
    <d v="2026-05-04T00:00:00"/>
    <n v="43"/>
  </r>
  <r>
    <x v="22"/>
    <d v="2026-05-11T00:00:00"/>
    <n v="87"/>
  </r>
  <r>
    <x v="22"/>
    <d v="2026-05-18T00:00:00"/>
    <n v="80"/>
  </r>
  <r>
    <x v="22"/>
    <d v="2026-05-25T00:00:00"/>
    <n v="91"/>
  </r>
  <r>
    <x v="22"/>
    <d v="2026-06-01T00:00:00"/>
    <n v="54"/>
  </r>
  <r>
    <x v="22"/>
    <d v="2026-06-08T00:00:00"/>
    <n v="69"/>
  </r>
  <r>
    <x v="22"/>
    <d v="2026-06-15T00:00:00"/>
    <n v="73"/>
  </r>
  <r>
    <x v="22"/>
    <d v="2026-06-22T00:00:00"/>
    <n v="45"/>
  </r>
  <r>
    <x v="22"/>
    <d v="2026-06-29T00:00:00"/>
    <n v="23"/>
  </r>
  <r>
    <x v="23"/>
    <d v="2026-01-05T00:00:00"/>
    <n v="28"/>
  </r>
  <r>
    <x v="23"/>
    <d v="2026-01-12T00:00:00"/>
    <n v="29"/>
  </r>
  <r>
    <x v="23"/>
    <d v="2026-01-19T00:00:00"/>
    <n v="26"/>
  </r>
  <r>
    <x v="23"/>
    <d v="2026-01-26T00:00:00"/>
    <n v="31"/>
  </r>
  <r>
    <x v="23"/>
    <d v="2026-02-02T00:00:00"/>
    <n v="23"/>
  </r>
  <r>
    <x v="23"/>
    <d v="2026-02-09T00:00:00"/>
    <n v="29"/>
  </r>
  <r>
    <x v="23"/>
    <d v="2026-02-16T00:00:00"/>
    <n v="30"/>
  </r>
  <r>
    <x v="23"/>
    <d v="2026-02-23T00:00:00"/>
    <n v="27"/>
  </r>
  <r>
    <x v="23"/>
    <d v="2026-03-02T00:00:00"/>
    <n v="29"/>
  </r>
  <r>
    <x v="23"/>
    <d v="2026-03-09T00:00:00"/>
    <n v="25"/>
  </r>
  <r>
    <x v="23"/>
    <d v="2026-03-16T00:00:00"/>
    <n v="32"/>
  </r>
  <r>
    <x v="23"/>
    <d v="2026-03-23T00:00:00"/>
    <n v="34"/>
  </r>
  <r>
    <x v="23"/>
    <d v="2026-03-30T00:00:00"/>
    <n v="29"/>
  </r>
  <r>
    <x v="23"/>
    <d v="2026-04-06T00:00:00"/>
    <n v="34"/>
  </r>
  <r>
    <x v="23"/>
    <d v="2026-04-13T00:00:00"/>
    <n v="27"/>
  </r>
  <r>
    <x v="23"/>
    <d v="2026-04-20T00:00:00"/>
    <n v="31"/>
  </r>
  <r>
    <x v="23"/>
    <d v="2026-04-27T00:00:00"/>
    <n v="36"/>
  </r>
  <r>
    <x v="23"/>
    <d v="2026-05-04T00:00:00"/>
    <n v="28"/>
  </r>
  <r>
    <x v="23"/>
    <d v="2026-05-11T00:00:00"/>
    <n v="33"/>
  </r>
  <r>
    <x v="23"/>
    <d v="2026-05-18T00:00:00"/>
    <n v="33"/>
  </r>
  <r>
    <x v="23"/>
    <d v="2026-05-25T00:00:00"/>
    <n v="38"/>
  </r>
  <r>
    <x v="23"/>
    <d v="2026-06-01T00:00:00"/>
    <n v="35"/>
  </r>
  <r>
    <x v="23"/>
    <d v="2026-06-08T00:00:00"/>
    <n v="32"/>
  </r>
  <r>
    <x v="23"/>
    <d v="2026-06-15T00:00:00"/>
    <n v="31"/>
  </r>
  <r>
    <x v="23"/>
    <d v="2026-06-22T00:00:00"/>
    <n v="33"/>
  </r>
  <r>
    <x v="23"/>
    <d v="2026-06-29T00:00:00"/>
    <n v="36"/>
  </r>
  <r>
    <x v="24"/>
    <d v="2026-01-05T00:00:00"/>
    <n v="117"/>
  </r>
  <r>
    <x v="24"/>
    <d v="2026-01-12T00:00:00"/>
    <n v="61"/>
  </r>
  <r>
    <x v="24"/>
    <d v="2026-01-19T00:00:00"/>
    <n v="125"/>
  </r>
  <r>
    <x v="24"/>
    <d v="2026-01-26T00:00:00"/>
    <n v="107"/>
  </r>
  <r>
    <x v="24"/>
    <d v="2026-02-02T00:00:00"/>
    <n v="63"/>
  </r>
  <r>
    <x v="24"/>
    <d v="2026-02-09T00:00:00"/>
    <n v="80"/>
  </r>
  <r>
    <x v="24"/>
    <d v="2026-02-16T00:00:00"/>
    <n v="90"/>
  </r>
  <r>
    <x v="24"/>
    <d v="2026-02-23T00:00:00"/>
    <n v="82"/>
  </r>
  <r>
    <x v="24"/>
    <d v="2026-03-02T00:00:00"/>
    <n v="111"/>
  </r>
  <r>
    <x v="24"/>
    <d v="2026-03-09T00:00:00"/>
    <n v="70"/>
  </r>
  <r>
    <x v="24"/>
    <d v="2026-03-16T00:00:00"/>
    <n v="73"/>
  </r>
  <r>
    <x v="24"/>
    <d v="2026-03-23T00:00:00"/>
    <n v="66"/>
  </r>
  <r>
    <x v="24"/>
    <d v="2026-03-30T00:00:00"/>
    <n v="76"/>
  </r>
  <r>
    <x v="24"/>
    <d v="2026-04-06T00:00:00"/>
    <n v="124"/>
  </r>
  <r>
    <x v="24"/>
    <d v="2026-04-13T00:00:00"/>
    <n v="127"/>
  </r>
  <r>
    <x v="24"/>
    <d v="2026-04-20T00:00:00"/>
    <n v="28"/>
  </r>
  <r>
    <x v="24"/>
    <d v="2026-04-27T00:00:00"/>
    <n v="120"/>
  </r>
  <r>
    <x v="24"/>
    <d v="2026-05-04T00:00:00"/>
    <n v="68"/>
  </r>
  <r>
    <x v="24"/>
    <d v="2026-05-11T00:00:00"/>
    <n v="110"/>
  </r>
  <r>
    <x v="24"/>
    <d v="2026-05-18T00:00:00"/>
    <n v="126"/>
  </r>
  <r>
    <x v="24"/>
    <d v="2026-05-25T00:00:00"/>
    <n v="169"/>
  </r>
  <r>
    <x v="24"/>
    <d v="2026-06-01T00:00:00"/>
    <n v="108"/>
  </r>
  <r>
    <x v="24"/>
    <d v="2026-06-08T00:00:00"/>
    <n v="133"/>
  </r>
  <r>
    <x v="24"/>
    <d v="2026-06-15T00:00:00"/>
    <n v="91"/>
  </r>
  <r>
    <x v="24"/>
    <d v="2026-06-22T00:00:00"/>
    <n v="45"/>
  </r>
  <r>
    <x v="24"/>
    <d v="2026-06-29T00:00:00"/>
    <n v="62"/>
  </r>
  <r>
    <x v="25"/>
    <d v="2026-01-05T00:00:00"/>
    <n v="32"/>
  </r>
  <r>
    <x v="25"/>
    <d v="2026-01-12T00:00:00"/>
    <n v="40"/>
  </r>
  <r>
    <x v="25"/>
    <d v="2026-01-19T00:00:00"/>
    <n v="39"/>
  </r>
  <r>
    <x v="25"/>
    <d v="2026-01-26T00:00:00"/>
    <n v="32"/>
  </r>
  <r>
    <x v="25"/>
    <d v="2026-02-02T00:00:00"/>
    <n v="33"/>
  </r>
  <r>
    <x v="25"/>
    <d v="2026-02-09T00:00:00"/>
    <n v="30"/>
  </r>
  <r>
    <x v="25"/>
    <d v="2026-02-16T00:00:00"/>
    <n v="44"/>
  </r>
  <r>
    <x v="25"/>
    <d v="2026-02-23T00:00:00"/>
    <n v="32"/>
  </r>
  <r>
    <x v="25"/>
    <d v="2026-03-02T00:00:00"/>
    <n v="38"/>
  </r>
  <r>
    <x v="25"/>
    <d v="2026-03-09T00:00:00"/>
    <n v="38"/>
  </r>
  <r>
    <x v="25"/>
    <d v="2026-03-16T00:00:00"/>
    <n v="38"/>
  </r>
  <r>
    <x v="25"/>
    <d v="2026-03-23T00:00:00"/>
    <n v="44"/>
  </r>
  <r>
    <x v="25"/>
    <d v="2026-03-30T00:00:00"/>
    <n v="31"/>
  </r>
  <r>
    <x v="25"/>
    <d v="2026-04-06T00:00:00"/>
    <n v="35"/>
  </r>
  <r>
    <x v="25"/>
    <d v="2026-04-13T00:00:00"/>
    <n v="42"/>
  </r>
  <r>
    <x v="25"/>
    <d v="2026-04-20T00:00:00"/>
    <n v="40"/>
  </r>
  <r>
    <x v="25"/>
    <d v="2026-04-27T00:00:00"/>
    <n v="46"/>
  </r>
  <r>
    <x v="25"/>
    <d v="2026-05-04T00:00:00"/>
    <n v="34"/>
  </r>
  <r>
    <x v="25"/>
    <d v="2026-05-11T00:00:00"/>
    <n v="47"/>
  </r>
  <r>
    <x v="25"/>
    <d v="2026-05-18T00:00:00"/>
    <n v="38"/>
  </r>
  <r>
    <x v="25"/>
    <d v="2026-05-25T00:00:00"/>
    <n v="42"/>
  </r>
  <r>
    <x v="25"/>
    <d v="2026-06-01T00:00:00"/>
    <n v="54"/>
  </r>
  <r>
    <x v="25"/>
    <d v="2026-06-08T00:00:00"/>
    <n v="47"/>
  </r>
  <r>
    <x v="25"/>
    <d v="2026-06-15T00:00:00"/>
    <n v="37"/>
  </r>
  <r>
    <x v="25"/>
    <d v="2026-06-22T00:00:00"/>
    <n v="49"/>
  </r>
  <r>
    <x v="25"/>
    <d v="2026-06-29T00:00:00"/>
    <n v="43"/>
  </r>
  <r>
    <x v="26"/>
    <d v="2026-01-05T00:00:00"/>
    <n v="21"/>
  </r>
  <r>
    <x v="26"/>
    <d v="2026-01-12T00:00:00"/>
    <n v="26"/>
  </r>
  <r>
    <x v="26"/>
    <d v="2026-01-19T00:00:00"/>
    <n v="27"/>
  </r>
  <r>
    <x v="26"/>
    <d v="2026-01-26T00:00:00"/>
    <n v="20"/>
  </r>
  <r>
    <x v="26"/>
    <d v="2026-02-02T00:00:00"/>
    <n v="29"/>
  </r>
  <r>
    <x v="26"/>
    <d v="2026-02-09T00:00:00"/>
    <n v="26"/>
  </r>
  <r>
    <x v="26"/>
    <d v="2026-02-16T00:00:00"/>
    <n v="30"/>
  </r>
  <r>
    <x v="26"/>
    <d v="2026-02-23T00:00:00"/>
    <n v="29"/>
  </r>
  <r>
    <x v="26"/>
    <d v="2026-03-02T00:00:00"/>
    <n v="26"/>
  </r>
  <r>
    <x v="26"/>
    <d v="2026-03-09T00:00:00"/>
    <n v="20"/>
  </r>
  <r>
    <x v="26"/>
    <d v="2026-03-16T00:00:00"/>
    <n v="28"/>
  </r>
  <r>
    <x v="26"/>
    <d v="2026-03-23T00:00:00"/>
    <n v="28"/>
  </r>
  <r>
    <x v="26"/>
    <d v="2026-03-30T00:00:00"/>
    <n v="26"/>
  </r>
  <r>
    <x v="26"/>
    <d v="2026-04-06T00:00:00"/>
    <n v="32"/>
  </r>
  <r>
    <x v="26"/>
    <d v="2026-04-13T00:00:00"/>
    <n v="26"/>
  </r>
  <r>
    <x v="26"/>
    <d v="2026-04-20T00:00:00"/>
    <n v="29"/>
  </r>
  <r>
    <x v="26"/>
    <d v="2026-04-27T00:00:00"/>
    <n v="34"/>
  </r>
  <r>
    <x v="26"/>
    <d v="2026-05-04T00:00:00"/>
    <n v="32"/>
  </r>
  <r>
    <x v="26"/>
    <d v="2026-05-11T00:00:00"/>
    <n v="28"/>
  </r>
  <r>
    <x v="26"/>
    <d v="2026-05-18T00:00:00"/>
    <n v="31"/>
  </r>
  <r>
    <x v="26"/>
    <d v="2026-05-25T00:00:00"/>
    <n v="33"/>
  </r>
  <r>
    <x v="26"/>
    <d v="2026-06-01T00:00:00"/>
    <n v="29"/>
  </r>
  <r>
    <x v="26"/>
    <d v="2026-06-08T00:00:00"/>
    <n v="30"/>
  </r>
  <r>
    <x v="26"/>
    <d v="2026-06-15T00:00:00"/>
    <n v="33"/>
  </r>
  <r>
    <x v="26"/>
    <d v="2026-06-22T00:00:00"/>
    <n v="33"/>
  </r>
  <r>
    <x v="26"/>
    <d v="2026-06-29T00:00:00"/>
    <n v="35"/>
  </r>
  <r>
    <x v="27"/>
    <d v="2026-01-05T00:00:00"/>
    <n v="102"/>
  </r>
  <r>
    <x v="27"/>
    <d v="2026-01-12T00:00:00"/>
    <n v="139"/>
  </r>
  <r>
    <x v="27"/>
    <d v="2026-01-19T00:00:00"/>
    <n v="102"/>
  </r>
  <r>
    <x v="27"/>
    <d v="2026-01-26T00:00:00"/>
    <n v="136"/>
  </r>
  <r>
    <x v="27"/>
    <d v="2026-02-02T00:00:00"/>
    <n v="128"/>
  </r>
  <r>
    <x v="27"/>
    <d v="2026-02-09T00:00:00"/>
    <n v="131"/>
  </r>
  <r>
    <x v="27"/>
    <d v="2026-02-16T00:00:00"/>
    <n v="146"/>
  </r>
  <r>
    <x v="27"/>
    <d v="2026-02-23T00:00:00"/>
    <n v="129"/>
  </r>
  <r>
    <x v="27"/>
    <d v="2026-03-02T00:00:00"/>
    <n v="152"/>
  </r>
  <r>
    <x v="27"/>
    <d v="2026-03-09T00:00:00"/>
    <n v="149"/>
  </r>
  <r>
    <x v="27"/>
    <d v="2026-03-16T00:00:00"/>
    <n v="137"/>
  </r>
  <r>
    <x v="27"/>
    <d v="2026-03-23T00:00:00"/>
    <n v="124"/>
  </r>
  <r>
    <x v="27"/>
    <d v="2026-03-30T00:00:00"/>
    <n v="122"/>
  </r>
  <r>
    <x v="27"/>
    <d v="2026-04-06T00:00:00"/>
    <n v="128"/>
  </r>
  <r>
    <x v="27"/>
    <d v="2026-04-13T00:00:00"/>
    <n v="136"/>
  </r>
  <r>
    <x v="27"/>
    <d v="2026-04-20T00:00:00"/>
    <n v="141"/>
  </r>
  <r>
    <x v="27"/>
    <d v="2026-04-27T00:00:00"/>
    <n v="201"/>
  </r>
  <r>
    <x v="27"/>
    <d v="2026-05-04T00:00:00"/>
    <n v="157"/>
  </r>
  <r>
    <x v="27"/>
    <d v="2026-05-11T00:00:00"/>
    <n v="161"/>
  </r>
  <r>
    <x v="27"/>
    <d v="2026-05-18T00:00:00"/>
    <n v="132"/>
  </r>
  <r>
    <x v="27"/>
    <d v="2026-05-25T00:00:00"/>
    <n v="136"/>
  </r>
  <r>
    <x v="27"/>
    <d v="2026-06-01T00:00:00"/>
    <n v="145"/>
  </r>
  <r>
    <x v="27"/>
    <d v="2026-06-08T00:00:00"/>
    <n v="157"/>
  </r>
  <r>
    <x v="27"/>
    <d v="2026-06-15T00:00:00"/>
    <n v="134"/>
  </r>
  <r>
    <x v="27"/>
    <d v="2026-06-22T00:00:00"/>
    <n v="187"/>
  </r>
  <r>
    <x v="27"/>
    <d v="2026-06-29T00:00:00"/>
    <n v="147"/>
  </r>
  <r>
    <x v="28"/>
    <d v="2026-01-05T00:00:00"/>
    <n v="143"/>
  </r>
  <r>
    <x v="28"/>
    <d v="2026-01-12T00:00:00"/>
    <n v="146"/>
  </r>
  <r>
    <x v="28"/>
    <d v="2026-01-19T00:00:00"/>
    <n v="91"/>
  </r>
  <r>
    <x v="28"/>
    <d v="2026-01-26T00:00:00"/>
    <n v="174"/>
  </r>
  <r>
    <x v="28"/>
    <d v="2026-02-02T00:00:00"/>
    <n v="122"/>
  </r>
  <r>
    <x v="28"/>
    <d v="2026-02-09T00:00:00"/>
    <n v="130"/>
  </r>
  <r>
    <x v="28"/>
    <d v="2026-02-16T00:00:00"/>
    <n v="146"/>
  </r>
  <r>
    <x v="28"/>
    <d v="2026-02-23T00:00:00"/>
    <n v="134"/>
  </r>
  <r>
    <x v="28"/>
    <d v="2026-03-02T00:00:00"/>
    <n v="126"/>
  </r>
  <r>
    <x v="28"/>
    <d v="2026-03-09T00:00:00"/>
    <n v="113"/>
  </r>
  <r>
    <x v="28"/>
    <d v="2026-03-16T00:00:00"/>
    <n v="157"/>
  </r>
  <r>
    <x v="28"/>
    <d v="2026-03-23T00:00:00"/>
    <n v="105"/>
  </r>
  <r>
    <x v="28"/>
    <d v="2026-03-30T00:00:00"/>
    <n v="155"/>
  </r>
  <r>
    <x v="28"/>
    <d v="2026-04-06T00:00:00"/>
    <n v="120"/>
  </r>
  <r>
    <x v="28"/>
    <d v="2026-04-13T00:00:00"/>
    <n v="167"/>
  </r>
  <r>
    <x v="28"/>
    <d v="2026-04-20T00:00:00"/>
    <n v="130"/>
  </r>
  <r>
    <x v="28"/>
    <d v="2026-04-27T00:00:00"/>
    <n v="158"/>
  </r>
  <r>
    <x v="28"/>
    <d v="2026-05-04T00:00:00"/>
    <n v="155"/>
  </r>
  <r>
    <x v="28"/>
    <d v="2026-05-11T00:00:00"/>
    <n v="149"/>
  </r>
  <r>
    <x v="28"/>
    <d v="2026-05-18T00:00:00"/>
    <n v="157"/>
  </r>
  <r>
    <x v="28"/>
    <d v="2026-05-25T00:00:00"/>
    <n v="170"/>
  </r>
  <r>
    <x v="28"/>
    <d v="2026-06-01T00:00:00"/>
    <n v="142"/>
  </r>
  <r>
    <x v="28"/>
    <d v="2026-06-08T00:00:00"/>
    <n v="169"/>
  </r>
  <r>
    <x v="28"/>
    <d v="2026-06-15T00:00:00"/>
    <n v="188"/>
  </r>
  <r>
    <x v="28"/>
    <d v="2026-06-22T00:00:00"/>
    <n v="148"/>
  </r>
  <r>
    <x v="28"/>
    <d v="2026-06-29T00:00:00"/>
    <n v="169"/>
  </r>
  <r>
    <x v="29"/>
    <d v="2026-01-05T00:00:00"/>
    <n v="116"/>
  </r>
  <r>
    <x v="29"/>
    <d v="2026-01-12T00:00:00"/>
    <n v="111"/>
  </r>
  <r>
    <x v="29"/>
    <d v="2026-01-19T00:00:00"/>
    <n v="95"/>
  </r>
  <r>
    <x v="29"/>
    <d v="2026-01-26T00:00:00"/>
    <n v="131"/>
  </r>
  <r>
    <x v="29"/>
    <d v="2026-02-02T00:00:00"/>
    <n v="131"/>
  </r>
  <r>
    <x v="29"/>
    <d v="2026-02-09T00:00:00"/>
    <n v="102"/>
  </r>
  <r>
    <x v="29"/>
    <d v="2026-02-16T00:00:00"/>
    <n v="135"/>
  </r>
  <r>
    <x v="29"/>
    <d v="2026-02-23T00:00:00"/>
    <n v="123"/>
  </r>
  <r>
    <x v="29"/>
    <d v="2026-03-02T00:00:00"/>
    <n v="114"/>
  </r>
  <r>
    <x v="29"/>
    <d v="2026-03-09T00:00:00"/>
    <n v="104"/>
  </r>
  <r>
    <x v="29"/>
    <d v="2026-03-16T00:00:00"/>
    <n v="125"/>
  </r>
  <r>
    <x v="29"/>
    <d v="2026-03-23T00:00:00"/>
    <n v="122"/>
  </r>
  <r>
    <x v="29"/>
    <d v="2026-03-30T00:00:00"/>
    <n v="136"/>
  </r>
  <r>
    <x v="29"/>
    <d v="2026-04-06T00:00:00"/>
    <n v="141"/>
  </r>
  <r>
    <x v="29"/>
    <d v="2026-04-13T00:00:00"/>
    <n v="143"/>
  </r>
  <r>
    <x v="29"/>
    <d v="2026-04-20T00:00:00"/>
    <n v="122"/>
  </r>
  <r>
    <x v="29"/>
    <d v="2026-04-27T00:00:00"/>
    <n v="125"/>
  </r>
  <r>
    <x v="29"/>
    <d v="2026-05-04T00:00:00"/>
    <n v="146"/>
  </r>
  <r>
    <x v="29"/>
    <d v="2026-05-11T00:00:00"/>
    <n v="133"/>
  </r>
  <r>
    <x v="29"/>
    <d v="2026-05-18T00:00:00"/>
    <n v="129"/>
  </r>
  <r>
    <x v="29"/>
    <d v="2026-05-25T00:00:00"/>
    <n v="132"/>
  </r>
  <r>
    <x v="29"/>
    <d v="2026-06-01T00:00:00"/>
    <n v="145"/>
  </r>
  <r>
    <x v="29"/>
    <d v="2026-06-08T00:00:00"/>
    <n v="148"/>
  </r>
  <r>
    <x v="29"/>
    <d v="2026-06-15T00:00:00"/>
    <n v="149"/>
  </r>
  <r>
    <x v="29"/>
    <d v="2026-06-22T00:00:00"/>
    <n v="146"/>
  </r>
  <r>
    <x v="29"/>
    <d v="2026-06-29T00:00:00"/>
    <n v="150"/>
  </r>
  <r>
    <x v="30"/>
    <d v="2026-01-05T00:00:00"/>
    <n v="38"/>
  </r>
  <r>
    <x v="30"/>
    <d v="2026-01-12T00:00:00"/>
    <n v="29"/>
  </r>
  <r>
    <x v="30"/>
    <d v="2026-01-19T00:00:00"/>
    <n v="43"/>
  </r>
  <r>
    <x v="30"/>
    <d v="2026-01-26T00:00:00"/>
    <n v="28"/>
  </r>
  <r>
    <x v="30"/>
    <d v="2026-02-02T00:00:00"/>
    <n v="41"/>
  </r>
  <r>
    <x v="30"/>
    <d v="2026-02-09T00:00:00"/>
    <n v="45"/>
  </r>
  <r>
    <x v="30"/>
    <d v="2026-02-16T00:00:00"/>
    <n v="43"/>
  </r>
  <r>
    <x v="30"/>
    <d v="2026-02-23T00:00:00"/>
    <n v="40"/>
  </r>
  <r>
    <x v="30"/>
    <d v="2026-03-02T00:00:00"/>
    <n v="29"/>
  </r>
  <r>
    <x v="30"/>
    <d v="2026-03-09T00:00:00"/>
    <n v="44"/>
  </r>
  <r>
    <x v="30"/>
    <d v="2026-03-16T00:00:00"/>
    <n v="40"/>
  </r>
  <r>
    <x v="30"/>
    <d v="2026-03-23T00:00:00"/>
    <n v="22"/>
  </r>
  <r>
    <x v="30"/>
    <d v="2026-03-30T00:00:00"/>
    <n v="44"/>
  </r>
  <r>
    <x v="30"/>
    <d v="2026-04-06T00:00:00"/>
    <n v="36"/>
  </r>
  <r>
    <x v="30"/>
    <d v="2026-04-13T00:00:00"/>
    <n v="42"/>
  </r>
  <r>
    <x v="30"/>
    <d v="2026-04-20T00:00:00"/>
    <n v="40"/>
  </r>
  <r>
    <x v="30"/>
    <d v="2026-04-27T00:00:00"/>
    <n v="46"/>
  </r>
  <r>
    <x v="30"/>
    <d v="2026-05-04T00:00:00"/>
    <n v="40"/>
  </r>
  <r>
    <x v="30"/>
    <d v="2026-05-11T00:00:00"/>
    <n v="41"/>
  </r>
  <r>
    <x v="30"/>
    <d v="2026-05-18T00:00:00"/>
    <n v="45"/>
  </r>
  <r>
    <x v="30"/>
    <d v="2026-05-25T00:00:00"/>
    <n v="38"/>
  </r>
  <r>
    <x v="30"/>
    <d v="2026-06-01T00:00:00"/>
    <n v="47"/>
  </r>
  <r>
    <x v="30"/>
    <d v="2026-06-08T00:00:00"/>
    <n v="42"/>
  </r>
  <r>
    <x v="30"/>
    <d v="2026-06-15T00:00:00"/>
    <n v="39"/>
  </r>
  <r>
    <x v="30"/>
    <d v="2026-06-22T00:00:00"/>
    <n v="31"/>
  </r>
  <r>
    <x v="30"/>
    <d v="2026-06-29T00:00:00"/>
    <n v="48"/>
  </r>
  <r>
    <x v="31"/>
    <d v="2026-01-05T00:00:00"/>
    <n v="70"/>
  </r>
  <r>
    <x v="31"/>
    <d v="2026-01-12T00:00:00"/>
    <n v="85"/>
  </r>
  <r>
    <x v="31"/>
    <d v="2026-01-19T00:00:00"/>
    <n v="79"/>
  </r>
  <r>
    <x v="31"/>
    <d v="2026-01-26T00:00:00"/>
    <n v="83"/>
  </r>
  <r>
    <x v="31"/>
    <d v="2026-02-02T00:00:00"/>
    <n v="81"/>
  </r>
  <r>
    <x v="31"/>
    <d v="2026-02-09T00:00:00"/>
    <n v="66"/>
  </r>
  <r>
    <x v="31"/>
    <d v="2026-02-16T00:00:00"/>
    <n v="84"/>
  </r>
  <r>
    <x v="31"/>
    <d v="2026-02-23T00:00:00"/>
    <n v="91"/>
  </r>
  <r>
    <x v="31"/>
    <d v="2026-03-02T00:00:00"/>
    <n v="67"/>
  </r>
  <r>
    <x v="31"/>
    <d v="2026-03-09T00:00:00"/>
    <n v="105"/>
  </r>
  <r>
    <x v="31"/>
    <d v="2026-03-16T00:00:00"/>
    <n v="108"/>
  </r>
  <r>
    <x v="31"/>
    <d v="2026-03-23T00:00:00"/>
    <n v="105"/>
  </r>
  <r>
    <x v="31"/>
    <d v="2026-03-30T00:00:00"/>
    <n v="109"/>
  </r>
  <r>
    <x v="31"/>
    <d v="2026-04-06T00:00:00"/>
    <n v="93"/>
  </r>
  <r>
    <x v="31"/>
    <d v="2026-04-13T00:00:00"/>
    <n v="80"/>
  </r>
  <r>
    <x v="31"/>
    <d v="2026-04-20T00:00:00"/>
    <n v="77"/>
  </r>
  <r>
    <x v="31"/>
    <d v="2026-04-27T00:00:00"/>
    <n v="76"/>
  </r>
  <r>
    <x v="31"/>
    <d v="2026-05-04T00:00:00"/>
    <n v="89"/>
  </r>
  <r>
    <x v="31"/>
    <d v="2026-05-11T00:00:00"/>
    <n v="88"/>
  </r>
  <r>
    <x v="31"/>
    <d v="2026-05-18T00:00:00"/>
    <n v="98"/>
  </r>
  <r>
    <x v="31"/>
    <d v="2026-05-25T00:00:00"/>
    <n v="64"/>
  </r>
  <r>
    <x v="31"/>
    <d v="2026-06-01T00:00:00"/>
    <n v="121"/>
  </r>
  <r>
    <x v="31"/>
    <d v="2026-06-08T00:00:00"/>
    <n v="122"/>
  </r>
  <r>
    <x v="31"/>
    <d v="2026-06-15T00:00:00"/>
    <n v="93"/>
  </r>
  <r>
    <x v="31"/>
    <d v="2026-06-22T00:00:00"/>
    <n v="103"/>
  </r>
  <r>
    <x v="31"/>
    <d v="2026-06-29T00:00:00"/>
    <n v="101"/>
  </r>
  <r>
    <x v="32"/>
    <d v="2026-01-05T00:00:00"/>
    <n v="35"/>
  </r>
  <r>
    <x v="32"/>
    <d v="2026-01-12T00:00:00"/>
    <n v="33"/>
  </r>
  <r>
    <x v="32"/>
    <d v="2026-01-19T00:00:00"/>
    <n v="36"/>
  </r>
  <r>
    <x v="32"/>
    <d v="2026-01-26T00:00:00"/>
    <n v="36"/>
  </r>
  <r>
    <x v="32"/>
    <d v="2026-02-02T00:00:00"/>
    <n v="38"/>
  </r>
  <r>
    <x v="32"/>
    <d v="2026-02-09T00:00:00"/>
    <n v="35"/>
  </r>
  <r>
    <x v="32"/>
    <d v="2026-02-16T00:00:00"/>
    <n v="38"/>
  </r>
  <r>
    <x v="32"/>
    <d v="2026-02-23T00:00:00"/>
    <n v="38"/>
  </r>
  <r>
    <x v="32"/>
    <d v="2026-03-02T00:00:00"/>
    <n v="41"/>
  </r>
  <r>
    <x v="32"/>
    <d v="2026-03-09T00:00:00"/>
    <n v="36"/>
  </r>
  <r>
    <x v="32"/>
    <d v="2026-03-16T00:00:00"/>
    <n v="41"/>
  </r>
  <r>
    <x v="32"/>
    <d v="2026-03-23T00:00:00"/>
    <n v="43"/>
  </r>
  <r>
    <x v="32"/>
    <d v="2026-03-30T00:00:00"/>
    <n v="42"/>
  </r>
  <r>
    <x v="32"/>
    <d v="2026-04-06T00:00:00"/>
    <n v="40"/>
  </r>
  <r>
    <x v="32"/>
    <d v="2026-04-13T00:00:00"/>
    <n v="40"/>
  </r>
  <r>
    <x v="32"/>
    <d v="2026-04-20T00:00:00"/>
    <n v="41"/>
  </r>
  <r>
    <x v="32"/>
    <d v="2026-04-27T00:00:00"/>
    <n v="45"/>
  </r>
  <r>
    <x v="32"/>
    <d v="2026-05-04T00:00:00"/>
    <n v="48"/>
  </r>
  <r>
    <x v="32"/>
    <d v="2026-05-11T00:00:00"/>
    <n v="43"/>
  </r>
  <r>
    <x v="32"/>
    <d v="2026-05-18T00:00:00"/>
    <n v="42"/>
  </r>
  <r>
    <x v="32"/>
    <d v="2026-05-25T00:00:00"/>
    <n v="46"/>
  </r>
  <r>
    <x v="32"/>
    <d v="2026-06-01T00:00:00"/>
    <n v="46"/>
  </r>
  <r>
    <x v="32"/>
    <d v="2026-06-08T00:00:00"/>
    <n v="43"/>
  </r>
  <r>
    <x v="32"/>
    <d v="2026-06-15T00:00:00"/>
    <n v="44"/>
  </r>
  <r>
    <x v="32"/>
    <d v="2026-06-22T00:00:00"/>
    <n v="46"/>
  </r>
  <r>
    <x v="32"/>
    <d v="2026-06-29T00:00:00"/>
    <n v="49"/>
  </r>
  <r>
    <x v="33"/>
    <d v="2026-01-05T00:00:00"/>
    <n v="86"/>
  </r>
  <r>
    <x v="33"/>
    <d v="2026-01-12T00:00:00"/>
    <n v="87"/>
  </r>
  <r>
    <x v="33"/>
    <d v="2026-01-19T00:00:00"/>
    <n v="95"/>
  </r>
  <r>
    <x v="33"/>
    <d v="2026-01-26T00:00:00"/>
    <n v="99"/>
  </r>
  <r>
    <x v="33"/>
    <d v="2026-02-02T00:00:00"/>
    <n v="92"/>
  </r>
  <r>
    <x v="33"/>
    <d v="2026-02-09T00:00:00"/>
    <n v="82"/>
  </r>
  <r>
    <x v="33"/>
    <d v="2026-02-16T00:00:00"/>
    <n v="118"/>
  </r>
  <r>
    <x v="33"/>
    <d v="2026-02-23T00:00:00"/>
    <n v="74"/>
  </r>
  <r>
    <x v="33"/>
    <d v="2026-03-02T00:00:00"/>
    <n v="89"/>
  </r>
  <r>
    <x v="33"/>
    <d v="2026-03-09T00:00:00"/>
    <n v="103"/>
  </r>
  <r>
    <x v="33"/>
    <d v="2026-03-16T00:00:00"/>
    <n v="101"/>
  </r>
  <r>
    <x v="33"/>
    <d v="2026-03-23T00:00:00"/>
    <n v="128"/>
  </r>
  <r>
    <x v="33"/>
    <d v="2026-03-30T00:00:00"/>
    <n v="114"/>
  </r>
  <r>
    <x v="33"/>
    <d v="2026-04-06T00:00:00"/>
    <n v="107"/>
  </r>
  <r>
    <x v="33"/>
    <d v="2026-04-13T00:00:00"/>
    <n v="89"/>
  </r>
  <r>
    <x v="33"/>
    <d v="2026-04-20T00:00:00"/>
    <n v="125"/>
  </r>
  <r>
    <x v="33"/>
    <d v="2026-04-27T00:00:00"/>
    <n v="128"/>
  </r>
  <r>
    <x v="33"/>
    <d v="2026-05-04T00:00:00"/>
    <n v="131"/>
  </r>
  <r>
    <x v="33"/>
    <d v="2026-05-11T00:00:00"/>
    <n v="116"/>
  </r>
  <r>
    <x v="33"/>
    <d v="2026-05-18T00:00:00"/>
    <n v="136"/>
  </r>
  <r>
    <x v="33"/>
    <d v="2026-05-25T00:00:00"/>
    <n v="122"/>
  </r>
  <r>
    <x v="33"/>
    <d v="2026-06-01T00:00:00"/>
    <n v="119"/>
  </r>
  <r>
    <x v="33"/>
    <d v="2026-06-08T00:00:00"/>
    <n v="115"/>
  </r>
  <r>
    <x v="33"/>
    <d v="2026-06-15T00:00:00"/>
    <n v="103"/>
  </r>
  <r>
    <x v="33"/>
    <d v="2026-06-22T00:00:00"/>
    <n v="132"/>
  </r>
  <r>
    <x v="33"/>
    <d v="2026-06-29T00:00:00"/>
    <n v="113"/>
  </r>
  <r>
    <x v="34"/>
    <d v="2026-01-05T00:00:00"/>
    <n v="84"/>
  </r>
  <r>
    <x v="34"/>
    <d v="2026-01-12T00:00:00"/>
    <n v="79"/>
  </r>
  <r>
    <x v="34"/>
    <d v="2026-01-19T00:00:00"/>
    <n v="75"/>
  </r>
  <r>
    <x v="34"/>
    <d v="2026-01-26T00:00:00"/>
    <n v="101"/>
  </r>
  <r>
    <x v="34"/>
    <d v="2026-02-02T00:00:00"/>
    <n v="97"/>
  </r>
  <r>
    <x v="34"/>
    <d v="2026-02-09T00:00:00"/>
    <n v="64"/>
  </r>
  <r>
    <x v="34"/>
    <d v="2026-02-16T00:00:00"/>
    <n v="90"/>
  </r>
  <r>
    <x v="34"/>
    <d v="2026-02-23T00:00:00"/>
    <n v="65"/>
  </r>
  <r>
    <x v="34"/>
    <d v="2026-03-02T00:00:00"/>
    <n v="89"/>
  </r>
  <r>
    <x v="34"/>
    <d v="2026-03-09T00:00:00"/>
    <n v="74"/>
  </r>
  <r>
    <x v="34"/>
    <d v="2026-03-16T00:00:00"/>
    <n v="100"/>
  </r>
  <r>
    <x v="34"/>
    <d v="2026-03-23T00:00:00"/>
    <n v="97"/>
  </r>
  <r>
    <x v="34"/>
    <d v="2026-03-30T00:00:00"/>
    <n v="81"/>
  </r>
  <r>
    <x v="34"/>
    <d v="2026-04-06T00:00:00"/>
    <n v="86"/>
  </r>
  <r>
    <x v="34"/>
    <d v="2026-04-13T00:00:00"/>
    <n v="88"/>
  </r>
  <r>
    <x v="34"/>
    <d v="2026-04-20T00:00:00"/>
    <n v="79"/>
  </r>
  <r>
    <x v="34"/>
    <d v="2026-04-27T00:00:00"/>
    <n v="88"/>
  </r>
  <r>
    <x v="34"/>
    <d v="2026-05-04T00:00:00"/>
    <n v="95"/>
  </r>
  <r>
    <x v="34"/>
    <d v="2026-05-11T00:00:00"/>
    <n v="83"/>
  </r>
  <r>
    <x v="34"/>
    <d v="2026-05-18T00:00:00"/>
    <n v="85"/>
  </r>
  <r>
    <x v="34"/>
    <d v="2026-05-25T00:00:00"/>
    <n v="85"/>
  </r>
  <r>
    <x v="34"/>
    <d v="2026-06-01T00:00:00"/>
    <n v="109"/>
  </r>
  <r>
    <x v="34"/>
    <d v="2026-06-08T00:00:00"/>
    <n v="96"/>
  </r>
  <r>
    <x v="34"/>
    <d v="2026-06-15T00:00:00"/>
    <n v="94"/>
  </r>
  <r>
    <x v="34"/>
    <d v="2026-06-22T00:00:00"/>
    <n v="116"/>
  </r>
  <r>
    <x v="34"/>
    <d v="2026-06-29T00:00:00"/>
    <n v="86"/>
  </r>
  <r>
    <x v="35"/>
    <d v="2026-01-05T00:00:00"/>
    <n v="44"/>
  </r>
  <r>
    <x v="35"/>
    <d v="2026-01-12T00:00:00"/>
    <n v="46"/>
  </r>
  <r>
    <x v="35"/>
    <d v="2026-01-19T00:00:00"/>
    <n v="43"/>
  </r>
  <r>
    <x v="35"/>
    <d v="2026-01-26T00:00:00"/>
    <n v="49"/>
  </r>
  <r>
    <x v="35"/>
    <d v="2026-02-02T00:00:00"/>
    <n v="57"/>
  </r>
  <r>
    <x v="35"/>
    <d v="2026-02-09T00:00:00"/>
    <n v="56"/>
  </r>
  <r>
    <x v="35"/>
    <d v="2026-02-16T00:00:00"/>
    <n v="52"/>
  </r>
  <r>
    <x v="35"/>
    <d v="2026-02-23T00:00:00"/>
    <n v="51"/>
  </r>
  <r>
    <x v="35"/>
    <d v="2026-03-02T00:00:00"/>
    <n v="56"/>
  </r>
  <r>
    <x v="35"/>
    <d v="2026-03-09T00:00:00"/>
    <n v="57"/>
  </r>
  <r>
    <x v="35"/>
    <d v="2026-03-16T00:00:00"/>
    <n v="51"/>
  </r>
  <r>
    <x v="35"/>
    <d v="2026-03-23T00:00:00"/>
    <n v="55"/>
  </r>
  <r>
    <x v="35"/>
    <d v="2026-03-30T00:00:00"/>
    <n v="59"/>
  </r>
  <r>
    <x v="35"/>
    <d v="2026-04-06T00:00:00"/>
    <n v="59"/>
  </r>
  <r>
    <x v="35"/>
    <d v="2026-04-13T00:00:00"/>
    <n v="60"/>
  </r>
  <r>
    <x v="35"/>
    <d v="2026-04-20T00:00:00"/>
    <n v="62"/>
  </r>
  <r>
    <x v="35"/>
    <d v="2026-04-27T00:00:00"/>
    <n v="60"/>
  </r>
  <r>
    <x v="35"/>
    <d v="2026-05-04T00:00:00"/>
    <n v="57"/>
  </r>
  <r>
    <x v="35"/>
    <d v="2026-05-11T00:00:00"/>
    <n v="54"/>
  </r>
  <r>
    <x v="35"/>
    <d v="2026-05-18T00:00:00"/>
    <n v="57"/>
  </r>
  <r>
    <x v="35"/>
    <d v="2026-05-25T00:00:00"/>
    <n v="65"/>
  </r>
  <r>
    <x v="35"/>
    <d v="2026-06-01T00:00:00"/>
    <n v="68"/>
  </r>
  <r>
    <x v="35"/>
    <d v="2026-06-08T00:00:00"/>
    <n v="66"/>
  </r>
  <r>
    <x v="35"/>
    <d v="2026-06-15T00:00:00"/>
    <n v="61"/>
  </r>
  <r>
    <x v="35"/>
    <d v="2026-06-22T00:00:00"/>
    <n v="57"/>
  </r>
  <r>
    <x v="35"/>
    <d v="2026-06-29T00:00:00"/>
    <n v="68"/>
  </r>
  <r>
    <x v="36"/>
    <d v="2026-01-05T00:00:00"/>
    <n v="84"/>
  </r>
  <r>
    <x v="36"/>
    <d v="2026-01-12T00:00:00"/>
    <n v="83"/>
  </r>
  <r>
    <x v="36"/>
    <d v="2026-01-19T00:00:00"/>
    <n v="80"/>
  </r>
  <r>
    <x v="36"/>
    <d v="2026-01-26T00:00:00"/>
    <n v="91"/>
  </r>
  <r>
    <x v="36"/>
    <d v="2026-02-02T00:00:00"/>
    <n v="92"/>
  </r>
  <r>
    <x v="36"/>
    <d v="2026-02-09T00:00:00"/>
    <n v="78"/>
  </r>
  <r>
    <x v="36"/>
    <d v="2026-02-16T00:00:00"/>
    <n v="94"/>
  </r>
  <r>
    <x v="36"/>
    <d v="2026-02-23T00:00:00"/>
    <n v="82"/>
  </r>
  <r>
    <x v="36"/>
    <d v="2026-03-02T00:00:00"/>
    <n v="97"/>
  </r>
  <r>
    <x v="36"/>
    <d v="2026-03-09T00:00:00"/>
    <n v="91"/>
  </r>
  <r>
    <x v="36"/>
    <d v="2026-03-16T00:00:00"/>
    <n v="86"/>
  </r>
  <r>
    <x v="36"/>
    <d v="2026-03-23T00:00:00"/>
    <n v="99"/>
  </r>
  <r>
    <x v="36"/>
    <d v="2026-03-30T00:00:00"/>
    <n v="93"/>
  </r>
  <r>
    <x v="36"/>
    <d v="2026-04-06T00:00:00"/>
    <n v="100"/>
  </r>
  <r>
    <x v="36"/>
    <d v="2026-04-13T00:00:00"/>
    <n v="95"/>
  </r>
  <r>
    <x v="36"/>
    <d v="2026-04-20T00:00:00"/>
    <n v="93"/>
  </r>
  <r>
    <x v="36"/>
    <d v="2026-04-27T00:00:00"/>
    <n v="107"/>
  </r>
  <r>
    <x v="36"/>
    <d v="2026-05-04T00:00:00"/>
    <n v="93"/>
  </r>
  <r>
    <x v="36"/>
    <d v="2026-05-11T00:00:00"/>
    <n v="105"/>
  </r>
  <r>
    <x v="36"/>
    <d v="2026-05-18T00:00:00"/>
    <n v="103"/>
  </r>
  <r>
    <x v="36"/>
    <d v="2026-05-25T00:00:00"/>
    <n v="106"/>
  </r>
  <r>
    <x v="36"/>
    <d v="2026-06-01T00:00:00"/>
    <n v="111"/>
  </r>
  <r>
    <x v="36"/>
    <d v="2026-06-08T00:00:00"/>
    <n v="109"/>
  </r>
  <r>
    <x v="36"/>
    <d v="2026-06-15T00:00:00"/>
    <n v="117"/>
  </r>
  <r>
    <x v="36"/>
    <d v="2026-06-22T00:00:00"/>
    <n v="110"/>
  </r>
  <r>
    <x v="36"/>
    <d v="2026-06-29T00:00:00"/>
    <n v="117"/>
  </r>
  <r>
    <x v="37"/>
    <d v="2026-01-05T00:00:00"/>
    <n v="80"/>
  </r>
  <r>
    <x v="37"/>
    <d v="2026-01-12T00:00:00"/>
    <n v="60"/>
  </r>
  <r>
    <x v="37"/>
    <d v="2026-01-19T00:00:00"/>
    <n v="75"/>
  </r>
  <r>
    <x v="37"/>
    <d v="2026-01-26T00:00:00"/>
    <n v="46"/>
  </r>
  <r>
    <x v="37"/>
    <d v="2026-02-02T00:00:00"/>
    <n v="71"/>
  </r>
  <r>
    <x v="37"/>
    <d v="2026-02-09T00:00:00"/>
    <n v="67"/>
  </r>
  <r>
    <x v="37"/>
    <d v="2026-02-16T00:00:00"/>
    <n v="65"/>
  </r>
  <r>
    <x v="37"/>
    <d v="2026-02-23T00:00:00"/>
    <n v="64"/>
  </r>
  <r>
    <x v="37"/>
    <d v="2026-03-02T00:00:00"/>
    <n v="68"/>
  </r>
  <r>
    <x v="37"/>
    <d v="2026-03-09T00:00:00"/>
    <n v="65"/>
  </r>
  <r>
    <x v="37"/>
    <d v="2026-03-16T00:00:00"/>
    <n v="49"/>
  </r>
  <r>
    <x v="37"/>
    <d v="2026-03-23T00:00:00"/>
    <n v="68"/>
  </r>
  <r>
    <x v="37"/>
    <d v="2026-03-30T00:00:00"/>
    <n v="69"/>
  </r>
  <r>
    <x v="37"/>
    <d v="2026-04-06T00:00:00"/>
    <n v="70"/>
  </r>
  <r>
    <x v="37"/>
    <d v="2026-04-13T00:00:00"/>
    <n v="65"/>
  </r>
  <r>
    <x v="37"/>
    <d v="2026-04-20T00:00:00"/>
    <n v="77"/>
  </r>
  <r>
    <x v="37"/>
    <d v="2026-04-27T00:00:00"/>
    <n v="88"/>
  </r>
  <r>
    <x v="37"/>
    <d v="2026-05-04T00:00:00"/>
    <n v="77"/>
  </r>
  <r>
    <x v="37"/>
    <d v="2026-05-11T00:00:00"/>
    <n v="75"/>
  </r>
  <r>
    <x v="37"/>
    <d v="2026-05-18T00:00:00"/>
    <n v="97"/>
  </r>
  <r>
    <x v="37"/>
    <d v="2026-05-25T00:00:00"/>
    <n v="93"/>
  </r>
  <r>
    <x v="37"/>
    <d v="2026-06-01T00:00:00"/>
    <n v="94"/>
  </r>
  <r>
    <x v="37"/>
    <d v="2026-06-08T00:00:00"/>
    <n v="97"/>
  </r>
  <r>
    <x v="37"/>
    <d v="2026-06-15T00:00:00"/>
    <n v="81"/>
  </r>
  <r>
    <x v="37"/>
    <d v="2026-06-22T00:00:00"/>
    <n v="85"/>
  </r>
  <r>
    <x v="37"/>
    <d v="2026-06-29T00:00:00"/>
    <n v="99"/>
  </r>
  <r>
    <x v="38"/>
    <d v="2026-01-05T00:00:00"/>
    <n v="33"/>
  </r>
  <r>
    <x v="38"/>
    <d v="2026-01-12T00:00:00"/>
    <n v="104"/>
  </r>
  <r>
    <x v="38"/>
    <d v="2026-01-19T00:00:00"/>
    <n v="160"/>
  </r>
  <r>
    <x v="38"/>
    <d v="2026-01-26T00:00:00"/>
    <n v="21"/>
  </r>
  <r>
    <x v="38"/>
    <d v="2026-02-02T00:00:00"/>
    <n v="56"/>
  </r>
  <r>
    <x v="38"/>
    <d v="2026-02-09T00:00:00"/>
    <n v="72"/>
  </r>
  <r>
    <x v="38"/>
    <d v="2026-02-16T00:00:00"/>
    <n v="83"/>
  </r>
  <r>
    <x v="38"/>
    <d v="2026-02-23T00:00:00"/>
    <n v="18"/>
  </r>
  <r>
    <x v="38"/>
    <d v="2026-03-02T00:00:00"/>
    <n v="81"/>
  </r>
  <r>
    <x v="38"/>
    <d v="2026-03-09T00:00:00"/>
    <n v="141"/>
  </r>
  <r>
    <x v="38"/>
    <d v="2026-03-16T00:00:00"/>
    <n v="83"/>
  </r>
  <r>
    <x v="38"/>
    <d v="2026-03-23T00:00:00"/>
    <n v="66"/>
  </r>
  <r>
    <x v="38"/>
    <d v="2026-03-30T00:00:00"/>
    <n v="54"/>
  </r>
  <r>
    <x v="38"/>
    <d v="2026-04-06T00:00:00"/>
    <n v="134"/>
  </r>
  <r>
    <x v="38"/>
    <d v="2026-04-13T00:00:00"/>
    <n v="36"/>
  </r>
  <r>
    <x v="38"/>
    <d v="2026-04-20T00:00:00"/>
    <n v="169"/>
  </r>
  <r>
    <x v="38"/>
    <d v="2026-04-27T00:00:00"/>
    <n v="84"/>
  </r>
  <r>
    <x v="38"/>
    <d v="2026-05-04T00:00:00"/>
    <n v="150"/>
  </r>
  <r>
    <x v="38"/>
    <d v="2026-05-11T00:00:00"/>
    <n v="108"/>
  </r>
  <r>
    <x v="38"/>
    <d v="2026-05-18T00:00:00"/>
    <n v="94"/>
  </r>
  <r>
    <x v="38"/>
    <d v="2026-05-25T00:00:00"/>
    <n v="91"/>
  </r>
  <r>
    <x v="38"/>
    <d v="2026-06-01T00:00:00"/>
    <n v="131"/>
  </r>
  <r>
    <x v="38"/>
    <d v="2026-06-08T00:00:00"/>
    <n v="0"/>
  </r>
  <r>
    <x v="38"/>
    <d v="2026-06-15T00:00:00"/>
    <n v="75"/>
  </r>
  <r>
    <x v="38"/>
    <d v="2026-06-22T00:00:00"/>
    <n v="29"/>
  </r>
  <r>
    <x v="38"/>
    <d v="2026-06-29T00:00:00"/>
    <n v="172"/>
  </r>
  <r>
    <x v="39"/>
    <d v="2026-01-05T00:00:00"/>
    <n v="36"/>
  </r>
  <r>
    <x v="39"/>
    <d v="2026-01-12T00:00:00"/>
    <n v="44"/>
  </r>
  <r>
    <x v="39"/>
    <d v="2026-01-19T00:00:00"/>
    <n v="31"/>
  </r>
  <r>
    <x v="39"/>
    <d v="2026-01-26T00:00:00"/>
    <n v="37"/>
  </r>
  <r>
    <x v="39"/>
    <d v="2026-02-02T00:00:00"/>
    <n v="42"/>
  </r>
  <r>
    <x v="39"/>
    <d v="2026-02-09T00:00:00"/>
    <n v="37"/>
  </r>
  <r>
    <x v="39"/>
    <d v="2026-02-16T00:00:00"/>
    <n v="38"/>
  </r>
  <r>
    <x v="39"/>
    <d v="2026-02-23T00:00:00"/>
    <n v="35"/>
  </r>
  <r>
    <x v="39"/>
    <d v="2026-03-02T00:00:00"/>
    <n v="51"/>
  </r>
  <r>
    <x v="39"/>
    <d v="2026-03-09T00:00:00"/>
    <n v="45"/>
  </r>
  <r>
    <x v="39"/>
    <d v="2026-03-16T00:00:00"/>
    <n v="38"/>
  </r>
  <r>
    <x v="39"/>
    <d v="2026-03-23T00:00:00"/>
    <n v="41"/>
  </r>
  <r>
    <x v="39"/>
    <d v="2026-03-30T00:00:00"/>
    <n v="35"/>
  </r>
  <r>
    <x v="39"/>
    <d v="2026-04-06T00:00:00"/>
    <n v="46"/>
  </r>
  <r>
    <x v="39"/>
    <d v="2026-04-13T00:00:00"/>
    <n v="41"/>
  </r>
  <r>
    <x v="39"/>
    <d v="2026-04-20T00:00:00"/>
    <n v="39"/>
  </r>
  <r>
    <x v="39"/>
    <d v="2026-04-27T00:00:00"/>
    <n v="45"/>
  </r>
  <r>
    <x v="39"/>
    <d v="2026-05-04T00:00:00"/>
    <n v="59"/>
  </r>
  <r>
    <x v="39"/>
    <d v="2026-05-11T00:00:00"/>
    <n v="43"/>
  </r>
  <r>
    <x v="39"/>
    <d v="2026-05-18T00:00:00"/>
    <n v="40"/>
  </r>
  <r>
    <x v="39"/>
    <d v="2026-05-25T00:00:00"/>
    <n v="41"/>
  </r>
  <r>
    <x v="39"/>
    <d v="2026-06-01T00:00:00"/>
    <n v="50"/>
  </r>
  <r>
    <x v="39"/>
    <d v="2026-06-08T00:00:00"/>
    <n v="41"/>
  </r>
  <r>
    <x v="39"/>
    <d v="2026-06-15T00:00:00"/>
    <n v="38"/>
  </r>
  <r>
    <x v="39"/>
    <d v="2026-06-22T00:00:00"/>
    <n v="53"/>
  </r>
  <r>
    <x v="39"/>
    <d v="2026-06-29T00:00:00"/>
    <n v="37"/>
  </r>
  <r>
    <x v="40"/>
    <d v="2026-01-05T00:00:00"/>
    <n v="91"/>
  </r>
  <r>
    <x v="40"/>
    <d v="2026-01-12T00:00:00"/>
    <n v="69"/>
  </r>
  <r>
    <x v="40"/>
    <d v="2026-01-19T00:00:00"/>
    <n v="89"/>
  </r>
  <r>
    <x v="40"/>
    <d v="2026-01-26T00:00:00"/>
    <n v="84"/>
  </r>
  <r>
    <x v="40"/>
    <d v="2026-02-02T00:00:00"/>
    <n v="78"/>
  </r>
  <r>
    <x v="40"/>
    <d v="2026-02-09T00:00:00"/>
    <n v="79"/>
  </r>
  <r>
    <x v="40"/>
    <d v="2026-02-16T00:00:00"/>
    <n v="85"/>
  </r>
  <r>
    <x v="40"/>
    <d v="2026-02-23T00:00:00"/>
    <n v="81"/>
  </r>
  <r>
    <x v="40"/>
    <d v="2026-03-02T00:00:00"/>
    <n v="96"/>
  </r>
  <r>
    <x v="40"/>
    <d v="2026-03-09T00:00:00"/>
    <n v="95"/>
  </r>
  <r>
    <x v="40"/>
    <d v="2026-03-16T00:00:00"/>
    <n v="88"/>
  </r>
  <r>
    <x v="40"/>
    <d v="2026-03-23T00:00:00"/>
    <n v="92"/>
  </r>
  <r>
    <x v="40"/>
    <d v="2026-03-30T00:00:00"/>
    <n v="75"/>
  </r>
  <r>
    <x v="40"/>
    <d v="2026-04-06T00:00:00"/>
    <n v="109"/>
  </r>
  <r>
    <x v="40"/>
    <d v="2026-04-13T00:00:00"/>
    <n v="105"/>
  </r>
  <r>
    <x v="40"/>
    <d v="2026-04-20T00:00:00"/>
    <n v="109"/>
  </r>
  <r>
    <x v="40"/>
    <d v="2026-04-27T00:00:00"/>
    <n v="97"/>
  </r>
  <r>
    <x v="40"/>
    <d v="2026-05-04T00:00:00"/>
    <n v="110"/>
  </r>
  <r>
    <x v="40"/>
    <d v="2026-05-11T00:00:00"/>
    <n v="112"/>
  </r>
  <r>
    <x v="40"/>
    <d v="2026-05-18T00:00:00"/>
    <n v="111"/>
  </r>
  <r>
    <x v="40"/>
    <d v="2026-05-25T00:00:00"/>
    <n v="101"/>
  </r>
  <r>
    <x v="40"/>
    <d v="2026-06-01T00:00:00"/>
    <n v="98"/>
  </r>
  <r>
    <x v="40"/>
    <d v="2026-06-08T00:00:00"/>
    <n v="101"/>
  </r>
  <r>
    <x v="40"/>
    <d v="2026-06-15T00:00:00"/>
    <n v="112"/>
  </r>
  <r>
    <x v="40"/>
    <d v="2026-06-22T00:00:00"/>
    <n v="97"/>
  </r>
  <r>
    <x v="40"/>
    <d v="2026-06-29T00:00:00"/>
    <n v="107"/>
  </r>
  <r>
    <x v="41"/>
    <d v="2026-01-05T00:00:00"/>
    <n v="102"/>
  </r>
  <r>
    <x v="41"/>
    <d v="2026-01-12T00:00:00"/>
    <n v="77"/>
  </r>
  <r>
    <x v="41"/>
    <d v="2026-01-19T00:00:00"/>
    <n v="87"/>
  </r>
  <r>
    <x v="41"/>
    <d v="2026-01-26T00:00:00"/>
    <n v="101"/>
  </r>
  <r>
    <x v="41"/>
    <d v="2026-02-02T00:00:00"/>
    <n v="106"/>
  </r>
  <r>
    <x v="41"/>
    <d v="2026-02-09T00:00:00"/>
    <n v="113"/>
  </r>
  <r>
    <x v="41"/>
    <d v="2026-02-16T00:00:00"/>
    <n v="114"/>
  </r>
  <r>
    <x v="41"/>
    <d v="2026-02-23T00:00:00"/>
    <n v="118"/>
  </r>
  <r>
    <x v="41"/>
    <d v="2026-03-02T00:00:00"/>
    <n v="103"/>
  </r>
  <r>
    <x v="41"/>
    <d v="2026-03-09T00:00:00"/>
    <n v="106"/>
  </r>
  <r>
    <x v="41"/>
    <d v="2026-03-16T00:00:00"/>
    <n v="119"/>
  </r>
  <r>
    <x v="41"/>
    <d v="2026-03-23T00:00:00"/>
    <n v="106"/>
  </r>
  <r>
    <x v="41"/>
    <d v="2026-03-30T00:00:00"/>
    <n v="125"/>
  </r>
  <r>
    <x v="41"/>
    <d v="2026-04-06T00:00:00"/>
    <n v="96"/>
  </r>
  <r>
    <x v="41"/>
    <d v="2026-04-13T00:00:00"/>
    <n v="123"/>
  </r>
  <r>
    <x v="41"/>
    <d v="2026-04-20T00:00:00"/>
    <n v="115"/>
  </r>
  <r>
    <x v="41"/>
    <d v="2026-04-27T00:00:00"/>
    <n v="95"/>
  </r>
  <r>
    <x v="41"/>
    <d v="2026-05-04T00:00:00"/>
    <n v="130"/>
  </r>
  <r>
    <x v="41"/>
    <d v="2026-05-11T00:00:00"/>
    <n v="124"/>
  </r>
  <r>
    <x v="41"/>
    <d v="2026-05-18T00:00:00"/>
    <n v="122"/>
  </r>
  <r>
    <x v="41"/>
    <d v="2026-05-25T00:00:00"/>
    <n v="111"/>
  </r>
  <r>
    <x v="41"/>
    <d v="2026-06-01T00:00:00"/>
    <n v="119"/>
  </r>
  <r>
    <x v="41"/>
    <d v="2026-06-08T00:00:00"/>
    <n v="143"/>
  </r>
  <r>
    <x v="41"/>
    <d v="2026-06-15T00:00:00"/>
    <n v="118"/>
  </r>
  <r>
    <x v="41"/>
    <d v="2026-06-22T00:00:00"/>
    <n v="88"/>
  </r>
  <r>
    <x v="41"/>
    <d v="2026-06-29T00:00:00"/>
    <n v="120"/>
  </r>
  <r>
    <x v="42"/>
    <d v="2026-01-05T00:00:00"/>
    <n v="79"/>
  </r>
  <r>
    <x v="42"/>
    <d v="2026-01-12T00:00:00"/>
    <n v="67"/>
  </r>
  <r>
    <x v="42"/>
    <d v="2026-01-19T00:00:00"/>
    <n v="79"/>
  </r>
  <r>
    <x v="42"/>
    <d v="2026-01-26T00:00:00"/>
    <n v="85"/>
  </r>
  <r>
    <x v="42"/>
    <d v="2026-02-02T00:00:00"/>
    <n v="78"/>
  </r>
  <r>
    <x v="42"/>
    <d v="2026-02-09T00:00:00"/>
    <n v="72"/>
  </r>
  <r>
    <x v="42"/>
    <d v="2026-02-16T00:00:00"/>
    <n v="93"/>
  </r>
  <r>
    <x v="42"/>
    <d v="2026-02-23T00:00:00"/>
    <n v="89"/>
  </r>
  <r>
    <x v="42"/>
    <d v="2026-03-02T00:00:00"/>
    <n v="92"/>
  </r>
  <r>
    <x v="42"/>
    <d v="2026-03-09T00:00:00"/>
    <n v="106"/>
  </r>
  <r>
    <x v="42"/>
    <d v="2026-03-16T00:00:00"/>
    <n v="71"/>
  </r>
  <r>
    <x v="42"/>
    <d v="2026-03-23T00:00:00"/>
    <n v="93"/>
  </r>
  <r>
    <x v="42"/>
    <d v="2026-03-30T00:00:00"/>
    <n v="102"/>
  </r>
  <r>
    <x v="42"/>
    <d v="2026-04-06T00:00:00"/>
    <n v="92"/>
  </r>
  <r>
    <x v="42"/>
    <d v="2026-04-13T00:00:00"/>
    <n v="102"/>
  </r>
  <r>
    <x v="42"/>
    <d v="2026-04-20T00:00:00"/>
    <n v="111"/>
  </r>
  <r>
    <x v="42"/>
    <d v="2026-04-27T00:00:00"/>
    <n v="78"/>
  </r>
  <r>
    <x v="42"/>
    <d v="2026-05-04T00:00:00"/>
    <n v="114"/>
  </r>
  <r>
    <x v="42"/>
    <d v="2026-05-11T00:00:00"/>
    <n v="116"/>
  </r>
  <r>
    <x v="42"/>
    <d v="2026-05-18T00:00:00"/>
    <n v="90"/>
  </r>
  <r>
    <x v="42"/>
    <d v="2026-05-25T00:00:00"/>
    <n v="94"/>
  </r>
  <r>
    <x v="42"/>
    <d v="2026-06-01T00:00:00"/>
    <n v="81"/>
  </r>
  <r>
    <x v="42"/>
    <d v="2026-06-08T00:00:00"/>
    <n v="117"/>
  </r>
  <r>
    <x v="42"/>
    <d v="2026-06-15T00:00:00"/>
    <n v="114"/>
  </r>
  <r>
    <x v="42"/>
    <d v="2026-06-22T00:00:00"/>
    <n v="103"/>
  </r>
  <r>
    <x v="42"/>
    <d v="2026-06-29T00:00:00"/>
    <n v="113"/>
  </r>
  <r>
    <x v="43"/>
    <d v="2026-01-05T00:00:00"/>
    <n v="66"/>
  </r>
  <r>
    <x v="43"/>
    <d v="2026-01-12T00:00:00"/>
    <n v="65"/>
  </r>
  <r>
    <x v="43"/>
    <d v="2026-01-19T00:00:00"/>
    <n v="50"/>
  </r>
  <r>
    <x v="43"/>
    <d v="2026-01-26T00:00:00"/>
    <n v="43"/>
  </r>
  <r>
    <x v="43"/>
    <d v="2026-02-02T00:00:00"/>
    <n v="73"/>
  </r>
  <r>
    <x v="43"/>
    <d v="2026-02-09T00:00:00"/>
    <n v="57"/>
  </r>
  <r>
    <x v="43"/>
    <d v="2026-02-16T00:00:00"/>
    <n v="54"/>
  </r>
  <r>
    <x v="43"/>
    <d v="2026-02-23T00:00:00"/>
    <n v="61"/>
  </r>
  <r>
    <x v="43"/>
    <d v="2026-03-02T00:00:00"/>
    <n v="58"/>
  </r>
  <r>
    <x v="43"/>
    <d v="2026-03-09T00:00:00"/>
    <n v="69"/>
  </r>
  <r>
    <x v="43"/>
    <d v="2026-03-16T00:00:00"/>
    <n v="56"/>
  </r>
  <r>
    <x v="43"/>
    <d v="2026-03-23T00:00:00"/>
    <n v="62"/>
  </r>
  <r>
    <x v="43"/>
    <d v="2026-03-30T00:00:00"/>
    <n v="67"/>
  </r>
  <r>
    <x v="43"/>
    <d v="2026-04-06T00:00:00"/>
    <n v="73"/>
  </r>
  <r>
    <x v="43"/>
    <d v="2026-04-13T00:00:00"/>
    <n v="58"/>
  </r>
  <r>
    <x v="43"/>
    <d v="2026-04-20T00:00:00"/>
    <n v="61"/>
  </r>
  <r>
    <x v="43"/>
    <d v="2026-04-27T00:00:00"/>
    <n v="76"/>
  </r>
  <r>
    <x v="43"/>
    <d v="2026-05-04T00:00:00"/>
    <n v="66"/>
  </r>
  <r>
    <x v="43"/>
    <d v="2026-05-11T00:00:00"/>
    <n v="75"/>
  </r>
  <r>
    <x v="43"/>
    <d v="2026-05-18T00:00:00"/>
    <n v="70"/>
  </r>
  <r>
    <x v="43"/>
    <d v="2026-05-25T00:00:00"/>
    <n v="70"/>
  </r>
  <r>
    <x v="43"/>
    <d v="2026-06-01T00:00:00"/>
    <n v="63"/>
  </r>
  <r>
    <x v="43"/>
    <d v="2026-06-08T00:00:00"/>
    <n v="70"/>
  </r>
  <r>
    <x v="43"/>
    <d v="2026-06-15T00:00:00"/>
    <n v="70"/>
  </r>
  <r>
    <x v="43"/>
    <d v="2026-06-22T00:00:00"/>
    <n v="67"/>
  </r>
  <r>
    <x v="43"/>
    <d v="2026-06-29T00:00:00"/>
    <n v="86"/>
  </r>
  <r>
    <x v="44"/>
    <d v="2026-01-05T00:00:00"/>
    <n v="94"/>
  </r>
  <r>
    <x v="44"/>
    <d v="2026-01-12T00:00:00"/>
    <n v="92"/>
  </r>
  <r>
    <x v="44"/>
    <d v="2026-01-19T00:00:00"/>
    <n v="94"/>
  </r>
  <r>
    <x v="44"/>
    <d v="2026-01-26T00:00:00"/>
    <n v="84"/>
  </r>
  <r>
    <x v="44"/>
    <d v="2026-02-02T00:00:00"/>
    <n v="106"/>
  </r>
  <r>
    <x v="44"/>
    <d v="2026-02-09T00:00:00"/>
    <n v="85"/>
  </r>
  <r>
    <x v="44"/>
    <d v="2026-02-16T00:00:00"/>
    <n v="93"/>
  </r>
  <r>
    <x v="44"/>
    <d v="2026-02-23T00:00:00"/>
    <n v="98"/>
  </r>
  <r>
    <x v="44"/>
    <d v="2026-03-02T00:00:00"/>
    <n v="103"/>
  </r>
  <r>
    <x v="44"/>
    <d v="2026-03-09T00:00:00"/>
    <n v="110"/>
  </r>
  <r>
    <x v="44"/>
    <d v="2026-03-16T00:00:00"/>
    <n v="108"/>
  </r>
  <r>
    <x v="44"/>
    <d v="2026-03-23T00:00:00"/>
    <n v="110"/>
  </r>
  <r>
    <x v="44"/>
    <d v="2026-03-30T00:00:00"/>
    <n v="103"/>
  </r>
  <r>
    <x v="44"/>
    <d v="2026-04-06T00:00:00"/>
    <n v="106"/>
  </r>
  <r>
    <x v="44"/>
    <d v="2026-04-13T00:00:00"/>
    <n v="123"/>
  </r>
  <r>
    <x v="44"/>
    <d v="2026-04-20T00:00:00"/>
    <n v="116"/>
  </r>
  <r>
    <x v="44"/>
    <d v="2026-04-27T00:00:00"/>
    <n v="101"/>
  </r>
  <r>
    <x v="44"/>
    <d v="2026-05-04T00:00:00"/>
    <n v="111"/>
  </r>
  <r>
    <x v="44"/>
    <d v="2026-05-11T00:00:00"/>
    <n v="100"/>
  </r>
  <r>
    <x v="44"/>
    <d v="2026-05-18T00:00:00"/>
    <n v="119"/>
  </r>
  <r>
    <x v="44"/>
    <d v="2026-05-25T00:00:00"/>
    <n v="108"/>
  </r>
  <r>
    <x v="44"/>
    <d v="2026-06-01T00:00:00"/>
    <n v="106"/>
  </r>
  <r>
    <x v="44"/>
    <d v="2026-06-08T00:00:00"/>
    <n v="113"/>
  </r>
  <r>
    <x v="44"/>
    <d v="2026-06-15T00:00:00"/>
    <n v="116"/>
  </r>
  <r>
    <x v="44"/>
    <d v="2026-06-22T00:00:00"/>
    <n v="120"/>
  </r>
  <r>
    <x v="44"/>
    <d v="2026-06-29T00:00:00"/>
    <n v="126"/>
  </r>
  <r>
    <x v="45"/>
    <d v="2026-01-05T00:00:00"/>
    <n v="23"/>
  </r>
  <r>
    <x v="45"/>
    <d v="2026-01-12T00:00:00"/>
    <n v="22"/>
  </r>
  <r>
    <x v="45"/>
    <d v="2026-01-19T00:00:00"/>
    <n v="18"/>
  </r>
  <r>
    <x v="45"/>
    <d v="2026-01-26T00:00:00"/>
    <n v="19"/>
  </r>
  <r>
    <x v="45"/>
    <d v="2026-02-02T00:00:00"/>
    <n v="18"/>
  </r>
  <r>
    <x v="45"/>
    <d v="2026-02-09T00:00:00"/>
    <n v="21"/>
  </r>
  <r>
    <x v="45"/>
    <d v="2026-02-16T00:00:00"/>
    <n v="25"/>
  </r>
  <r>
    <x v="45"/>
    <d v="2026-02-23T00:00:00"/>
    <n v="22"/>
  </r>
  <r>
    <x v="45"/>
    <d v="2026-03-02T00:00:00"/>
    <n v="16"/>
  </r>
  <r>
    <x v="45"/>
    <d v="2026-03-09T00:00:00"/>
    <n v="19"/>
  </r>
  <r>
    <x v="45"/>
    <d v="2026-03-16T00:00:00"/>
    <n v="19"/>
  </r>
  <r>
    <x v="45"/>
    <d v="2026-03-23T00:00:00"/>
    <n v="23"/>
  </r>
  <r>
    <x v="45"/>
    <d v="2026-03-30T00:00:00"/>
    <n v="22"/>
  </r>
  <r>
    <x v="45"/>
    <d v="2026-04-06T00:00:00"/>
    <n v="23"/>
  </r>
  <r>
    <x v="45"/>
    <d v="2026-04-13T00:00:00"/>
    <n v="26"/>
  </r>
  <r>
    <x v="45"/>
    <d v="2026-04-20T00:00:00"/>
    <n v="21"/>
  </r>
  <r>
    <x v="45"/>
    <d v="2026-04-27T00:00:00"/>
    <n v="21"/>
  </r>
  <r>
    <x v="45"/>
    <d v="2026-05-04T00:00:00"/>
    <n v="28"/>
  </r>
  <r>
    <x v="45"/>
    <d v="2026-05-11T00:00:00"/>
    <n v="24"/>
  </r>
  <r>
    <x v="45"/>
    <d v="2026-05-18T00:00:00"/>
    <n v="22"/>
  </r>
  <r>
    <x v="45"/>
    <d v="2026-05-25T00:00:00"/>
    <n v="20"/>
  </r>
  <r>
    <x v="45"/>
    <d v="2026-06-01T00:00:00"/>
    <n v="21"/>
  </r>
  <r>
    <x v="45"/>
    <d v="2026-06-08T00:00:00"/>
    <n v="19"/>
  </r>
  <r>
    <x v="45"/>
    <d v="2026-06-15T00:00:00"/>
    <n v="25"/>
  </r>
  <r>
    <x v="45"/>
    <d v="2026-06-22T00:00:00"/>
    <n v="25"/>
  </r>
  <r>
    <x v="45"/>
    <d v="2026-06-29T00:00:00"/>
    <n v="28"/>
  </r>
  <r>
    <x v="46"/>
    <d v="2026-01-05T00:00:00"/>
    <n v="92"/>
  </r>
  <r>
    <x v="46"/>
    <d v="2026-01-12T00:00:00"/>
    <n v="116"/>
  </r>
  <r>
    <x v="46"/>
    <d v="2026-01-19T00:00:00"/>
    <n v="108"/>
  </r>
  <r>
    <x v="46"/>
    <d v="2026-01-26T00:00:00"/>
    <n v="107"/>
  </r>
  <r>
    <x v="46"/>
    <d v="2026-02-02T00:00:00"/>
    <n v="116"/>
  </r>
  <r>
    <x v="46"/>
    <d v="2026-02-09T00:00:00"/>
    <n v="108"/>
  </r>
  <r>
    <x v="46"/>
    <d v="2026-02-16T00:00:00"/>
    <n v="122"/>
  </r>
  <r>
    <x v="46"/>
    <d v="2026-02-23T00:00:00"/>
    <n v="130"/>
  </r>
  <r>
    <x v="46"/>
    <d v="2026-03-02T00:00:00"/>
    <n v="150"/>
  </r>
  <r>
    <x v="46"/>
    <d v="2026-03-09T00:00:00"/>
    <n v="120"/>
  </r>
  <r>
    <x v="46"/>
    <d v="2026-03-16T00:00:00"/>
    <n v="108"/>
  </r>
  <r>
    <x v="46"/>
    <d v="2026-03-23T00:00:00"/>
    <n v="131"/>
  </r>
  <r>
    <x v="46"/>
    <d v="2026-03-30T00:00:00"/>
    <n v="107"/>
  </r>
  <r>
    <x v="46"/>
    <d v="2026-04-06T00:00:00"/>
    <n v="152"/>
  </r>
  <r>
    <x v="46"/>
    <d v="2026-04-13T00:00:00"/>
    <n v="114"/>
  </r>
  <r>
    <x v="46"/>
    <d v="2026-04-20T00:00:00"/>
    <n v="147"/>
  </r>
  <r>
    <x v="46"/>
    <d v="2026-04-27T00:00:00"/>
    <n v="145"/>
  </r>
  <r>
    <x v="46"/>
    <d v="2026-05-04T00:00:00"/>
    <n v="126"/>
  </r>
  <r>
    <x v="46"/>
    <d v="2026-05-11T00:00:00"/>
    <n v="149"/>
  </r>
  <r>
    <x v="46"/>
    <d v="2026-05-18T00:00:00"/>
    <n v="123"/>
  </r>
  <r>
    <x v="46"/>
    <d v="2026-05-25T00:00:00"/>
    <n v="121"/>
  </r>
  <r>
    <x v="46"/>
    <d v="2026-06-01T00:00:00"/>
    <n v="148"/>
  </r>
  <r>
    <x v="46"/>
    <d v="2026-06-08T00:00:00"/>
    <n v="128"/>
  </r>
  <r>
    <x v="46"/>
    <d v="2026-06-15T00:00:00"/>
    <n v="153"/>
  </r>
  <r>
    <x v="46"/>
    <d v="2026-06-22T00:00:00"/>
    <n v="140"/>
  </r>
  <r>
    <x v="46"/>
    <d v="2026-06-29T00:00:00"/>
    <n v="145"/>
  </r>
  <r>
    <x v="47"/>
    <d v="2026-01-05T00:00:00"/>
    <n v="117"/>
  </r>
  <r>
    <x v="47"/>
    <d v="2026-01-12T00:00:00"/>
    <n v="115"/>
  </r>
  <r>
    <x v="47"/>
    <d v="2026-01-19T00:00:00"/>
    <n v="118"/>
  </r>
  <r>
    <x v="47"/>
    <d v="2026-01-26T00:00:00"/>
    <n v="145"/>
  </r>
  <r>
    <x v="47"/>
    <d v="2026-02-02T00:00:00"/>
    <n v="133"/>
  </r>
  <r>
    <x v="47"/>
    <d v="2026-02-09T00:00:00"/>
    <n v="135"/>
  </r>
  <r>
    <x v="47"/>
    <d v="2026-02-16T00:00:00"/>
    <n v="138"/>
  </r>
  <r>
    <x v="47"/>
    <d v="2026-02-23T00:00:00"/>
    <n v="111"/>
  </r>
  <r>
    <x v="47"/>
    <d v="2026-03-02T00:00:00"/>
    <n v="137"/>
  </r>
  <r>
    <x v="47"/>
    <d v="2026-03-09T00:00:00"/>
    <n v="141"/>
  </r>
  <r>
    <x v="47"/>
    <d v="2026-03-16T00:00:00"/>
    <n v="132"/>
  </r>
  <r>
    <x v="47"/>
    <d v="2026-03-23T00:00:00"/>
    <n v="124"/>
  </r>
  <r>
    <x v="47"/>
    <d v="2026-03-30T00:00:00"/>
    <n v="145"/>
  </r>
  <r>
    <x v="47"/>
    <d v="2026-04-06T00:00:00"/>
    <n v="137"/>
  </r>
  <r>
    <x v="47"/>
    <d v="2026-04-13T00:00:00"/>
    <n v="153"/>
  </r>
  <r>
    <x v="47"/>
    <d v="2026-04-20T00:00:00"/>
    <n v="138"/>
  </r>
  <r>
    <x v="47"/>
    <d v="2026-04-27T00:00:00"/>
    <n v="145"/>
  </r>
  <r>
    <x v="47"/>
    <d v="2026-05-04T00:00:00"/>
    <n v="158"/>
  </r>
  <r>
    <x v="47"/>
    <d v="2026-05-11T00:00:00"/>
    <n v="159"/>
  </r>
  <r>
    <x v="47"/>
    <d v="2026-05-18T00:00:00"/>
    <n v="162"/>
  </r>
  <r>
    <x v="47"/>
    <d v="2026-05-25T00:00:00"/>
    <n v="148"/>
  </r>
  <r>
    <x v="47"/>
    <d v="2026-06-01T00:00:00"/>
    <n v="176"/>
  </r>
  <r>
    <x v="47"/>
    <d v="2026-06-08T00:00:00"/>
    <n v="143"/>
  </r>
  <r>
    <x v="47"/>
    <d v="2026-06-15T00:00:00"/>
    <n v="149"/>
  </r>
  <r>
    <x v="47"/>
    <d v="2026-06-22T00:00:00"/>
    <n v="156"/>
  </r>
  <r>
    <x v="47"/>
    <d v="2026-06-29T00:00:00"/>
    <n v="174"/>
  </r>
  <r>
    <x v="48"/>
    <d v="2026-01-05T00:00:00"/>
    <n v="42"/>
  </r>
  <r>
    <x v="48"/>
    <d v="2026-01-12T00:00:00"/>
    <n v="37"/>
  </r>
  <r>
    <x v="48"/>
    <d v="2026-01-19T00:00:00"/>
    <n v="50"/>
  </r>
  <r>
    <x v="48"/>
    <d v="2026-01-26T00:00:00"/>
    <n v="48"/>
  </r>
  <r>
    <x v="48"/>
    <d v="2026-02-02T00:00:00"/>
    <n v="44"/>
  </r>
  <r>
    <x v="48"/>
    <d v="2026-02-09T00:00:00"/>
    <n v="38"/>
  </r>
  <r>
    <x v="48"/>
    <d v="2026-02-16T00:00:00"/>
    <n v="52"/>
  </r>
  <r>
    <x v="48"/>
    <d v="2026-02-23T00:00:00"/>
    <n v="47"/>
  </r>
  <r>
    <x v="48"/>
    <d v="2026-03-02T00:00:00"/>
    <n v="47"/>
  </r>
  <r>
    <x v="48"/>
    <d v="2026-03-09T00:00:00"/>
    <n v="48"/>
  </r>
  <r>
    <x v="48"/>
    <d v="2026-03-16T00:00:00"/>
    <n v="46"/>
  </r>
  <r>
    <x v="48"/>
    <d v="2026-03-23T00:00:00"/>
    <n v="42"/>
  </r>
  <r>
    <x v="48"/>
    <d v="2026-03-30T00:00:00"/>
    <n v="49"/>
  </r>
  <r>
    <x v="48"/>
    <d v="2026-04-06T00:00:00"/>
    <n v="46"/>
  </r>
  <r>
    <x v="48"/>
    <d v="2026-04-13T00:00:00"/>
    <n v="53"/>
  </r>
  <r>
    <x v="48"/>
    <d v="2026-04-20T00:00:00"/>
    <n v="58"/>
  </r>
  <r>
    <x v="48"/>
    <d v="2026-04-27T00:00:00"/>
    <n v="59"/>
  </r>
  <r>
    <x v="48"/>
    <d v="2026-05-04T00:00:00"/>
    <n v="55"/>
  </r>
  <r>
    <x v="48"/>
    <d v="2026-05-11T00:00:00"/>
    <n v="54"/>
  </r>
  <r>
    <x v="48"/>
    <d v="2026-05-18T00:00:00"/>
    <n v="46"/>
  </r>
  <r>
    <x v="48"/>
    <d v="2026-05-25T00:00:00"/>
    <n v="56"/>
  </r>
  <r>
    <x v="48"/>
    <d v="2026-06-01T00:00:00"/>
    <n v="60"/>
  </r>
  <r>
    <x v="48"/>
    <d v="2026-06-08T00:00:00"/>
    <n v="57"/>
  </r>
  <r>
    <x v="48"/>
    <d v="2026-06-15T00:00:00"/>
    <n v="57"/>
  </r>
  <r>
    <x v="48"/>
    <d v="2026-06-22T00:00:00"/>
    <n v="57"/>
  </r>
  <r>
    <x v="48"/>
    <d v="2026-06-29T00:00:00"/>
    <n v="52"/>
  </r>
  <r>
    <x v="49"/>
    <d v="2026-01-05T00:00:00"/>
    <n v="71"/>
  </r>
  <r>
    <x v="49"/>
    <d v="2026-01-12T00:00:00"/>
    <n v="54"/>
  </r>
  <r>
    <x v="49"/>
    <d v="2026-01-19T00:00:00"/>
    <n v="73"/>
  </r>
  <r>
    <x v="49"/>
    <d v="2026-01-26T00:00:00"/>
    <n v="52"/>
  </r>
  <r>
    <x v="49"/>
    <d v="2026-02-02T00:00:00"/>
    <n v="67"/>
  </r>
  <r>
    <x v="49"/>
    <d v="2026-02-09T00:00:00"/>
    <n v="69"/>
  </r>
  <r>
    <x v="49"/>
    <d v="2026-02-16T00:00:00"/>
    <n v="76"/>
  </r>
  <r>
    <x v="49"/>
    <d v="2026-02-23T00:00:00"/>
    <n v="68"/>
  </r>
  <r>
    <x v="49"/>
    <d v="2026-03-02T00:00:00"/>
    <n v="63"/>
  </r>
  <r>
    <x v="49"/>
    <d v="2026-03-09T00:00:00"/>
    <n v="61"/>
  </r>
  <r>
    <x v="49"/>
    <d v="2026-03-16T00:00:00"/>
    <n v="58"/>
  </r>
  <r>
    <x v="49"/>
    <d v="2026-03-23T00:00:00"/>
    <n v="75"/>
  </r>
  <r>
    <x v="49"/>
    <d v="2026-03-30T00:00:00"/>
    <n v="68"/>
  </r>
  <r>
    <x v="49"/>
    <d v="2026-04-06T00:00:00"/>
    <n v="65"/>
  </r>
  <r>
    <x v="49"/>
    <d v="2026-04-13T00:00:00"/>
    <n v="75"/>
  </r>
  <r>
    <x v="49"/>
    <d v="2026-04-20T00:00:00"/>
    <n v="66"/>
  </r>
  <r>
    <x v="49"/>
    <d v="2026-04-27T00:00:00"/>
    <n v="70"/>
  </r>
  <r>
    <x v="49"/>
    <d v="2026-05-04T00:00:00"/>
    <n v="70"/>
  </r>
  <r>
    <x v="49"/>
    <d v="2026-05-11T00:00:00"/>
    <n v="87"/>
  </r>
  <r>
    <x v="49"/>
    <d v="2026-05-18T00:00:00"/>
    <n v="87"/>
  </r>
  <r>
    <x v="49"/>
    <d v="2026-05-25T00:00:00"/>
    <n v="75"/>
  </r>
  <r>
    <x v="49"/>
    <d v="2026-06-01T00:00:00"/>
    <n v="65"/>
  </r>
  <r>
    <x v="49"/>
    <d v="2026-06-08T00:00:00"/>
    <n v="80"/>
  </r>
  <r>
    <x v="49"/>
    <d v="2026-06-15T00:00:00"/>
    <n v="79"/>
  </r>
  <r>
    <x v="49"/>
    <d v="2026-06-22T00:00:00"/>
    <n v="82"/>
  </r>
  <r>
    <x v="49"/>
    <d v="2026-06-29T00:00:00"/>
    <n v="85"/>
  </r>
  <r>
    <x v="50"/>
    <d v="2026-01-05T00:00:00"/>
    <n v="53"/>
  </r>
  <r>
    <x v="50"/>
    <d v="2026-01-12T00:00:00"/>
    <n v="47"/>
  </r>
  <r>
    <x v="50"/>
    <d v="2026-01-19T00:00:00"/>
    <n v="46"/>
  </r>
  <r>
    <x v="50"/>
    <d v="2026-01-26T00:00:00"/>
    <n v="46"/>
  </r>
  <r>
    <x v="50"/>
    <d v="2026-02-02T00:00:00"/>
    <n v="52"/>
  </r>
  <r>
    <x v="50"/>
    <d v="2026-02-09T00:00:00"/>
    <n v="55"/>
  </r>
  <r>
    <x v="50"/>
    <d v="2026-02-16T00:00:00"/>
    <n v="51"/>
  </r>
  <r>
    <x v="50"/>
    <d v="2026-02-23T00:00:00"/>
    <n v="58"/>
  </r>
  <r>
    <x v="50"/>
    <d v="2026-03-02T00:00:00"/>
    <n v="66"/>
  </r>
  <r>
    <x v="50"/>
    <d v="2026-03-09T00:00:00"/>
    <n v="56"/>
  </r>
  <r>
    <x v="50"/>
    <d v="2026-03-16T00:00:00"/>
    <n v="49"/>
  </r>
  <r>
    <x v="50"/>
    <d v="2026-03-23T00:00:00"/>
    <n v="55"/>
  </r>
  <r>
    <x v="50"/>
    <d v="2026-03-30T00:00:00"/>
    <n v="68"/>
  </r>
  <r>
    <x v="50"/>
    <d v="2026-04-06T00:00:00"/>
    <n v="68"/>
  </r>
  <r>
    <x v="50"/>
    <d v="2026-04-13T00:00:00"/>
    <n v="57"/>
  </r>
  <r>
    <x v="50"/>
    <d v="2026-04-20T00:00:00"/>
    <n v="54"/>
  </r>
  <r>
    <x v="50"/>
    <d v="2026-04-27T00:00:00"/>
    <n v="69"/>
  </r>
  <r>
    <x v="50"/>
    <d v="2026-05-04T00:00:00"/>
    <n v="60"/>
  </r>
  <r>
    <x v="50"/>
    <d v="2026-05-11T00:00:00"/>
    <n v="61"/>
  </r>
  <r>
    <x v="50"/>
    <d v="2026-05-18T00:00:00"/>
    <n v="53"/>
  </r>
  <r>
    <x v="50"/>
    <d v="2026-05-25T00:00:00"/>
    <n v="67"/>
  </r>
  <r>
    <x v="50"/>
    <d v="2026-06-01T00:00:00"/>
    <n v="67"/>
  </r>
  <r>
    <x v="50"/>
    <d v="2026-06-08T00:00:00"/>
    <n v="65"/>
  </r>
  <r>
    <x v="50"/>
    <d v="2026-06-15T00:00:00"/>
    <n v="78"/>
  </r>
  <r>
    <x v="50"/>
    <d v="2026-06-22T00:00:00"/>
    <n v="64"/>
  </r>
  <r>
    <x v="50"/>
    <d v="2026-06-29T00:00:00"/>
    <n v="80"/>
  </r>
  <r>
    <x v="51"/>
    <d v="2026-01-05T00:00:00"/>
    <n v="54"/>
  </r>
  <r>
    <x v="51"/>
    <d v="2026-01-12T00:00:00"/>
    <n v="80"/>
  </r>
  <r>
    <x v="51"/>
    <d v="2026-01-19T00:00:00"/>
    <n v="74"/>
  </r>
  <r>
    <x v="51"/>
    <d v="2026-01-26T00:00:00"/>
    <n v="63"/>
  </r>
  <r>
    <x v="51"/>
    <d v="2026-02-02T00:00:00"/>
    <n v="94"/>
  </r>
  <r>
    <x v="51"/>
    <d v="2026-02-09T00:00:00"/>
    <n v="87"/>
  </r>
  <r>
    <x v="51"/>
    <d v="2026-02-16T00:00:00"/>
    <n v="51"/>
  </r>
  <r>
    <x v="51"/>
    <d v="2026-02-23T00:00:00"/>
    <n v="86"/>
  </r>
  <r>
    <x v="51"/>
    <d v="2026-03-02T00:00:00"/>
    <n v="69"/>
  </r>
  <r>
    <x v="51"/>
    <d v="2026-03-09T00:00:00"/>
    <n v="59"/>
  </r>
  <r>
    <x v="51"/>
    <d v="2026-03-16T00:00:00"/>
    <n v="85"/>
  </r>
  <r>
    <x v="51"/>
    <d v="2026-03-23T00:00:00"/>
    <n v="64"/>
  </r>
  <r>
    <x v="51"/>
    <d v="2026-03-30T00:00:00"/>
    <n v="75"/>
  </r>
  <r>
    <x v="51"/>
    <d v="2026-04-06T00:00:00"/>
    <n v="81"/>
  </r>
  <r>
    <x v="51"/>
    <d v="2026-04-13T00:00:00"/>
    <n v="77"/>
  </r>
  <r>
    <x v="51"/>
    <d v="2026-04-20T00:00:00"/>
    <n v="71"/>
  </r>
  <r>
    <x v="51"/>
    <d v="2026-04-27T00:00:00"/>
    <n v="57"/>
  </r>
  <r>
    <x v="51"/>
    <d v="2026-05-04T00:00:00"/>
    <n v="82"/>
  </r>
  <r>
    <x v="51"/>
    <d v="2026-05-11T00:00:00"/>
    <n v="98"/>
  </r>
  <r>
    <x v="51"/>
    <d v="2026-05-18T00:00:00"/>
    <n v="99"/>
  </r>
  <r>
    <x v="51"/>
    <d v="2026-05-25T00:00:00"/>
    <n v="103"/>
  </r>
  <r>
    <x v="51"/>
    <d v="2026-06-01T00:00:00"/>
    <n v="92"/>
  </r>
  <r>
    <x v="51"/>
    <d v="2026-06-08T00:00:00"/>
    <n v="91"/>
  </r>
  <r>
    <x v="51"/>
    <d v="2026-06-15T00:00:00"/>
    <n v="81"/>
  </r>
  <r>
    <x v="51"/>
    <d v="2026-06-22T00:00:00"/>
    <n v="62"/>
  </r>
  <r>
    <x v="51"/>
    <d v="2026-06-29T00:00:00"/>
    <n v="82"/>
  </r>
  <r>
    <x v="52"/>
    <d v="2026-01-05T00:00:00"/>
    <n v="94"/>
  </r>
  <r>
    <x v="52"/>
    <d v="2026-01-12T00:00:00"/>
    <n v="124"/>
  </r>
  <r>
    <x v="52"/>
    <d v="2026-01-19T00:00:00"/>
    <n v="103"/>
  </r>
  <r>
    <x v="52"/>
    <d v="2026-01-26T00:00:00"/>
    <n v="108"/>
  </r>
  <r>
    <x v="52"/>
    <d v="2026-02-02T00:00:00"/>
    <n v="114"/>
  </r>
  <r>
    <x v="52"/>
    <d v="2026-02-09T00:00:00"/>
    <n v="111"/>
  </r>
  <r>
    <x v="52"/>
    <d v="2026-02-16T00:00:00"/>
    <n v="114"/>
  </r>
  <r>
    <x v="52"/>
    <d v="2026-02-23T00:00:00"/>
    <n v="117"/>
  </r>
  <r>
    <x v="52"/>
    <d v="2026-03-02T00:00:00"/>
    <n v="94"/>
  </r>
  <r>
    <x v="52"/>
    <d v="2026-03-09T00:00:00"/>
    <n v="109"/>
  </r>
  <r>
    <x v="52"/>
    <d v="2026-03-16T00:00:00"/>
    <n v="109"/>
  </r>
  <r>
    <x v="52"/>
    <d v="2026-03-23T00:00:00"/>
    <n v="109"/>
  </r>
  <r>
    <x v="52"/>
    <d v="2026-03-30T00:00:00"/>
    <n v="110"/>
  </r>
  <r>
    <x v="52"/>
    <d v="2026-04-06T00:00:00"/>
    <n v="108"/>
  </r>
  <r>
    <x v="52"/>
    <d v="2026-04-13T00:00:00"/>
    <n v="104"/>
  </r>
  <r>
    <x v="52"/>
    <d v="2026-04-20T00:00:00"/>
    <n v="103"/>
  </r>
  <r>
    <x v="52"/>
    <d v="2026-04-27T00:00:00"/>
    <n v="128"/>
  </r>
  <r>
    <x v="52"/>
    <d v="2026-05-04T00:00:00"/>
    <n v="130"/>
  </r>
  <r>
    <x v="52"/>
    <d v="2026-05-11T00:00:00"/>
    <n v="113"/>
  </r>
  <r>
    <x v="52"/>
    <d v="2026-05-18T00:00:00"/>
    <n v="117"/>
  </r>
  <r>
    <x v="52"/>
    <d v="2026-05-25T00:00:00"/>
    <n v="118"/>
  </r>
  <r>
    <x v="52"/>
    <d v="2026-06-01T00:00:00"/>
    <n v="119"/>
  </r>
  <r>
    <x v="52"/>
    <d v="2026-06-08T00:00:00"/>
    <n v="102"/>
  </r>
  <r>
    <x v="52"/>
    <d v="2026-06-15T00:00:00"/>
    <n v="137"/>
  </r>
  <r>
    <x v="52"/>
    <d v="2026-06-22T00:00:00"/>
    <n v="124"/>
  </r>
  <r>
    <x v="52"/>
    <d v="2026-06-29T00:00:00"/>
    <n v="123"/>
  </r>
  <r>
    <x v="53"/>
    <d v="2026-01-05T00:00:00"/>
    <n v="66"/>
  </r>
  <r>
    <x v="53"/>
    <d v="2026-01-12T00:00:00"/>
    <n v="80"/>
  </r>
  <r>
    <x v="53"/>
    <d v="2026-01-19T00:00:00"/>
    <n v="75"/>
  </r>
  <r>
    <x v="53"/>
    <d v="2026-01-26T00:00:00"/>
    <n v="75"/>
  </r>
  <r>
    <x v="53"/>
    <d v="2026-02-02T00:00:00"/>
    <n v="74"/>
  </r>
  <r>
    <x v="53"/>
    <d v="2026-02-09T00:00:00"/>
    <n v="79"/>
  </r>
  <r>
    <x v="53"/>
    <d v="2026-02-16T00:00:00"/>
    <n v="89"/>
  </r>
  <r>
    <x v="53"/>
    <d v="2026-02-23T00:00:00"/>
    <n v="74"/>
  </r>
  <r>
    <x v="53"/>
    <d v="2026-03-02T00:00:00"/>
    <n v="91"/>
  </r>
  <r>
    <x v="53"/>
    <d v="2026-03-09T00:00:00"/>
    <n v="90"/>
  </r>
  <r>
    <x v="53"/>
    <d v="2026-03-16T00:00:00"/>
    <n v="92"/>
  </r>
  <r>
    <x v="53"/>
    <d v="2026-03-23T00:00:00"/>
    <n v="83"/>
  </r>
  <r>
    <x v="53"/>
    <d v="2026-03-30T00:00:00"/>
    <n v="70"/>
  </r>
  <r>
    <x v="53"/>
    <d v="2026-04-06T00:00:00"/>
    <n v="93"/>
  </r>
  <r>
    <x v="53"/>
    <d v="2026-04-13T00:00:00"/>
    <n v="84"/>
  </r>
  <r>
    <x v="53"/>
    <d v="2026-04-20T00:00:00"/>
    <n v="105"/>
  </r>
  <r>
    <x v="53"/>
    <d v="2026-04-27T00:00:00"/>
    <n v="104"/>
  </r>
  <r>
    <x v="53"/>
    <d v="2026-05-04T00:00:00"/>
    <n v="95"/>
  </r>
  <r>
    <x v="53"/>
    <d v="2026-05-11T00:00:00"/>
    <n v="107"/>
  </r>
  <r>
    <x v="53"/>
    <d v="2026-05-18T00:00:00"/>
    <n v="91"/>
  </r>
  <r>
    <x v="53"/>
    <d v="2026-05-25T00:00:00"/>
    <n v="94"/>
  </r>
  <r>
    <x v="53"/>
    <d v="2026-06-01T00:00:00"/>
    <n v="83"/>
  </r>
  <r>
    <x v="53"/>
    <d v="2026-06-08T00:00:00"/>
    <n v="95"/>
  </r>
  <r>
    <x v="53"/>
    <d v="2026-06-15T00:00:00"/>
    <n v="86"/>
  </r>
  <r>
    <x v="53"/>
    <d v="2026-06-22T00:00:00"/>
    <n v="77"/>
  </r>
  <r>
    <x v="53"/>
    <d v="2026-06-29T00:00:00"/>
    <n v="72"/>
  </r>
  <r>
    <x v="54"/>
    <d v="2026-01-05T00:00:00"/>
    <n v="73"/>
  </r>
  <r>
    <x v="54"/>
    <d v="2026-01-12T00:00:00"/>
    <n v="77"/>
  </r>
  <r>
    <x v="54"/>
    <d v="2026-01-19T00:00:00"/>
    <n v="117"/>
  </r>
  <r>
    <x v="54"/>
    <d v="2026-01-26T00:00:00"/>
    <n v="59"/>
  </r>
  <r>
    <x v="54"/>
    <d v="2026-02-02T00:00:00"/>
    <n v="33"/>
  </r>
  <r>
    <x v="54"/>
    <d v="2026-02-09T00:00:00"/>
    <n v="32"/>
  </r>
  <r>
    <x v="54"/>
    <d v="2026-02-16T00:00:00"/>
    <n v="70"/>
  </r>
  <r>
    <x v="54"/>
    <d v="2026-02-23T00:00:00"/>
    <n v="66"/>
  </r>
  <r>
    <x v="54"/>
    <d v="2026-03-02T00:00:00"/>
    <n v="86"/>
  </r>
  <r>
    <x v="54"/>
    <d v="2026-03-09T00:00:00"/>
    <n v="103"/>
  </r>
  <r>
    <x v="54"/>
    <d v="2026-03-16T00:00:00"/>
    <n v="138"/>
  </r>
  <r>
    <x v="54"/>
    <d v="2026-03-23T00:00:00"/>
    <n v="97"/>
  </r>
  <r>
    <x v="54"/>
    <d v="2026-03-30T00:00:00"/>
    <n v="103"/>
  </r>
  <r>
    <x v="54"/>
    <d v="2026-04-06T00:00:00"/>
    <n v="69"/>
  </r>
  <r>
    <x v="54"/>
    <d v="2026-04-13T00:00:00"/>
    <n v="108"/>
  </r>
  <r>
    <x v="54"/>
    <d v="2026-04-20T00:00:00"/>
    <n v="132"/>
  </r>
  <r>
    <x v="54"/>
    <d v="2026-04-27T00:00:00"/>
    <n v="132"/>
  </r>
  <r>
    <x v="54"/>
    <d v="2026-05-04T00:00:00"/>
    <n v="38"/>
  </r>
  <r>
    <x v="54"/>
    <d v="2026-05-11T00:00:00"/>
    <n v="121"/>
  </r>
  <r>
    <x v="54"/>
    <d v="2026-05-18T00:00:00"/>
    <n v="142"/>
  </r>
  <r>
    <x v="54"/>
    <d v="2026-05-25T00:00:00"/>
    <n v="122"/>
  </r>
  <r>
    <x v="54"/>
    <d v="2026-06-01T00:00:00"/>
    <n v="56"/>
  </r>
  <r>
    <x v="54"/>
    <d v="2026-06-08T00:00:00"/>
    <n v="91"/>
  </r>
  <r>
    <x v="54"/>
    <d v="2026-06-15T00:00:00"/>
    <n v="118"/>
  </r>
  <r>
    <x v="54"/>
    <d v="2026-06-22T00:00:00"/>
    <n v="114"/>
  </r>
  <r>
    <x v="54"/>
    <d v="2026-06-29T00:00:00"/>
    <n v="80"/>
  </r>
  <r>
    <x v="55"/>
    <d v="2026-01-05T00:00:00"/>
    <n v="72"/>
  </r>
  <r>
    <x v="55"/>
    <d v="2026-01-12T00:00:00"/>
    <n v="57"/>
  </r>
  <r>
    <x v="55"/>
    <d v="2026-01-19T00:00:00"/>
    <n v="64"/>
  </r>
  <r>
    <x v="55"/>
    <d v="2026-01-26T00:00:00"/>
    <n v="67"/>
  </r>
  <r>
    <x v="55"/>
    <d v="2026-02-02T00:00:00"/>
    <n v="74"/>
  </r>
  <r>
    <x v="55"/>
    <d v="2026-02-09T00:00:00"/>
    <n v="73"/>
  </r>
  <r>
    <x v="55"/>
    <d v="2026-02-16T00:00:00"/>
    <n v="89"/>
  </r>
  <r>
    <x v="55"/>
    <d v="2026-02-23T00:00:00"/>
    <n v="56"/>
  </r>
  <r>
    <x v="55"/>
    <d v="2026-03-02T00:00:00"/>
    <n v="67"/>
  </r>
  <r>
    <x v="55"/>
    <d v="2026-03-09T00:00:00"/>
    <n v="71"/>
  </r>
  <r>
    <x v="55"/>
    <d v="2026-03-16T00:00:00"/>
    <n v="72"/>
  </r>
  <r>
    <x v="55"/>
    <d v="2026-03-23T00:00:00"/>
    <n v="77"/>
  </r>
  <r>
    <x v="55"/>
    <d v="2026-03-30T00:00:00"/>
    <n v="70"/>
  </r>
  <r>
    <x v="55"/>
    <d v="2026-04-06T00:00:00"/>
    <n v="53"/>
  </r>
  <r>
    <x v="55"/>
    <d v="2026-04-13T00:00:00"/>
    <n v="67"/>
  </r>
  <r>
    <x v="55"/>
    <d v="2026-04-20T00:00:00"/>
    <n v="69"/>
  </r>
  <r>
    <x v="55"/>
    <d v="2026-04-27T00:00:00"/>
    <n v="78"/>
  </r>
  <r>
    <x v="55"/>
    <d v="2026-05-04T00:00:00"/>
    <n v="80"/>
  </r>
  <r>
    <x v="55"/>
    <d v="2026-05-11T00:00:00"/>
    <n v="83"/>
  </r>
  <r>
    <x v="55"/>
    <d v="2026-05-18T00:00:00"/>
    <n v="84"/>
  </r>
  <r>
    <x v="55"/>
    <d v="2026-05-25T00:00:00"/>
    <n v="65"/>
  </r>
  <r>
    <x v="55"/>
    <d v="2026-06-01T00:00:00"/>
    <n v="89"/>
  </r>
  <r>
    <x v="55"/>
    <d v="2026-06-08T00:00:00"/>
    <n v="84"/>
  </r>
  <r>
    <x v="55"/>
    <d v="2026-06-15T00:00:00"/>
    <n v="76"/>
  </r>
  <r>
    <x v="55"/>
    <d v="2026-06-22T00:00:00"/>
    <n v="83"/>
  </r>
  <r>
    <x v="55"/>
    <d v="2026-06-29T00:00:00"/>
    <n v="89"/>
  </r>
  <r>
    <x v="56"/>
    <d v="2026-01-05T00:00:00"/>
    <n v="23"/>
  </r>
  <r>
    <x v="56"/>
    <d v="2026-01-12T00:00:00"/>
    <n v="14"/>
  </r>
  <r>
    <x v="56"/>
    <d v="2026-01-19T00:00:00"/>
    <n v="17"/>
  </r>
  <r>
    <x v="56"/>
    <d v="2026-01-26T00:00:00"/>
    <n v="21"/>
  </r>
  <r>
    <x v="56"/>
    <d v="2026-02-02T00:00:00"/>
    <n v="18"/>
  </r>
  <r>
    <x v="56"/>
    <d v="2026-02-09T00:00:00"/>
    <n v="17"/>
  </r>
  <r>
    <x v="56"/>
    <d v="2026-02-16T00:00:00"/>
    <n v="18"/>
  </r>
  <r>
    <x v="56"/>
    <d v="2026-02-23T00:00:00"/>
    <n v="22"/>
  </r>
  <r>
    <x v="56"/>
    <d v="2026-03-02T00:00:00"/>
    <n v="16"/>
  </r>
  <r>
    <x v="56"/>
    <d v="2026-03-09T00:00:00"/>
    <n v="23"/>
  </r>
  <r>
    <x v="56"/>
    <d v="2026-03-16T00:00:00"/>
    <n v="25"/>
  </r>
  <r>
    <x v="56"/>
    <d v="2026-03-23T00:00:00"/>
    <n v="15"/>
  </r>
  <r>
    <x v="56"/>
    <d v="2026-03-30T00:00:00"/>
    <n v="24"/>
  </r>
  <r>
    <x v="56"/>
    <d v="2026-04-06T00:00:00"/>
    <n v="25"/>
  </r>
  <r>
    <x v="56"/>
    <d v="2026-04-13T00:00:00"/>
    <n v="18"/>
  </r>
  <r>
    <x v="56"/>
    <d v="2026-04-20T00:00:00"/>
    <n v="24"/>
  </r>
  <r>
    <x v="56"/>
    <d v="2026-04-27T00:00:00"/>
    <n v="22"/>
  </r>
  <r>
    <x v="56"/>
    <d v="2026-05-04T00:00:00"/>
    <n v="25"/>
  </r>
  <r>
    <x v="56"/>
    <d v="2026-05-11T00:00:00"/>
    <n v="26"/>
  </r>
  <r>
    <x v="56"/>
    <d v="2026-05-18T00:00:00"/>
    <n v="25"/>
  </r>
  <r>
    <x v="56"/>
    <d v="2026-05-25T00:00:00"/>
    <n v="15"/>
  </r>
  <r>
    <x v="56"/>
    <d v="2026-06-01T00:00:00"/>
    <n v="27"/>
  </r>
  <r>
    <x v="56"/>
    <d v="2026-06-08T00:00:00"/>
    <n v="30"/>
  </r>
  <r>
    <x v="56"/>
    <d v="2026-06-15T00:00:00"/>
    <n v="21"/>
  </r>
  <r>
    <x v="56"/>
    <d v="2026-06-22T00:00:00"/>
    <n v="34"/>
  </r>
  <r>
    <x v="56"/>
    <d v="2026-06-29T00:00:00"/>
    <n v="24"/>
  </r>
  <r>
    <x v="57"/>
    <d v="2026-01-05T00:00:00"/>
    <n v="99"/>
  </r>
  <r>
    <x v="57"/>
    <d v="2026-01-12T00:00:00"/>
    <n v="83"/>
  </r>
  <r>
    <x v="57"/>
    <d v="2026-01-19T00:00:00"/>
    <n v="90"/>
  </r>
  <r>
    <x v="57"/>
    <d v="2026-01-26T00:00:00"/>
    <n v="109"/>
  </r>
  <r>
    <x v="57"/>
    <d v="2026-02-02T00:00:00"/>
    <n v="91"/>
  </r>
  <r>
    <x v="57"/>
    <d v="2026-02-09T00:00:00"/>
    <n v="97"/>
  </r>
  <r>
    <x v="57"/>
    <d v="2026-02-16T00:00:00"/>
    <n v="93"/>
  </r>
  <r>
    <x v="57"/>
    <d v="2026-02-23T00:00:00"/>
    <n v="112"/>
  </r>
  <r>
    <x v="57"/>
    <d v="2026-03-02T00:00:00"/>
    <n v="115"/>
  </r>
  <r>
    <x v="57"/>
    <d v="2026-03-09T00:00:00"/>
    <n v="118"/>
  </r>
  <r>
    <x v="57"/>
    <d v="2026-03-16T00:00:00"/>
    <n v="95"/>
  </r>
  <r>
    <x v="57"/>
    <d v="2026-03-23T00:00:00"/>
    <n v="106"/>
  </r>
  <r>
    <x v="57"/>
    <d v="2026-03-30T00:00:00"/>
    <n v="113"/>
  </r>
  <r>
    <x v="57"/>
    <d v="2026-04-06T00:00:00"/>
    <n v="106"/>
  </r>
  <r>
    <x v="57"/>
    <d v="2026-04-13T00:00:00"/>
    <n v="111"/>
  </r>
  <r>
    <x v="57"/>
    <d v="2026-04-20T00:00:00"/>
    <n v="100"/>
  </r>
  <r>
    <x v="57"/>
    <d v="2026-04-27T00:00:00"/>
    <n v="121"/>
  </r>
  <r>
    <x v="57"/>
    <d v="2026-05-04T00:00:00"/>
    <n v="124"/>
  </r>
  <r>
    <x v="57"/>
    <d v="2026-05-11T00:00:00"/>
    <n v="98"/>
  </r>
  <r>
    <x v="57"/>
    <d v="2026-05-18T00:00:00"/>
    <n v="111"/>
  </r>
  <r>
    <x v="57"/>
    <d v="2026-05-25T00:00:00"/>
    <n v="115"/>
  </r>
  <r>
    <x v="57"/>
    <d v="2026-06-01T00:00:00"/>
    <n v="125"/>
  </r>
  <r>
    <x v="57"/>
    <d v="2026-06-08T00:00:00"/>
    <n v="116"/>
  </r>
  <r>
    <x v="57"/>
    <d v="2026-06-15T00:00:00"/>
    <n v="125"/>
  </r>
  <r>
    <x v="57"/>
    <d v="2026-06-22T00:00:00"/>
    <n v="128"/>
  </r>
  <r>
    <x v="57"/>
    <d v="2026-06-29T00:00:00"/>
    <n v="148"/>
  </r>
  <r>
    <x v="58"/>
    <d v="2026-01-05T00:00:00"/>
    <n v="49"/>
  </r>
  <r>
    <x v="58"/>
    <d v="2026-01-12T00:00:00"/>
    <n v="48"/>
  </r>
  <r>
    <x v="58"/>
    <d v="2026-01-19T00:00:00"/>
    <n v="41"/>
  </r>
  <r>
    <x v="58"/>
    <d v="2026-01-26T00:00:00"/>
    <n v="44"/>
  </r>
  <r>
    <x v="58"/>
    <d v="2026-02-02T00:00:00"/>
    <n v="38"/>
  </r>
  <r>
    <x v="58"/>
    <d v="2026-02-09T00:00:00"/>
    <n v="42"/>
  </r>
  <r>
    <x v="58"/>
    <d v="2026-02-16T00:00:00"/>
    <n v="36"/>
  </r>
  <r>
    <x v="58"/>
    <d v="2026-02-23T00:00:00"/>
    <n v="44"/>
  </r>
  <r>
    <x v="58"/>
    <d v="2026-03-02T00:00:00"/>
    <n v="45"/>
  </r>
  <r>
    <x v="58"/>
    <d v="2026-03-09T00:00:00"/>
    <n v="52"/>
  </r>
  <r>
    <x v="58"/>
    <d v="2026-03-16T00:00:00"/>
    <n v="51"/>
  </r>
  <r>
    <x v="58"/>
    <d v="2026-03-23T00:00:00"/>
    <n v="50"/>
  </r>
  <r>
    <x v="58"/>
    <d v="2026-03-30T00:00:00"/>
    <n v="44"/>
  </r>
  <r>
    <x v="58"/>
    <d v="2026-04-06T00:00:00"/>
    <n v="46"/>
  </r>
  <r>
    <x v="58"/>
    <d v="2026-04-13T00:00:00"/>
    <n v="46"/>
  </r>
  <r>
    <x v="58"/>
    <d v="2026-04-20T00:00:00"/>
    <n v="49"/>
  </r>
  <r>
    <x v="58"/>
    <d v="2026-04-27T00:00:00"/>
    <n v="38"/>
  </r>
  <r>
    <x v="58"/>
    <d v="2026-05-04T00:00:00"/>
    <n v="53"/>
  </r>
  <r>
    <x v="58"/>
    <d v="2026-05-11T00:00:00"/>
    <n v="41"/>
  </r>
  <r>
    <x v="58"/>
    <d v="2026-05-18T00:00:00"/>
    <n v="47"/>
  </r>
  <r>
    <x v="58"/>
    <d v="2026-05-25T00:00:00"/>
    <n v="51"/>
  </r>
  <r>
    <x v="58"/>
    <d v="2026-06-01T00:00:00"/>
    <n v="48"/>
  </r>
  <r>
    <x v="58"/>
    <d v="2026-06-08T00:00:00"/>
    <n v="61"/>
  </r>
  <r>
    <x v="58"/>
    <d v="2026-06-15T00:00:00"/>
    <n v="52"/>
  </r>
  <r>
    <x v="58"/>
    <d v="2026-06-22T00:00:00"/>
    <n v="62"/>
  </r>
  <r>
    <x v="58"/>
    <d v="2026-06-29T00:00:00"/>
    <n v="60"/>
  </r>
  <r>
    <x v="59"/>
    <d v="2026-01-05T00:00:00"/>
    <n v="71"/>
  </r>
  <r>
    <x v="59"/>
    <d v="2026-01-12T00:00:00"/>
    <n v="65"/>
  </r>
  <r>
    <x v="59"/>
    <d v="2026-01-19T00:00:00"/>
    <n v="63"/>
  </r>
  <r>
    <x v="59"/>
    <d v="2026-01-26T00:00:00"/>
    <n v="68"/>
  </r>
  <r>
    <x v="59"/>
    <d v="2026-02-02T00:00:00"/>
    <n v="59"/>
  </r>
  <r>
    <x v="59"/>
    <d v="2026-02-09T00:00:00"/>
    <n v="79"/>
  </r>
  <r>
    <x v="59"/>
    <d v="2026-02-16T00:00:00"/>
    <n v="68"/>
  </r>
  <r>
    <x v="59"/>
    <d v="2026-02-23T00:00:00"/>
    <n v="73"/>
  </r>
  <r>
    <x v="59"/>
    <d v="2026-03-02T00:00:00"/>
    <n v="86"/>
  </r>
  <r>
    <x v="59"/>
    <d v="2026-03-09T00:00:00"/>
    <n v="77"/>
  </r>
  <r>
    <x v="59"/>
    <d v="2026-03-16T00:00:00"/>
    <n v="84"/>
  </r>
  <r>
    <x v="59"/>
    <d v="2026-03-23T00:00:00"/>
    <n v="72"/>
  </r>
  <r>
    <x v="59"/>
    <d v="2026-03-30T00:00:00"/>
    <n v="79"/>
  </r>
  <r>
    <x v="59"/>
    <d v="2026-04-06T00:00:00"/>
    <n v="80"/>
  </r>
  <r>
    <x v="59"/>
    <d v="2026-04-13T00:00:00"/>
    <n v="81"/>
  </r>
  <r>
    <x v="59"/>
    <d v="2026-04-20T00:00:00"/>
    <n v="76"/>
  </r>
  <r>
    <x v="59"/>
    <d v="2026-04-27T00:00:00"/>
    <n v="85"/>
  </r>
  <r>
    <x v="59"/>
    <d v="2026-05-04T00:00:00"/>
    <n v="79"/>
  </r>
  <r>
    <x v="59"/>
    <d v="2026-05-11T00:00:00"/>
    <n v="92"/>
  </r>
  <r>
    <x v="59"/>
    <d v="2026-05-18T00:00:00"/>
    <n v="92"/>
  </r>
  <r>
    <x v="59"/>
    <d v="2026-05-25T00:00:00"/>
    <n v="77"/>
  </r>
  <r>
    <x v="59"/>
    <d v="2026-06-01T00:00:00"/>
    <n v="91"/>
  </r>
  <r>
    <x v="59"/>
    <d v="2026-06-08T00:00:00"/>
    <n v="94"/>
  </r>
  <r>
    <x v="59"/>
    <d v="2026-06-15T00:00:00"/>
    <n v="71"/>
  </r>
  <r>
    <x v="59"/>
    <d v="2026-06-22T00:00:00"/>
    <n v="86"/>
  </r>
  <r>
    <x v="59"/>
    <d v="2026-06-29T00:00:00"/>
    <n v="85"/>
  </r>
  <r>
    <x v="60"/>
    <d v="2026-01-05T00:00:00"/>
    <n v="42"/>
  </r>
  <r>
    <x v="60"/>
    <d v="2026-01-12T00:00:00"/>
    <n v="53"/>
  </r>
  <r>
    <x v="60"/>
    <d v="2026-01-19T00:00:00"/>
    <n v="55"/>
  </r>
  <r>
    <x v="60"/>
    <d v="2026-01-26T00:00:00"/>
    <n v="47"/>
  </r>
  <r>
    <x v="60"/>
    <d v="2026-02-02T00:00:00"/>
    <n v="55"/>
  </r>
  <r>
    <x v="60"/>
    <d v="2026-02-09T00:00:00"/>
    <n v="52"/>
  </r>
  <r>
    <x v="60"/>
    <d v="2026-02-16T00:00:00"/>
    <n v="55"/>
  </r>
  <r>
    <x v="60"/>
    <d v="2026-02-23T00:00:00"/>
    <n v="55"/>
  </r>
  <r>
    <x v="60"/>
    <d v="2026-03-02T00:00:00"/>
    <n v="53"/>
  </r>
  <r>
    <x v="60"/>
    <d v="2026-03-09T00:00:00"/>
    <n v="51"/>
  </r>
  <r>
    <x v="60"/>
    <d v="2026-03-16T00:00:00"/>
    <n v="59"/>
  </r>
  <r>
    <x v="60"/>
    <d v="2026-03-23T00:00:00"/>
    <n v="51"/>
  </r>
  <r>
    <x v="60"/>
    <d v="2026-03-30T00:00:00"/>
    <n v="55"/>
  </r>
  <r>
    <x v="60"/>
    <d v="2026-04-06T00:00:00"/>
    <n v="58"/>
  </r>
  <r>
    <x v="60"/>
    <d v="2026-04-13T00:00:00"/>
    <n v="48"/>
  </r>
  <r>
    <x v="60"/>
    <d v="2026-04-20T00:00:00"/>
    <n v="59"/>
  </r>
  <r>
    <x v="60"/>
    <d v="2026-04-27T00:00:00"/>
    <n v="55"/>
  </r>
  <r>
    <x v="60"/>
    <d v="2026-05-04T00:00:00"/>
    <n v="57"/>
  </r>
  <r>
    <x v="60"/>
    <d v="2026-05-11T00:00:00"/>
    <n v="61"/>
  </r>
  <r>
    <x v="60"/>
    <d v="2026-05-18T00:00:00"/>
    <n v="59"/>
  </r>
  <r>
    <x v="60"/>
    <d v="2026-05-25T00:00:00"/>
    <n v="61"/>
  </r>
  <r>
    <x v="60"/>
    <d v="2026-06-01T00:00:00"/>
    <n v="58"/>
  </r>
  <r>
    <x v="60"/>
    <d v="2026-06-08T00:00:00"/>
    <n v="57"/>
  </r>
  <r>
    <x v="60"/>
    <d v="2026-06-15T00:00:00"/>
    <n v="60"/>
  </r>
  <r>
    <x v="60"/>
    <d v="2026-06-22T00:00:00"/>
    <n v="61"/>
  </r>
  <r>
    <x v="60"/>
    <d v="2026-06-29T00:00:00"/>
    <n v="59"/>
  </r>
  <r>
    <x v="61"/>
    <d v="2026-01-05T00:00:00"/>
    <n v="33"/>
  </r>
  <r>
    <x v="61"/>
    <d v="2026-01-12T00:00:00"/>
    <n v="86"/>
  </r>
  <r>
    <x v="61"/>
    <d v="2026-01-19T00:00:00"/>
    <n v="35"/>
  </r>
  <r>
    <x v="61"/>
    <d v="2026-01-26T00:00:00"/>
    <n v="22"/>
  </r>
  <r>
    <x v="61"/>
    <d v="2026-02-02T00:00:00"/>
    <n v="32"/>
  </r>
  <r>
    <x v="61"/>
    <d v="2026-02-09T00:00:00"/>
    <n v="36"/>
  </r>
  <r>
    <x v="61"/>
    <d v="2026-02-16T00:00:00"/>
    <n v="53"/>
  </r>
  <r>
    <x v="61"/>
    <d v="2026-02-23T00:00:00"/>
    <n v="35"/>
  </r>
  <r>
    <x v="61"/>
    <d v="2026-03-02T00:00:00"/>
    <n v="33"/>
  </r>
  <r>
    <x v="61"/>
    <d v="2026-03-09T00:00:00"/>
    <n v="37"/>
  </r>
  <r>
    <x v="61"/>
    <d v="2026-03-16T00:00:00"/>
    <n v="41"/>
  </r>
  <r>
    <x v="61"/>
    <d v="2026-03-23T00:00:00"/>
    <n v="33"/>
  </r>
  <r>
    <x v="61"/>
    <d v="2026-03-30T00:00:00"/>
    <n v="22"/>
  </r>
  <r>
    <x v="61"/>
    <d v="2026-04-06T00:00:00"/>
    <n v="24"/>
  </r>
  <r>
    <x v="61"/>
    <d v="2026-04-13T00:00:00"/>
    <n v="15"/>
  </r>
  <r>
    <x v="61"/>
    <d v="2026-04-20T00:00:00"/>
    <n v="22"/>
  </r>
  <r>
    <x v="61"/>
    <d v="2026-04-27T00:00:00"/>
    <n v="63"/>
  </r>
  <r>
    <x v="61"/>
    <d v="2026-05-04T00:00:00"/>
    <n v="36"/>
  </r>
  <r>
    <x v="61"/>
    <d v="2026-05-11T00:00:00"/>
    <n v="30"/>
  </r>
  <r>
    <x v="61"/>
    <d v="2026-05-18T00:00:00"/>
    <n v="45"/>
  </r>
  <r>
    <x v="61"/>
    <d v="2026-05-25T00:00:00"/>
    <n v="60"/>
  </r>
  <r>
    <x v="61"/>
    <d v="2026-06-01T00:00:00"/>
    <n v="37"/>
  </r>
  <r>
    <x v="61"/>
    <d v="2026-06-08T00:00:00"/>
    <n v="31"/>
  </r>
  <r>
    <x v="61"/>
    <d v="2026-06-15T00:00:00"/>
    <n v="58"/>
  </r>
  <r>
    <x v="61"/>
    <d v="2026-06-22T00:00:00"/>
    <n v="41"/>
  </r>
  <r>
    <x v="61"/>
    <d v="2026-06-29T00:00:00"/>
    <n v="52"/>
  </r>
  <r>
    <x v="62"/>
    <d v="2026-01-05T00:00:00"/>
    <n v="98"/>
  </r>
  <r>
    <x v="62"/>
    <d v="2026-01-12T00:00:00"/>
    <n v="102"/>
  </r>
  <r>
    <x v="62"/>
    <d v="2026-01-19T00:00:00"/>
    <n v="86"/>
  </r>
  <r>
    <x v="62"/>
    <d v="2026-01-26T00:00:00"/>
    <n v="100"/>
  </r>
  <r>
    <x v="62"/>
    <d v="2026-02-02T00:00:00"/>
    <n v="93"/>
  </r>
  <r>
    <x v="62"/>
    <d v="2026-02-09T00:00:00"/>
    <n v="105"/>
  </r>
  <r>
    <x v="62"/>
    <d v="2026-02-16T00:00:00"/>
    <n v="112"/>
  </r>
  <r>
    <x v="62"/>
    <d v="2026-02-23T00:00:00"/>
    <n v="103"/>
  </r>
  <r>
    <x v="62"/>
    <d v="2026-03-02T00:00:00"/>
    <n v="103"/>
  </r>
  <r>
    <x v="62"/>
    <d v="2026-03-09T00:00:00"/>
    <n v="107"/>
  </r>
  <r>
    <x v="62"/>
    <d v="2026-03-16T00:00:00"/>
    <n v="84"/>
  </r>
  <r>
    <x v="62"/>
    <d v="2026-03-23T00:00:00"/>
    <n v="114"/>
  </r>
  <r>
    <x v="62"/>
    <d v="2026-03-30T00:00:00"/>
    <n v="114"/>
  </r>
  <r>
    <x v="62"/>
    <d v="2026-04-06T00:00:00"/>
    <n v="112"/>
  </r>
  <r>
    <x v="62"/>
    <d v="2026-04-13T00:00:00"/>
    <n v="109"/>
  </r>
  <r>
    <x v="62"/>
    <d v="2026-04-20T00:00:00"/>
    <n v="107"/>
  </r>
  <r>
    <x v="62"/>
    <d v="2026-04-27T00:00:00"/>
    <n v="113"/>
  </r>
  <r>
    <x v="62"/>
    <d v="2026-05-04T00:00:00"/>
    <n v="125"/>
  </r>
  <r>
    <x v="62"/>
    <d v="2026-05-11T00:00:00"/>
    <n v="116"/>
  </r>
  <r>
    <x v="62"/>
    <d v="2026-05-18T00:00:00"/>
    <n v="128"/>
  </r>
  <r>
    <x v="62"/>
    <d v="2026-05-25T00:00:00"/>
    <n v="100"/>
  </r>
  <r>
    <x v="62"/>
    <d v="2026-06-01T00:00:00"/>
    <n v="117"/>
  </r>
  <r>
    <x v="62"/>
    <d v="2026-06-08T00:00:00"/>
    <n v="124"/>
  </r>
  <r>
    <x v="62"/>
    <d v="2026-06-15T00:00:00"/>
    <n v="123"/>
  </r>
  <r>
    <x v="62"/>
    <d v="2026-06-22T00:00:00"/>
    <n v="112"/>
  </r>
  <r>
    <x v="62"/>
    <d v="2026-06-29T00:00:00"/>
    <n v="121"/>
  </r>
  <r>
    <x v="63"/>
    <d v="2026-01-05T00:00:00"/>
    <n v="33"/>
  </r>
  <r>
    <x v="63"/>
    <d v="2026-01-12T00:00:00"/>
    <n v="33"/>
  </r>
  <r>
    <x v="63"/>
    <d v="2026-01-19T00:00:00"/>
    <n v="37"/>
  </r>
  <r>
    <x v="63"/>
    <d v="2026-01-26T00:00:00"/>
    <n v="46"/>
  </r>
  <r>
    <x v="63"/>
    <d v="2026-02-02T00:00:00"/>
    <n v="46"/>
  </r>
  <r>
    <x v="63"/>
    <d v="2026-02-09T00:00:00"/>
    <n v="29"/>
  </r>
  <r>
    <x v="63"/>
    <d v="2026-02-16T00:00:00"/>
    <n v="53"/>
  </r>
  <r>
    <x v="63"/>
    <d v="2026-02-23T00:00:00"/>
    <n v="40"/>
  </r>
  <r>
    <x v="63"/>
    <d v="2026-03-02T00:00:00"/>
    <n v="40"/>
  </r>
  <r>
    <x v="63"/>
    <d v="2026-03-09T00:00:00"/>
    <n v="56"/>
  </r>
  <r>
    <x v="63"/>
    <d v="2026-03-16T00:00:00"/>
    <n v="45"/>
  </r>
  <r>
    <x v="63"/>
    <d v="2026-03-23T00:00:00"/>
    <n v="38"/>
  </r>
  <r>
    <x v="63"/>
    <d v="2026-03-30T00:00:00"/>
    <n v="42"/>
  </r>
  <r>
    <x v="63"/>
    <d v="2026-04-06T00:00:00"/>
    <n v="42"/>
  </r>
  <r>
    <x v="63"/>
    <d v="2026-04-13T00:00:00"/>
    <n v="41"/>
  </r>
  <r>
    <x v="63"/>
    <d v="2026-04-20T00:00:00"/>
    <n v="46"/>
  </r>
  <r>
    <x v="63"/>
    <d v="2026-04-27T00:00:00"/>
    <n v="54"/>
  </r>
  <r>
    <x v="63"/>
    <d v="2026-05-04T00:00:00"/>
    <n v="51"/>
  </r>
  <r>
    <x v="63"/>
    <d v="2026-05-11T00:00:00"/>
    <n v="41"/>
  </r>
  <r>
    <x v="63"/>
    <d v="2026-05-18T00:00:00"/>
    <n v="69"/>
  </r>
  <r>
    <x v="63"/>
    <d v="2026-05-25T00:00:00"/>
    <n v="44"/>
  </r>
  <r>
    <x v="63"/>
    <d v="2026-06-01T00:00:00"/>
    <n v="52"/>
  </r>
  <r>
    <x v="63"/>
    <d v="2026-06-08T00:00:00"/>
    <n v="52"/>
  </r>
  <r>
    <x v="63"/>
    <d v="2026-06-15T00:00:00"/>
    <n v="57"/>
  </r>
  <r>
    <x v="63"/>
    <d v="2026-06-22T00:00:00"/>
    <n v="51"/>
  </r>
  <r>
    <x v="63"/>
    <d v="2026-06-29T00:00:00"/>
    <n v="56"/>
  </r>
  <r>
    <x v="64"/>
    <d v="2026-01-05T00:00:00"/>
    <n v="14"/>
  </r>
  <r>
    <x v="64"/>
    <d v="2026-01-12T00:00:00"/>
    <n v="13"/>
  </r>
  <r>
    <x v="64"/>
    <d v="2026-01-19T00:00:00"/>
    <n v="12"/>
  </r>
  <r>
    <x v="64"/>
    <d v="2026-01-26T00:00:00"/>
    <n v="19"/>
  </r>
  <r>
    <x v="64"/>
    <d v="2026-02-02T00:00:00"/>
    <n v="19"/>
  </r>
  <r>
    <x v="64"/>
    <d v="2026-02-09T00:00:00"/>
    <n v="14"/>
  </r>
  <r>
    <x v="64"/>
    <d v="2026-02-16T00:00:00"/>
    <n v="19"/>
  </r>
  <r>
    <x v="64"/>
    <d v="2026-02-23T00:00:00"/>
    <n v="20"/>
  </r>
  <r>
    <x v="64"/>
    <d v="2026-03-02T00:00:00"/>
    <n v="17"/>
  </r>
  <r>
    <x v="64"/>
    <d v="2026-03-09T00:00:00"/>
    <n v="20"/>
  </r>
  <r>
    <x v="64"/>
    <d v="2026-03-16T00:00:00"/>
    <n v="13"/>
  </r>
  <r>
    <x v="64"/>
    <d v="2026-03-23T00:00:00"/>
    <n v="11"/>
  </r>
  <r>
    <x v="64"/>
    <d v="2026-03-30T00:00:00"/>
    <n v="19"/>
  </r>
  <r>
    <x v="64"/>
    <d v="2026-04-06T00:00:00"/>
    <n v="18"/>
  </r>
  <r>
    <x v="64"/>
    <d v="2026-04-13T00:00:00"/>
    <n v="21"/>
  </r>
  <r>
    <x v="64"/>
    <d v="2026-04-20T00:00:00"/>
    <n v="16"/>
  </r>
  <r>
    <x v="64"/>
    <d v="2026-04-27T00:00:00"/>
    <n v="17"/>
  </r>
  <r>
    <x v="64"/>
    <d v="2026-05-04T00:00:00"/>
    <n v="21"/>
  </r>
  <r>
    <x v="64"/>
    <d v="2026-05-11T00:00:00"/>
    <n v="11"/>
  </r>
  <r>
    <x v="64"/>
    <d v="2026-05-18T00:00:00"/>
    <n v="20"/>
  </r>
  <r>
    <x v="64"/>
    <d v="2026-05-25T00:00:00"/>
    <n v="17"/>
  </r>
  <r>
    <x v="64"/>
    <d v="2026-06-01T00:00:00"/>
    <n v="15"/>
  </r>
  <r>
    <x v="64"/>
    <d v="2026-06-08T00:00:00"/>
    <n v="24"/>
  </r>
  <r>
    <x v="64"/>
    <d v="2026-06-15T00:00:00"/>
    <n v="17"/>
  </r>
  <r>
    <x v="64"/>
    <d v="2026-06-22T00:00:00"/>
    <n v="19"/>
  </r>
  <r>
    <x v="64"/>
    <d v="2026-06-29T00:00:00"/>
    <n v="22"/>
  </r>
  <r>
    <x v="65"/>
    <d v="2026-01-05T00:00:00"/>
    <n v="48"/>
  </r>
  <r>
    <x v="65"/>
    <d v="2026-01-12T00:00:00"/>
    <n v="38"/>
  </r>
  <r>
    <x v="65"/>
    <d v="2026-01-19T00:00:00"/>
    <n v="48"/>
  </r>
  <r>
    <x v="65"/>
    <d v="2026-01-26T00:00:00"/>
    <n v="50"/>
  </r>
  <r>
    <x v="65"/>
    <d v="2026-02-02T00:00:00"/>
    <n v="57"/>
  </r>
  <r>
    <x v="65"/>
    <d v="2026-02-09T00:00:00"/>
    <n v="52"/>
  </r>
  <r>
    <x v="65"/>
    <d v="2026-02-16T00:00:00"/>
    <n v="55"/>
  </r>
  <r>
    <x v="65"/>
    <d v="2026-02-23T00:00:00"/>
    <n v="48"/>
  </r>
  <r>
    <x v="65"/>
    <d v="2026-03-02T00:00:00"/>
    <n v="49"/>
  </r>
  <r>
    <x v="65"/>
    <d v="2026-03-09T00:00:00"/>
    <n v="53"/>
  </r>
  <r>
    <x v="65"/>
    <d v="2026-03-16T00:00:00"/>
    <n v="53"/>
  </r>
  <r>
    <x v="65"/>
    <d v="2026-03-23T00:00:00"/>
    <n v="56"/>
  </r>
  <r>
    <x v="65"/>
    <d v="2026-03-30T00:00:00"/>
    <n v="56"/>
  </r>
  <r>
    <x v="65"/>
    <d v="2026-04-06T00:00:00"/>
    <n v="57"/>
  </r>
  <r>
    <x v="65"/>
    <d v="2026-04-13T00:00:00"/>
    <n v="67"/>
  </r>
  <r>
    <x v="65"/>
    <d v="2026-04-20T00:00:00"/>
    <n v="62"/>
  </r>
  <r>
    <x v="65"/>
    <d v="2026-04-27T00:00:00"/>
    <n v="47"/>
  </r>
  <r>
    <x v="65"/>
    <d v="2026-05-04T00:00:00"/>
    <n v="53"/>
  </r>
  <r>
    <x v="65"/>
    <d v="2026-05-11T00:00:00"/>
    <n v="64"/>
  </r>
  <r>
    <x v="65"/>
    <d v="2026-05-18T00:00:00"/>
    <n v="59"/>
  </r>
  <r>
    <x v="65"/>
    <d v="2026-05-25T00:00:00"/>
    <n v="59"/>
  </r>
  <r>
    <x v="65"/>
    <d v="2026-06-01T00:00:00"/>
    <n v="59"/>
  </r>
  <r>
    <x v="65"/>
    <d v="2026-06-08T00:00:00"/>
    <n v="60"/>
  </r>
  <r>
    <x v="65"/>
    <d v="2026-06-15T00:00:00"/>
    <n v="63"/>
  </r>
  <r>
    <x v="65"/>
    <d v="2026-06-22T00:00:00"/>
    <n v="56"/>
  </r>
  <r>
    <x v="65"/>
    <d v="2026-06-29T00:00:00"/>
    <n v="75"/>
  </r>
  <r>
    <x v="66"/>
    <d v="2026-01-05T00:00:00"/>
    <n v="14"/>
  </r>
  <r>
    <x v="66"/>
    <d v="2026-01-12T00:00:00"/>
    <n v="21"/>
  </r>
  <r>
    <x v="66"/>
    <d v="2026-01-19T00:00:00"/>
    <n v="18"/>
  </r>
  <r>
    <x v="66"/>
    <d v="2026-01-26T00:00:00"/>
    <n v="20"/>
  </r>
  <r>
    <x v="66"/>
    <d v="2026-02-02T00:00:00"/>
    <n v="18"/>
  </r>
  <r>
    <x v="66"/>
    <d v="2026-02-09T00:00:00"/>
    <n v="20"/>
  </r>
  <r>
    <x v="66"/>
    <d v="2026-02-16T00:00:00"/>
    <n v="18"/>
  </r>
  <r>
    <x v="66"/>
    <d v="2026-02-23T00:00:00"/>
    <n v="18"/>
  </r>
  <r>
    <x v="66"/>
    <d v="2026-03-02T00:00:00"/>
    <n v="16"/>
  </r>
  <r>
    <x v="66"/>
    <d v="2026-03-09T00:00:00"/>
    <n v="20"/>
  </r>
  <r>
    <x v="66"/>
    <d v="2026-03-16T00:00:00"/>
    <n v="20"/>
  </r>
  <r>
    <x v="66"/>
    <d v="2026-03-23T00:00:00"/>
    <n v="24"/>
  </r>
  <r>
    <x v="66"/>
    <d v="2026-03-30T00:00:00"/>
    <n v="27"/>
  </r>
  <r>
    <x v="66"/>
    <d v="2026-04-06T00:00:00"/>
    <n v="22"/>
  </r>
  <r>
    <x v="66"/>
    <d v="2026-04-13T00:00:00"/>
    <n v="14"/>
  </r>
  <r>
    <x v="66"/>
    <d v="2026-04-20T00:00:00"/>
    <n v="18"/>
  </r>
  <r>
    <x v="66"/>
    <d v="2026-04-27T00:00:00"/>
    <n v="26"/>
  </r>
  <r>
    <x v="66"/>
    <d v="2026-05-04T00:00:00"/>
    <n v="23"/>
  </r>
  <r>
    <x v="66"/>
    <d v="2026-05-11T00:00:00"/>
    <n v="22"/>
  </r>
  <r>
    <x v="66"/>
    <d v="2026-05-18T00:00:00"/>
    <n v="20"/>
  </r>
  <r>
    <x v="66"/>
    <d v="2026-05-25T00:00:00"/>
    <n v="24"/>
  </r>
  <r>
    <x v="66"/>
    <d v="2026-06-01T00:00:00"/>
    <n v="24"/>
  </r>
  <r>
    <x v="66"/>
    <d v="2026-06-08T00:00:00"/>
    <n v="26"/>
  </r>
  <r>
    <x v="66"/>
    <d v="2026-06-15T00:00:00"/>
    <n v="27"/>
  </r>
  <r>
    <x v="66"/>
    <d v="2026-06-22T00:00:00"/>
    <n v="28"/>
  </r>
  <r>
    <x v="66"/>
    <d v="2026-06-29T00:00:00"/>
    <n v="27"/>
  </r>
  <r>
    <x v="67"/>
    <d v="2026-01-05T00:00:00"/>
    <n v="62"/>
  </r>
  <r>
    <x v="67"/>
    <d v="2026-01-12T00:00:00"/>
    <n v="55"/>
  </r>
  <r>
    <x v="67"/>
    <d v="2026-01-19T00:00:00"/>
    <n v="84"/>
  </r>
  <r>
    <x v="67"/>
    <d v="2026-01-26T00:00:00"/>
    <n v="91"/>
  </r>
  <r>
    <x v="67"/>
    <d v="2026-02-02T00:00:00"/>
    <n v="67"/>
  </r>
  <r>
    <x v="67"/>
    <d v="2026-02-09T00:00:00"/>
    <n v="71"/>
  </r>
  <r>
    <x v="67"/>
    <d v="2026-02-16T00:00:00"/>
    <n v="63"/>
  </r>
  <r>
    <x v="67"/>
    <d v="2026-02-23T00:00:00"/>
    <n v="65"/>
  </r>
  <r>
    <x v="67"/>
    <d v="2026-03-02T00:00:00"/>
    <n v="74"/>
  </r>
  <r>
    <x v="67"/>
    <d v="2026-03-09T00:00:00"/>
    <n v="78"/>
  </r>
  <r>
    <x v="67"/>
    <d v="2026-03-16T00:00:00"/>
    <n v="71"/>
  </r>
  <r>
    <x v="67"/>
    <d v="2026-03-23T00:00:00"/>
    <n v="70"/>
  </r>
  <r>
    <x v="67"/>
    <d v="2026-03-30T00:00:00"/>
    <n v="68"/>
  </r>
  <r>
    <x v="67"/>
    <d v="2026-04-06T00:00:00"/>
    <n v="77"/>
  </r>
  <r>
    <x v="67"/>
    <d v="2026-04-13T00:00:00"/>
    <n v="75"/>
  </r>
  <r>
    <x v="67"/>
    <d v="2026-04-20T00:00:00"/>
    <n v="80"/>
  </r>
  <r>
    <x v="67"/>
    <d v="2026-04-27T00:00:00"/>
    <n v="77"/>
  </r>
  <r>
    <x v="67"/>
    <d v="2026-05-04T00:00:00"/>
    <n v="84"/>
  </r>
  <r>
    <x v="67"/>
    <d v="2026-05-11T00:00:00"/>
    <n v="86"/>
  </r>
  <r>
    <x v="67"/>
    <d v="2026-05-18T00:00:00"/>
    <n v="97"/>
  </r>
  <r>
    <x v="67"/>
    <d v="2026-05-25T00:00:00"/>
    <n v="100"/>
  </r>
  <r>
    <x v="67"/>
    <d v="2026-06-01T00:00:00"/>
    <n v="97"/>
  </r>
  <r>
    <x v="67"/>
    <d v="2026-06-08T00:00:00"/>
    <n v="94"/>
  </r>
  <r>
    <x v="67"/>
    <d v="2026-06-15T00:00:00"/>
    <n v="90"/>
  </r>
  <r>
    <x v="67"/>
    <d v="2026-06-22T00:00:00"/>
    <n v="85"/>
  </r>
  <r>
    <x v="67"/>
    <d v="2026-06-29T00:00:00"/>
    <n v="86"/>
  </r>
  <r>
    <x v="68"/>
    <d v="2026-01-05T00:00:00"/>
    <n v="24"/>
  </r>
  <r>
    <x v="68"/>
    <d v="2026-01-12T00:00:00"/>
    <n v="25"/>
  </r>
  <r>
    <x v="68"/>
    <d v="2026-01-19T00:00:00"/>
    <n v="23"/>
  </r>
  <r>
    <x v="68"/>
    <d v="2026-01-26T00:00:00"/>
    <n v="26"/>
  </r>
  <r>
    <x v="68"/>
    <d v="2026-02-02T00:00:00"/>
    <n v="28"/>
  </r>
  <r>
    <x v="68"/>
    <d v="2026-02-09T00:00:00"/>
    <n v="24"/>
  </r>
  <r>
    <x v="68"/>
    <d v="2026-02-16T00:00:00"/>
    <n v="22"/>
  </r>
  <r>
    <x v="68"/>
    <d v="2026-02-23T00:00:00"/>
    <n v="23"/>
  </r>
  <r>
    <x v="68"/>
    <d v="2026-03-02T00:00:00"/>
    <n v="37"/>
  </r>
  <r>
    <x v="68"/>
    <d v="2026-03-09T00:00:00"/>
    <n v="23"/>
  </r>
  <r>
    <x v="68"/>
    <d v="2026-03-16T00:00:00"/>
    <n v="35"/>
  </r>
  <r>
    <x v="68"/>
    <d v="2026-03-23T00:00:00"/>
    <n v="23"/>
  </r>
  <r>
    <x v="68"/>
    <d v="2026-03-30T00:00:00"/>
    <n v="26"/>
  </r>
  <r>
    <x v="68"/>
    <d v="2026-04-06T00:00:00"/>
    <n v="30"/>
  </r>
  <r>
    <x v="68"/>
    <d v="2026-04-13T00:00:00"/>
    <n v="30"/>
  </r>
  <r>
    <x v="68"/>
    <d v="2026-04-20T00:00:00"/>
    <n v="26"/>
  </r>
  <r>
    <x v="68"/>
    <d v="2026-04-27T00:00:00"/>
    <n v="34"/>
  </r>
  <r>
    <x v="68"/>
    <d v="2026-05-04T00:00:00"/>
    <n v="29"/>
  </r>
  <r>
    <x v="68"/>
    <d v="2026-05-11T00:00:00"/>
    <n v="41"/>
  </r>
  <r>
    <x v="68"/>
    <d v="2026-05-18T00:00:00"/>
    <n v="27"/>
  </r>
  <r>
    <x v="68"/>
    <d v="2026-05-25T00:00:00"/>
    <n v="30"/>
  </r>
  <r>
    <x v="68"/>
    <d v="2026-06-01T00:00:00"/>
    <n v="36"/>
  </r>
  <r>
    <x v="68"/>
    <d v="2026-06-08T00:00:00"/>
    <n v="34"/>
  </r>
  <r>
    <x v="68"/>
    <d v="2026-06-15T00:00:00"/>
    <n v="33"/>
  </r>
  <r>
    <x v="68"/>
    <d v="2026-06-22T00:00:00"/>
    <n v="34"/>
  </r>
  <r>
    <x v="68"/>
    <d v="2026-06-29T00:00:00"/>
    <n v="34"/>
  </r>
  <r>
    <x v="69"/>
    <d v="2026-01-05T00:00:00"/>
    <n v="88"/>
  </r>
  <r>
    <x v="69"/>
    <d v="2026-01-12T00:00:00"/>
    <n v="141"/>
  </r>
  <r>
    <x v="69"/>
    <d v="2026-01-19T00:00:00"/>
    <n v="143"/>
  </r>
  <r>
    <x v="69"/>
    <d v="2026-01-26T00:00:00"/>
    <n v="132"/>
  </r>
  <r>
    <x v="69"/>
    <d v="2026-02-02T00:00:00"/>
    <n v="89"/>
  </r>
  <r>
    <x v="69"/>
    <d v="2026-02-09T00:00:00"/>
    <n v="148"/>
  </r>
  <r>
    <x v="69"/>
    <d v="2026-02-16T00:00:00"/>
    <n v="152"/>
  </r>
  <r>
    <x v="69"/>
    <d v="2026-02-23T00:00:00"/>
    <n v="120"/>
  </r>
  <r>
    <x v="69"/>
    <d v="2026-03-02T00:00:00"/>
    <n v="133"/>
  </r>
  <r>
    <x v="69"/>
    <d v="2026-03-09T00:00:00"/>
    <n v="146"/>
  </r>
  <r>
    <x v="69"/>
    <d v="2026-03-16T00:00:00"/>
    <n v="132"/>
  </r>
  <r>
    <x v="69"/>
    <d v="2026-03-23T00:00:00"/>
    <n v="155"/>
  </r>
  <r>
    <x v="69"/>
    <d v="2026-03-30T00:00:00"/>
    <n v="139"/>
  </r>
  <r>
    <x v="69"/>
    <d v="2026-04-06T00:00:00"/>
    <n v="151"/>
  </r>
  <r>
    <x v="69"/>
    <d v="2026-04-13T00:00:00"/>
    <n v="142"/>
  </r>
  <r>
    <x v="69"/>
    <d v="2026-04-20T00:00:00"/>
    <n v="115"/>
  </r>
  <r>
    <x v="69"/>
    <d v="2026-04-27T00:00:00"/>
    <n v="126"/>
  </r>
  <r>
    <x v="69"/>
    <d v="2026-05-04T00:00:00"/>
    <n v="202"/>
  </r>
  <r>
    <x v="69"/>
    <d v="2026-05-11T00:00:00"/>
    <n v="152"/>
  </r>
  <r>
    <x v="69"/>
    <d v="2026-05-18T00:00:00"/>
    <n v="172"/>
  </r>
  <r>
    <x v="69"/>
    <d v="2026-05-25T00:00:00"/>
    <n v="170"/>
  </r>
  <r>
    <x v="69"/>
    <d v="2026-06-01T00:00:00"/>
    <n v="182"/>
  </r>
  <r>
    <x v="69"/>
    <d v="2026-06-08T00:00:00"/>
    <n v="163"/>
  </r>
  <r>
    <x v="69"/>
    <d v="2026-06-15T00:00:00"/>
    <n v="144"/>
  </r>
  <r>
    <x v="69"/>
    <d v="2026-06-22T00:00:00"/>
    <n v="156"/>
  </r>
  <r>
    <x v="69"/>
    <d v="2026-06-29T00:00:00"/>
    <n v="123"/>
  </r>
  <r>
    <x v="70"/>
    <d v="2026-01-05T00:00:00"/>
    <n v="60"/>
  </r>
  <r>
    <x v="70"/>
    <d v="2026-01-12T00:00:00"/>
    <n v="52"/>
  </r>
  <r>
    <x v="70"/>
    <d v="2026-01-19T00:00:00"/>
    <n v="52"/>
  </r>
  <r>
    <x v="70"/>
    <d v="2026-01-26T00:00:00"/>
    <n v="57"/>
  </r>
  <r>
    <x v="70"/>
    <d v="2026-02-02T00:00:00"/>
    <n v="45"/>
  </r>
  <r>
    <x v="70"/>
    <d v="2026-02-09T00:00:00"/>
    <n v="47"/>
  </r>
  <r>
    <x v="70"/>
    <d v="2026-02-16T00:00:00"/>
    <n v="55"/>
  </r>
  <r>
    <x v="70"/>
    <d v="2026-02-23T00:00:00"/>
    <n v="57"/>
  </r>
  <r>
    <x v="70"/>
    <d v="2026-03-02T00:00:00"/>
    <n v="58"/>
  </r>
  <r>
    <x v="70"/>
    <d v="2026-03-09T00:00:00"/>
    <n v="48"/>
  </r>
  <r>
    <x v="70"/>
    <d v="2026-03-16T00:00:00"/>
    <n v="58"/>
  </r>
  <r>
    <x v="70"/>
    <d v="2026-03-23T00:00:00"/>
    <n v="57"/>
  </r>
  <r>
    <x v="70"/>
    <d v="2026-03-30T00:00:00"/>
    <n v="60"/>
  </r>
  <r>
    <x v="70"/>
    <d v="2026-04-06T00:00:00"/>
    <n v="55"/>
  </r>
  <r>
    <x v="70"/>
    <d v="2026-04-13T00:00:00"/>
    <n v="58"/>
  </r>
  <r>
    <x v="70"/>
    <d v="2026-04-20T00:00:00"/>
    <n v="62"/>
  </r>
  <r>
    <x v="70"/>
    <d v="2026-04-27T00:00:00"/>
    <n v="68"/>
  </r>
  <r>
    <x v="70"/>
    <d v="2026-05-04T00:00:00"/>
    <n v="60"/>
  </r>
  <r>
    <x v="70"/>
    <d v="2026-05-11T00:00:00"/>
    <n v="64"/>
  </r>
  <r>
    <x v="70"/>
    <d v="2026-05-18T00:00:00"/>
    <n v="62"/>
  </r>
  <r>
    <x v="70"/>
    <d v="2026-05-25T00:00:00"/>
    <n v="67"/>
  </r>
  <r>
    <x v="70"/>
    <d v="2026-06-01T00:00:00"/>
    <n v="64"/>
  </r>
  <r>
    <x v="70"/>
    <d v="2026-06-08T00:00:00"/>
    <n v="64"/>
  </r>
  <r>
    <x v="70"/>
    <d v="2026-06-15T00:00:00"/>
    <n v="72"/>
  </r>
  <r>
    <x v="70"/>
    <d v="2026-06-22T00:00:00"/>
    <n v="63"/>
  </r>
  <r>
    <x v="70"/>
    <d v="2026-06-29T00:00:00"/>
    <n v="74"/>
  </r>
  <r>
    <x v="71"/>
    <d v="2026-01-05T00:00:00"/>
    <n v="83"/>
  </r>
  <r>
    <x v="71"/>
    <d v="2026-01-12T00:00:00"/>
    <n v="81"/>
  </r>
  <r>
    <x v="71"/>
    <d v="2026-01-19T00:00:00"/>
    <n v="93"/>
  </r>
  <r>
    <x v="71"/>
    <d v="2026-01-26T00:00:00"/>
    <n v="68"/>
  </r>
  <r>
    <x v="71"/>
    <d v="2026-02-02T00:00:00"/>
    <n v="103"/>
  </r>
  <r>
    <x v="71"/>
    <d v="2026-02-09T00:00:00"/>
    <n v="56"/>
  </r>
  <r>
    <x v="71"/>
    <d v="2026-02-16T00:00:00"/>
    <n v="89"/>
  </r>
  <r>
    <x v="71"/>
    <d v="2026-02-23T00:00:00"/>
    <n v="83"/>
  </r>
  <r>
    <x v="71"/>
    <d v="2026-03-02T00:00:00"/>
    <n v="87"/>
  </r>
  <r>
    <x v="71"/>
    <d v="2026-03-09T00:00:00"/>
    <n v="65"/>
  </r>
  <r>
    <x v="71"/>
    <d v="2026-03-16T00:00:00"/>
    <n v="98"/>
  </r>
  <r>
    <x v="71"/>
    <d v="2026-03-23T00:00:00"/>
    <n v="88"/>
  </r>
  <r>
    <x v="71"/>
    <d v="2026-03-30T00:00:00"/>
    <n v="87"/>
  </r>
  <r>
    <x v="71"/>
    <d v="2026-04-06T00:00:00"/>
    <n v="100"/>
  </r>
  <r>
    <x v="71"/>
    <d v="2026-04-13T00:00:00"/>
    <n v="90"/>
  </r>
  <r>
    <x v="71"/>
    <d v="2026-04-20T00:00:00"/>
    <n v="90"/>
  </r>
  <r>
    <x v="71"/>
    <d v="2026-04-27T00:00:00"/>
    <n v="100"/>
  </r>
  <r>
    <x v="71"/>
    <d v="2026-05-04T00:00:00"/>
    <n v="90"/>
  </r>
  <r>
    <x v="71"/>
    <d v="2026-05-11T00:00:00"/>
    <n v="96"/>
  </r>
  <r>
    <x v="71"/>
    <d v="2026-05-18T00:00:00"/>
    <n v="89"/>
  </r>
  <r>
    <x v="71"/>
    <d v="2026-05-25T00:00:00"/>
    <n v="87"/>
  </r>
  <r>
    <x v="71"/>
    <d v="2026-06-01T00:00:00"/>
    <n v="95"/>
  </r>
  <r>
    <x v="71"/>
    <d v="2026-06-08T00:00:00"/>
    <n v="89"/>
  </r>
  <r>
    <x v="71"/>
    <d v="2026-06-15T00:00:00"/>
    <n v="100"/>
  </r>
  <r>
    <x v="71"/>
    <d v="2026-06-22T00:00:00"/>
    <n v="95"/>
  </r>
  <r>
    <x v="71"/>
    <d v="2026-06-29T00:00:00"/>
    <n v="93"/>
  </r>
  <r>
    <x v="72"/>
    <d v="2026-01-05T00:00:00"/>
    <n v="128"/>
  </r>
  <r>
    <x v="72"/>
    <d v="2026-01-12T00:00:00"/>
    <n v="110"/>
  </r>
  <r>
    <x v="72"/>
    <d v="2026-01-19T00:00:00"/>
    <n v="133"/>
  </r>
  <r>
    <x v="72"/>
    <d v="2026-01-26T00:00:00"/>
    <n v="80"/>
  </r>
  <r>
    <x v="72"/>
    <d v="2026-02-02T00:00:00"/>
    <n v="152"/>
  </r>
  <r>
    <x v="72"/>
    <d v="2026-02-09T00:00:00"/>
    <n v="136"/>
  </r>
  <r>
    <x v="72"/>
    <d v="2026-02-16T00:00:00"/>
    <n v="143"/>
  </r>
  <r>
    <x v="72"/>
    <d v="2026-02-23T00:00:00"/>
    <n v="85"/>
  </r>
  <r>
    <x v="72"/>
    <d v="2026-03-02T00:00:00"/>
    <n v="122"/>
  </r>
  <r>
    <x v="72"/>
    <d v="2026-03-09T00:00:00"/>
    <n v="128"/>
  </r>
  <r>
    <x v="72"/>
    <d v="2026-03-16T00:00:00"/>
    <n v="123"/>
  </r>
  <r>
    <x v="72"/>
    <d v="2026-03-23T00:00:00"/>
    <n v="122"/>
  </r>
  <r>
    <x v="72"/>
    <d v="2026-03-30T00:00:00"/>
    <n v="122"/>
  </r>
  <r>
    <x v="72"/>
    <d v="2026-04-06T00:00:00"/>
    <n v="169"/>
  </r>
  <r>
    <x v="72"/>
    <d v="2026-04-13T00:00:00"/>
    <n v="131"/>
  </r>
  <r>
    <x v="72"/>
    <d v="2026-04-20T00:00:00"/>
    <n v="136"/>
  </r>
  <r>
    <x v="72"/>
    <d v="2026-04-27T00:00:00"/>
    <n v="142"/>
  </r>
  <r>
    <x v="72"/>
    <d v="2026-05-04T00:00:00"/>
    <n v="96"/>
  </r>
  <r>
    <x v="72"/>
    <d v="2026-05-11T00:00:00"/>
    <n v="134"/>
  </r>
  <r>
    <x v="72"/>
    <d v="2026-05-18T00:00:00"/>
    <n v="151"/>
  </r>
  <r>
    <x v="72"/>
    <d v="2026-05-25T00:00:00"/>
    <n v="155"/>
  </r>
  <r>
    <x v="72"/>
    <d v="2026-06-01T00:00:00"/>
    <n v="144"/>
  </r>
  <r>
    <x v="72"/>
    <d v="2026-06-08T00:00:00"/>
    <n v="138"/>
  </r>
  <r>
    <x v="72"/>
    <d v="2026-06-15T00:00:00"/>
    <n v="157"/>
  </r>
  <r>
    <x v="72"/>
    <d v="2026-06-22T00:00:00"/>
    <n v="102"/>
  </r>
  <r>
    <x v="72"/>
    <d v="2026-06-29T00:00:00"/>
    <n v="172"/>
  </r>
  <r>
    <x v="73"/>
    <d v="2026-01-05T00:00:00"/>
    <n v="97"/>
  </r>
  <r>
    <x v="73"/>
    <d v="2026-01-12T00:00:00"/>
    <n v="121"/>
  </r>
  <r>
    <x v="73"/>
    <d v="2026-01-19T00:00:00"/>
    <n v="70"/>
  </r>
  <r>
    <x v="73"/>
    <d v="2026-01-26T00:00:00"/>
    <n v="138"/>
  </r>
  <r>
    <x v="73"/>
    <d v="2026-02-02T00:00:00"/>
    <n v="102"/>
  </r>
  <r>
    <x v="73"/>
    <d v="2026-02-09T00:00:00"/>
    <n v="129"/>
  </r>
  <r>
    <x v="73"/>
    <d v="2026-02-16T00:00:00"/>
    <n v="110"/>
  </r>
  <r>
    <x v="73"/>
    <d v="2026-02-23T00:00:00"/>
    <n v="126"/>
  </r>
  <r>
    <x v="73"/>
    <d v="2026-03-02T00:00:00"/>
    <n v="124"/>
  </r>
  <r>
    <x v="73"/>
    <d v="2026-03-09T00:00:00"/>
    <n v="123"/>
  </r>
  <r>
    <x v="73"/>
    <d v="2026-03-16T00:00:00"/>
    <n v="92"/>
  </r>
  <r>
    <x v="73"/>
    <d v="2026-03-23T00:00:00"/>
    <n v="100"/>
  </r>
  <r>
    <x v="73"/>
    <d v="2026-03-30T00:00:00"/>
    <n v="127"/>
  </r>
  <r>
    <x v="73"/>
    <d v="2026-04-06T00:00:00"/>
    <n v="154"/>
  </r>
  <r>
    <x v="73"/>
    <d v="2026-04-13T00:00:00"/>
    <n v="121"/>
  </r>
  <r>
    <x v="73"/>
    <d v="2026-04-20T00:00:00"/>
    <n v="142"/>
  </r>
  <r>
    <x v="73"/>
    <d v="2026-04-27T00:00:00"/>
    <n v="137"/>
  </r>
  <r>
    <x v="73"/>
    <d v="2026-05-04T00:00:00"/>
    <n v="144"/>
  </r>
  <r>
    <x v="73"/>
    <d v="2026-05-11T00:00:00"/>
    <n v="154"/>
  </r>
  <r>
    <x v="73"/>
    <d v="2026-05-18T00:00:00"/>
    <n v="111"/>
  </r>
  <r>
    <x v="73"/>
    <d v="2026-05-25T00:00:00"/>
    <n v="145"/>
  </r>
  <r>
    <x v="73"/>
    <d v="2026-06-01T00:00:00"/>
    <n v="138"/>
  </r>
  <r>
    <x v="73"/>
    <d v="2026-06-08T00:00:00"/>
    <n v="137"/>
  </r>
  <r>
    <x v="73"/>
    <d v="2026-06-15T00:00:00"/>
    <n v="129"/>
  </r>
  <r>
    <x v="73"/>
    <d v="2026-06-22T00:00:00"/>
    <n v="132"/>
  </r>
  <r>
    <x v="73"/>
    <d v="2026-06-29T00:00:00"/>
    <n v="129"/>
  </r>
  <r>
    <x v="74"/>
    <d v="2026-01-05T00:00:00"/>
    <n v="48"/>
  </r>
  <r>
    <x v="74"/>
    <d v="2026-01-12T00:00:00"/>
    <n v="52"/>
  </r>
  <r>
    <x v="74"/>
    <d v="2026-01-19T00:00:00"/>
    <n v="51"/>
  </r>
  <r>
    <x v="74"/>
    <d v="2026-01-26T00:00:00"/>
    <n v="51"/>
  </r>
  <r>
    <x v="74"/>
    <d v="2026-02-02T00:00:00"/>
    <n v="53"/>
  </r>
  <r>
    <x v="74"/>
    <d v="2026-02-09T00:00:00"/>
    <n v="66"/>
  </r>
  <r>
    <x v="74"/>
    <d v="2026-02-16T00:00:00"/>
    <n v="49"/>
  </r>
  <r>
    <x v="74"/>
    <d v="2026-02-23T00:00:00"/>
    <n v="70"/>
  </r>
  <r>
    <x v="74"/>
    <d v="2026-03-02T00:00:00"/>
    <n v="65"/>
  </r>
  <r>
    <x v="74"/>
    <d v="2026-03-09T00:00:00"/>
    <n v="47"/>
  </r>
  <r>
    <x v="74"/>
    <d v="2026-03-16T00:00:00"/>
    <n v="61"/>
  </r>
  <r>
    <x v="74"/>
    <d v="2026-03-23T00:00:00"/>
    <n v="65"/>
  </r>
  <r>
    <x v="74"/>
    <d v="2026-03-30T00:00:00"/>
    <n v="70"/>
  </r>
  <r>
    <x v="74"/>
    <d v="2026-04-06T00:00:00"/>
    <n v="64"/>
  </r>
  <r>
    <x v="74"/>
    <d v="2026-04-13T00:00:00"/>
    <n v="58"/>
  </r>
  <r>
    <x v="74"/>
    <d v="2026-04-20T00:00:00"/>
    <n v="54"/>
  </r>
  <r>
    <x v="74"/>
    <d v="2026-04-27T00:00:00"/>
    <n v="79"/>
  </r>
  <r>
    <x v="74"/>
    <d v="2026-05-04T00:00:00"/>
    <n v="73"/>
  </r>
  <r>
    <x v="74"/>
    <d v="2026-05-11T00:00:00"/>
    <n v="60"/>
  </r>
  <r>
    <x v="74"/>
    <d v="2026-05-18T00:00:00"/>
    <n v="55"/>
  </r>
  <r>
    <x v="74"/>
    <d v="2026-05-25T00:00:00"/>
    <n v="70"/>
  </r>
  <r>
    <x v="74"/>
    <d v="2026-06-01T00:00:00"/>
    <n v="65"/>
  </r>
  <r>
    <x v="74"/>
    <d v="2026-06-08T00:00:00"/>
    <n v="79"/>
  </r>
  <r>
    <x v="74"/>
    <d v="2026-06-15T00:00:00"/>
    <n v="60"/>
  </r>
  <r>
    <x v="74"/>
    <d v="2026-06-22T00:00:00"/>
    <n v="67"/>
  </r>
  <r>
    <x v="74"/>
    <d v="2026-06-29T00:00:00"/>
    <n v="82"/>
  </r>
  <r>
    <x v="75"/>
    <d v="2026-01-05T00:00:00"/>
    <n v="101"/>
  </r>
  <r>
    <x v="75"/>
    <d v="2026-01-12T00:00:00"/>
    <n v="106"/>
  </r>
  <r>
    <x v="75"/>
    <d v="2026-01-19T00:00:00"/>
    <n v="79"/>
  </r>
  <r>
    <x v="75"/>
    <d v="2026-01-26T00:00:00"/>
    <n v="90"/>
  </r>
  <r>
    <x v="75"/>
    <d v="2026-02-02T00:00:00"/>
    <n v="76"/>
  </r>
  <r>
    <x v="75"/>
    <d v="2026-02-09T00:00:00"/>
    <n v="91"/>
  </r>
  <r>
    <x v="75"/>
    <d v="2026-02-16T00:00:00"/>
    <n v="96"/>
  </r>
  <r>
    <x v="75"/>
    <d v="2026-02-23T00:00:00"/>
    <n v="102"/>
  </r>
  <r>
    <x v="75"/>
    <d v="2026-03-02T00:00:00"/>
    <n v="102"/>
  </r>
  <r>
    <x v="75"/>
    <d v="2026-03-09T00:00:00"/>
    <n v="89"/>
  </r>
  <r>
    <x v="75"/>
    <d v="2026-03-16T00:00:00"/>
    <n v="89"/>
  </r>
  <r>
    <x v="75"/>
    <d v="2026-03-23T00:00:00"/>
    <n v="87"/>
  </r>
  <r>
    <x v="75"/>
    <d v="2026-03-30T00:00:00"/>
    <n v="117"/>
  </r>
  <r>
    <x v="75"/>
    <d v="2026-04-06T00:00:00"/>
    <n v="92"/>
  </r>
  <r>
    <x v="75"/>
    <d v="2026-04-13T00:00:00"/>
    <n v="113"/>
  </r>
  <r>
    <x v="75"/>
    <d v="2026-04-20T00:00:00"/>
    <n v="108"/>
  </r>
  <r>
    <x v="75"/>
    <d v="2026-04-27T00:00:00"/>
    <n v="115"/>
  </r>
  <r>
    <x v="75"/>
    <d v="2026-05-04T00:00:00"/>
    <n v="93"/>
  </r>
  <r>
    <x v="75"/>
    <d v="2026-05-11T00:00:00"/>
    <n v="113"/>
  </r>
  <r>
    <x v="75"/>
    <d v="2026-05-18T00:00:00"/>
    <n v="114"/>
  </r>
  <r>
    <x v="75"/>
    <d v="2026-05-25T00:00:00"/>
    <n v="112"/>
  </r>
  <r>
    <x v="75"/>
    <d v="2026-06-01T00:00:00"/>
    <n v="117"/>
  </r>
  <r>
    <x v="75"/>
    <d v="2026-06-08T00:00:00"/>
    <n v="104"/>
  </r>
  <r>
    <x v="75"/>
    <d v="2026-06-15T00:00:00"/>
    <n v="128"/>
  </r>
  <r>
    <x v="75"/>
    <d v="2026-06-22T00:00:00"/>
    <n v="106"/>
  </r>
  <r>
    <x v="75"/>
    <d v="2026-06-29T00:00:00"/>
    <n v="116"/>
  </r>
  <r>
    <x v="76"/>
    <d v="2026-01-05T00:00:00"/>
    <n v="25"/>
  </r>
  <r>
    <x v="76"/>
    <d v="2026-01-12T00:00:00"/>
    <n v="29"/>
  </r>
  <r>
    <x v="76"/>
    <d v="2026-01-19T00:00:00"/>
    <n v="30"/>
  </r>
  <r>
    <x v="76"/>
    <d v="2026-01-26T00:00:00"/>
    <n v="30"/>
  </r>
  <r>
    <x v="76"/>
    <d v="2026-02-02T00:00:00"/>
    <n v="27"/>
  </r>
  <r>
    <x v="76"/>
    <d v="2026-02-09T00:00:00"/>
    <n v="26"/>
  </r>
  <r>
    <x v="76"/>
    <d v="2026-02-16T00:00:00"/>
    <n v="28"/>
  </r>
  <r>
    <x v="76"/>
    <d v="2026-02-23T00:00:00"/>
    <n v="28"/>
  </r>
  <r>
    <x v="76"/>
    <d v="2026-03-02T00:00:00"/>
    <n v="31"/>
  </r>
  <r>
    <x v="76"/>
    <d v="2026-03-09T00:00:00"/>
    <n v="32"/>
  </r>
  <r>
    <x v="76"/>
    <d v="2026-03-16T00:00:00"/>
    <n v="27"/>
  </r>
  <r>
    <x v="76"/>
    <d v="2026-03-23T00:00:00"/>
    <n v="26"/>
  </r>
  <r>
    <x v="76"/>
    <d v="2026-03-30T00:00:00"/>
    <n v="25"/>
  </r>
  <r>
    <x v="76"/>
    <d v="2026-04-06T00:00:00"/>
    <n v="30"/>
  </r>
  <r>
    <x v="76"/>
    <d v="2026-04-13T00:00:00"/>
    <n v="31"/>
  </r>
  <r>
    <x v="76"/>
    <d v="2026-04-20T00:00:00"/>
    <n v="35"/>
  </r>
  <r>
    <x v="76"/>
    <d v="2026-04-27T00:00:00"/>
    <n v="34"/>
  </r>
  <r>
    <x v="76"/>
    <d v="2026-05-04T00:00:00"/>
    <n v="32"/>
  </r>
  <r>
    <x v="76"/>
    <d v="2026-05-11T00:00:00"/>
    <n v="30"/>
  </r>
  <r>
    <x v="76"/>
    <d v="2026-05-18T00:00:00"/>
    <n v="31"/>
  </r>
  <r>
    <x v="76"/>
    <d v="2026-05-25T00:00:00"/>
    <n v="27"/>
  </r>
  <r>
    <x v="76"/>
    <d v="2026-06-01T00:00:00"/>
    <n v="32"/>
  </r>
  <r>
    <x v="76"/>
    <d v="2026-06-08T00:00:00"/>
    <n v="34"/>
  </r>
  <r>
    <x v="76"/>
    <d v="2026-06-15T00:00:00"/>
    <n v="36"/>
  </r>
  <r>
    <x v="76"/>
    <d v="2026-06-22T00:00:00"/>
    <n v="31"/>
  </r>
  <r>
    <x v="76"/>
    <d v="2026-06-29T00:00:00"/>
    <n v="36"/>
  </r>
  <r>
    <x v="77"/>
    <d v="2026-01-05T00:00:00"/>
    <n v="82"/>
  </r>
  <r>
    <x v="77"/>
    <d v="2026-01-12T00:00:00"/>
    <n v="93"/>
  </r>
  <r>
    <x v="77"/>
    <d v="2026-01-19T00:00:00"/>
    <n v="85"/>
  </r>
  <r>
    <x v="77"/>
    <d v="2026-01-26T00:00:00"/>
    <n v="62"/>
  </r>
  <r>
    <x v="77"/>
    <d v="2026-02-02T00:00:00"/>
    <n v="79"/>
  </r>
  <r>
    <x v="77"/>
    <d v="2026-02-09T00:00:00"/>
    <n v="86"/>
  </r>
  <r>
    <x v="77"/>
    <d v="2026-02-16T00:00:00"/>
    <n v="72"/>
  </r>
  <r>
    <x v="77"/>
    <d v="2026-02-23T00:00:00"/>
    <n v="90"/>
  </r>
  <r>
    <x v="77"/>
    <d v="2026-03-02T00:00:00"/>
    <n v="84"/>
  </r>
  <r>
    <x v="77"/>
    <d v="2026-03-09T00:00:00"/>
    <n v="76"/>
  </r>
  <r>
    <x v="77"/>
    <d v="2026-03-16T00:00:00"/>
    <n v="71"/>
  </r>
  <r>
    <x v="77"/>
    <d v="2026-03-23T00:00:00"/>
    <n v="101"/>
  </r>
  <r>
    <x v="77"/>
    <d v="2026-03-30T00:00:00"/>
    <n v="96"/>
  </r>
  <r>
    <x v="77"/>
    <d v="2026-04-06T00:00:00"/>
    <n v="79"/>
  </r>
  <r>
    <x v="77"/>
    <d v="2026-04-13T00:00:00"/>
    <n v="79"/>
  </r>
  <r>
    <x v="77"/>
    <d v="2026-04-20T00:00:00"/>
    <n v="106"/>
  </r>
  <r>
    <x v="77"/>
    <d v="2026-04-27T00:00:00"/>
    <n v="103"/>
  </r>
  <r>
    <x v="77"/>
    <d v="2026-05-04T00:00:00"/>
    <n v="92"/>
  </r>
  <r>
    <x v="77"/>
    <d v="2026-05-11T00:00:00"/>
    <n v="119"/>
  </r>
  <r>
    <x v="77"/>
    <d v="2026-05-18T00:00:00"/>
    <n v="94"/>
  </r>
  <r>
    <x v="77"/>
    <d v="2026-05-25T00:00:00"/>
    <n v="84"/>
  </r>
  <r>
    <x v="77"/>
    <d v="2026-06-01T00:00:00"/>
    <n v="115"/>
  </r>
  <r>
    <x v="77"/>
    <d v="2026-06-08T00:00:00"/>
    <n v="98"/>
  </r>
  <r>
    <x v="77"/>
    <d v="2026-06-15T00:00:00"/>
    <n v="107"/>
  </r>
  <r>
    <x v="77"/>
    <d v="2026-06-22T00:00:00"/>
    <n v="104"/>
  </r>
  <r>
    <x v="77"/>
    <d v="2026-06-29T00:00:00"/>
    <n v="90"/>
  </r>
  <r>
    <x v="78"/>
    <d v="2026-01-05T00:00:00"/>
    <n v="96"/>
  </r>
  <r>
    <x v="78"/>
    <d v="2026-01-12T00:00:00"/>
    <n v="77"/>
  </r>
  <r>
    <x v="78"/>
    <d v="2026-01-19T00:00:00"/>
    <n v="86"/>
  </r>
  <r>
    <x v="78"/>
    <d v="2026-01-26T00:00:00"/>
    <n v="80"/>
  </r>
  <r>
    <x v="78"/>
    <d v="2026-02-02T00:00:00"/>
    <n v="63"/>
  </r>
  <r>
    <x v="78"/>
    <d v="2026-02-09T00:00:00"/>
    <n v="78"/>
  </r>
  <r>
    <x v="78"/>
    <d v="2026-02-16T00:00:00"/>
    <n v="85"/>
  </r>
  <r>
    <x v="78"/>
    <d v="2026-02-23T00:00:00"/>
    <n v="79"/>
  </r>
  <r>
    <x v="78"/>
    <d v="2026-03-02T00:00:00"/>
    <n v="97"/>
  </r>
  <r>
    <x v="78"/>
    <d v="2026-03-09T00:00:00"/>
    <n v="92"/>
  </r>
  <r>
    <x v="78"/>
    <d v="2026-03-16T00:00:00"/>
    <n v="103"/>
  </r>
  <r>
    <x v="78"/>
    <d v="2026-03-23T00:00:00"/>
    <n v="98"/>
  </r>
  <r>
    <x v="78"/>
    <d v="2026-03-30T00:00:00"/>
    <n v="107"/>
  </r>
  <r>
    <x v="78"/>
    <d v="2026-04-06T00:00:00"/>
    <n v="110"/>
  </r>
  <r>
    <x v="78"/>
    <d v="2026-04-13T00:00:00"/>
    <n v="105"/>
  </r>
  <r>
    <x v="78"/>
    <d v="2026-04-20T00:00:00"/>
    <n v="99"/>
  </r>
  <r>
    <x v="78"/>
    <d v="2026-04-27T00:00:00"/>
    <n v="104"/>
  </r>
  <r>
    <x v="78"/>
    <d v="2026-05-04T00:00:00"/>
    <n v="113"/>
  </r>
  <r>
    <x v="78"/>
    <d v="2026-05-11T00:00:00"/>
    <n v="110"/>
  </r>
  <r>
    <x v="78"/>
    <d v="2026-05-18T00:00:00"/>
    <n v="99"/>
  </r>
  <r>
    <x v="78"/>
    <d v="2026-05-25T00:00:00"/>
    <n v="99"/>
  </r>
  <r>
    <x v="78"/>
    <d v="2026-06-01T00:00:00"/>
    <n v="114"/>
  </r>
  <r>
    <x v="78"/>
    <d v="2026-06-08T00:00:00"/>
    <n v="102"/>
  </r>
  <r>
    <x v="78"/>
    <d v="2026-06-15T00:00:00"/>
    <n v="109"/>
  </r>
  <r>
    <x v="78"/>
    <d v="2026-06-22T00:00:00"/>
    <n v="116"/>
  </r>
  <r>
    <x v="78"/>
    <d v="2026-06-29T00:00:00"/>
    <n v="98"/>
  </r>
  <r>
    <x v="79"/>
    <d v="2026-01-05T00:00:00"/>
    <n v="18"/>
  </r>
  <r>
    <x v="79"/>
    <d v="2026-01-12T00:00:00"/>
    <n v="18"/>
  </r>
  <r>
    <x v="79"/>
    <d v="2026-01-19T00:00:00"/>
    <n v="16"/>
  </r>
  <r>
    <x v="79"/>
    <d v="2026-01-26T00:00:00"/>
    <n v="16"/>
  </r>
  <r>
    <x v="79"/>
    <d v="2026-02-02T00:00:00"/>
    <n v="16"/>
  </r>
  <r>
    <x v="79"/>
    <d v="2026-02-09T00:00:00"/>
    <n v="15"/>
  </r>
  <r>
    <x v="79"/>
    <d v="2026-02-16T00:00:00"/>
    <n v="17"/>
  </r>
  <r>
    <x v="79"/>
    <d v="2026-02-23T00:00:00"/>
    <n v="18"/>
  </r>
  <r>
    <x v="79"/>
    <d v="2026-03-02T00:00:00"/>
    <n v="17"/>
  </r>
  <r>
    <x v="79"/>
    <d v="2026-03-09T00:00:00"/>
    <n v="17"/>
  </r>
  <r>
    <x v="79"/>
    <d v="2026-03-16T00:00:00"/>
    <n v="14"/>
  </r>
  <r>
    <x v="79"/>
    <d v="2026-03-23T00:00:00"/>
    <n v="16"/>
  </r>
  <r>
    <x v="79"/>
    <d v="2026-03-30T00:00:00"/>
    <n v="20"/>
  </r>
  <r>
    <x v="79"/>
    <d v="2026-04-06T00:00:00"/>
    <n v="16"/>
  </r>
  <r>
    <x v="79"/>
    <d v="2026-04-13T00:00:00"/>
    <n v="20"/>
  </r>
  <r>
    <x v="79"/>
    <d v="2026-04-20T00:00:00"/>
    <n v="20"/>
  </r>
  <r>
    <x v="79"/>
    <d v="2026-04-27T00:00:00"/>
    <n v="19"/>
  </r>
  <r>
    <x v="79"/>
    <d v="2026-05-04T00:00:00"/>
    <n v="20"/>
  </r>
  <r>
    <x v="79"/>
    <d v="2026-05-11T00:00:00"/>
    <n v="21"/>
  </r>
  <r>
    <x v="79"/>
    <d v="2026-05-18T00:00:00"/>
    <n v="20"/>
  </r>
  <r>
    <x v="79"/>
    <d v="2026-05-25T00:00:00"/>
    <n v="20"/>
  </r>
  <r>
    <x v="79"/>
    <d v="2026-06-01T00:00:00"/>
    <n v="22"/>
  </r>
  <r>
    <x v="79"/>
    <d v="2026-06-08T00:00:00"/>
    <n v="21"/>
  </r>
  <r>
    <x v="79"/>
    <d v="2026-06-15T00:00:00"/>
    <n v="24"/>
  </r>
  <r>
    <x v="79"/>
    <d v="2026-06-22T00:00:00"/>
    <n v="20"/>
  </r>
  <r>
    <x v="79"/>
    <d v="2026-06-29T00:00:00"/>
    <n v="21"/>
  </r>
  <r>
    <x v="80"/>
    <d v="2026-01-05T00:00:00"/>
    <n v="65"/>
  </r>
  <r>
    <x v="80"/>
    <d v="2026-01-12T00:00:00"/>
    <n v="77"/>
  </r>
  <r>
    <x v="80"/>
    <d v="2026-01-19T00:00:00"/>
    <n v="61"/>
  </r>
  <r>
    <x v="80"/>
    <d v="2026-01-26T00:00:00"/>
    <n v="79"/>
  </r>
  <r>
    <x v="80"/>
    <d v="2026-02-02T00:00:00"/>
    <n v="63"/>
  </r>
  <r>
    <x v="80"/>
    <d v="2026-02-09T00:00:00"/>
    <n v="70"/>
  </r>
  <r>
    <x v="80"/>
    <d v="2026-02-16T00:00:00"/>
    <n v="79"/>
  </r>
  <r>
    <x v="80"/>
    <d v="2026-02-23T00:00:00"/>
    <n v="80"/>
  </r>
  <r>
    <x v="80"/>
    <d v="2026-03-02T00:00:00"/>
    <n v="61"/>
  </r>
  <r>
    <x v="80"/>
    <d v="2026-03-09T00:00:00"/>
    <n v="55"/>
  </r>
  <r>
    <x v="80"/>
    <d v="2026-03-16T00:00:00"/>
    <n v="68"/>
  </r>
  <r>
    <x v="80"/>
    <d v="2026-03-23T00:00:00"/>
    <n v="64"/>
  </r>
  <r>
    <x v="80"/>
    <d v="2026-03-30T00:00:00"/>
    <n v="95"/>
  </r>
  <r>
    <x v="80"/>
    <d v="2026-04-06T00:00:00"/>
    <n v="100"/>
  </r>
  <r>
    <x v="80"/>
    <d v="2026-04-13T00:00:00"/>
    <n v="74"/>
  </r>
  <r>
    <x v="80"/>
    <d v="2026-04-20T00:00:00"/>
    <n v="92"/>
  </r>
  <r>
    <x v="80"/>
    <d v="2026-04-27T00:00:00"/>
    <n v="78"/>
  </r>
  <r>
    <x v="80"/>
    <d v="2026-05-04T00:00:00"/>
    <n v="68"/>
  </r>
  <r>
    <x v="80"/>
    <d v="2026-05-11T00:00:00"/>
    <n v="84"/>
  </r>
  <r>
    <x v="80"/>
    <d v="2026-05-18T00:00:00"/>
    <n v="84"/>
  </r>
  <r>
    <x v="80"/>
    <d v="2026-05-25T00:00:00"/>
    <n v="111"/>
  </r>
  <r>
    <x v="80"/>
    <d v="2026-06-01T00:00:00"/>
    <n v="98"/>
  </r>
  <r>
    <x v="80"/>
    <d v="2026-06-08T00:00:00"/>
    <n v="89"/>
  </r>
  <r>
    <x v="80"/>
    <d v="2026-06-15T00:00:00"/>
    <n v="86"/>
  </r>
  <r>
    <x v="80"/>
    <d v="2026-06-22T00:00:00"/>
    <n v="92"/>
  </r>
  <r>
    <x v="80"/>
    <d v="2026-06-29T00:00:00"/>
    <n v="102"/>
  </r>
  <r>
    <x v="81"/>
    <d v="2026-01-05T00:00:00"/>
    <n v="43"/>
  </r>
  <r>
    <x v="81"/>
    <d v="2026-01-12T00:00:00"/>
    <n v="32"/>
  </r>
  <r>
    <x v="81"/>
    <d v="2026-01-19T00:00:00"/>
    <n v="26"/>
  </r>
  <r>
    <x v="81"/>
    <d v="2026-01-26T00:00:00"/>
    <n v="46"/>
  </r>
  <r>
    <x v="81"/>
    <d v="2026-02-02T00:00:00"/>
    <n v="29"/>
  </r>
  <r>
    <x v="81"/>
    <d v="2026-02-09T00:00:00"/>
    <n v="47"/>
  </r>
  <r>
    <x v="81"/>
    <d v="2026-02-16T00:00:00"/>
    <n v="50"/>
  </r>
  <r>
    <x v="81"/>
    <d v="2026-02-23T00:00:00"/>
    <n v="46"/>
  </r>
  <r>
    <x v="81"/>
    <d v="2026-03-02T00:00:00"/>
    <n v="43"/>
  </r>
  <r>
    <x v="81"/>
    <d v="2026-03-09T00:00:00"/>
    <n v="43"/>
  </r>
  <r>
    <x v="81"/>
    <d v="2026-03-16T00:00:00"/>
    <n v="47"/>
  </r>
  <r>
    <x v="81"/>
    <d v="2026-03-23T00:00:00"/>
    <n v="44"/>
  </r>
  <r>
    <x v="81"/>
    <d v="2026-03-30T00:00:00"/>
    <n v="43"/>
  </r>
  <r>
    <x v="81"/>
    <d v="2026-04-06T00:00:00"/>
    <n v="45"/>
  </r>
  <r>
    <x v="81"/>
    <d v="2026-04-13T00:00:00"/>
    <n v="55"/>
  </r>
  <r>
    <x v="81"/>
    <d v="2026-04-20T00:00:00"/>
    <n v="44"/>
  </r>
  <r>
    <x v="81"/>
    <d v="2026-04-27T00:00:00"/>
    <n v="51"/>
  </r>
  <r>
    <x v="81"/>
    <d v="2026-05-04T00:00:00"/>
    <n v="42"/>
  </r>
  <r>
    <x v="81"/>
    <d v="2026-05-11T00:00:00"/>
    <n v="45"/>
  </r>
  <r>
    <x v="81"/>
    <d v="2026-05-18T00:00:00"/>
    <n v="41"/>
  </r>
  <r>
    <x v="81"/>
    <d v="2026-05-25T00:00:00"/>
    <n v="50"/>
  </r>
  <r>
    <x v="81"/>
    <d v="2026-06-01T00:00:00"/>
    <n v="56"/>
  </r>
  <r>
    <x v="81"/>
    <d v="2026-06-08T00:00:00"/>
    <n v="54"/>
  </r>
  <r>
    <x v="81"/>
    <d v="2026-06-15T00:00:00"/>
    <n v="49"/>
  </r>
  <r>
    <x v="81"/>
    <d v="2026-06-22T00:00:00"/>
    <n v="57"/>
  </r>
  <r>
    <x v="81"/>
    <d v="2026-06-29T00:00:00"/>
    <n v="51"/>
  </r>
  <r>
    <x v="82"/>
    <d v="2026-01-05T00:00:00"/>
    <n v="29"/>
  </r>
  <r>
    <x v="82"/>
    <d v="2026-01-12T00:00:00"/>
    <n v="32"/>
  </r>
  <r>
    <x v="82"/>
    <d v="2026-01-19T00:00:00"/>
    <n v="36"/>
  </r>
  <r>
    <x v="82"/>
    <d v="2026-01-26T00:00:00"/>
    <n v="31"/>
  </r>
  <r>
    <x v="82"/>
    <d v="2026-02-02T00:00:00"/>
    <n v="38"/>
  </r>
  <r>
    <x v="82"/>
    <d v="2026-02-09T00:00:00"/>
    <n v="13"/>
  </r>
  <r>
    <x v="82"/>
    <d v="2026-02-16T00:00:00"/>
    <n v="17"/>
  </r>
  <r>
    <x v="82"/>
    <d v="2026-02-23T00:00:00"/>
    <n v="34"/>
  </r>
  <r>
    <x v="82"/>
    <d v="2026-03-02T00:00:00"/>
    <n v="48"/>
  </r>
  <r>
    <x v="82"/>
    <d v="2026-03-09T00:00:00"/>
    <n v="10"/>
  </r>
  <r>
    <x v="82"/>
    <d v="2026-03-16T00:00:00"/>
    <n v="35"/>
  </r>
  <r>
    <x v="82"/>
    <d v="2026-03-23T00:00:00"/>
    <n v="36"/>
  </r>
  <r>
    <x v="82"/>
    <d v="2026-03-30T00:00:00"/>
    <n v="12"/>
  </r>
  <r>
    <x v="82"/>
    <d v="2026-04-06T00:00:00"/>
    <n v="38"/>
  </r>
  <r>
    <x v="82"/>
    <d v="2026-04-13T00:00:00"/>
    <n v="47"/>
  </r>
  <r>
    <x v="82"/>
    <d v="2026-04-20T00:00:00"/>
    <n v="17"/>
  </r>
  <r>
    <x v="82"/>
    <d v="2026-04-27T00:00:00"/>
    <n v="28"/>
  </r>
  <r>
    <x v="82"/>
    <d v="2026-05-04T00:00:00"/>
    <n v="15"/>
  </r>
  <r>
    <x v="82"/>
    <d v="2026-05-11T00:00:00"/>
    <n v="30"/>
  </r>
  <r>
    <x v="82"/>
    <d v="2026-05-18T00:00:00"/>
    <n v="43"/>
  </r>
  <r>
    <x v="82"/>
    <d v="2026-05-25T00:00:00"/>
    <n v="26"/>
  </r>
  <r>
    <x v="82"/>
    <d v="2026-06-01T00:00:00"/>
    <n v="32"/>
  </r>
  <r>
    <x v="82"/>
    <d v="2026-06-08T00:00:00"/>
    <n v="52"/>
  </r>
  <r>
    <x v="82"/>
    <d v="2026-06-15T00:00:00"/>
    <n v="29"/>
  </r>
  <r>
    <x v="82"/>
    <d v="2026-06-22T00:00:00"/>
    <n v="40"/>
  </r>
  <r>
    <x v="82"/>
    <d v="2026-06-29T00:00:00"/>
    <n v="68"/>
  </r>
  <r>
    <x v="83"/>
    <d v="2026-01-05T00:00:00"/>
    <n v="53"/>
  </r>
  <r>
    <x v="83"/>
    <d v="2026-01-12T00:00:00"/>
    <n v="53"/>
  </r>
  <r>
    <x v="83"/>
    <d v="2026-01-19T00:00:00"/>
    <n v="55"/>
  </r>
  <r>
    <x v="83"/>
    <d v="2026-01-26T00:00:00"/>
    <n v="57"/>
  </r>
  <r>
    <x v="83"/>
    <d v="2026-02-02T00:00:00"/>
    <n v="48"/>
  </r>
  <r>
    <x v="83"/>
    <d v="2026-02-09T00:00:00"/>
    <n v="62"/>
  </r>
  <r>
    <x v="83"/>
    <d v="2026-02-16T00:00:00"/>
    <n v="51"/>
  </r>
  <r>
    <x v="83"/>
    <d v="2026-02-23T00:00:00"/>
    <n v="66"/>
  </r>
  <r>
    <x v="83"/>
    <d v="2026-03-02T00:00:00"/>
    <n v="72"/>
  </r>
  <r>
    <x v="83"/>
    <d v="2026-03-09T00:00:00"/>
    <n v="71"/>
  </r>
  <r>
    <x v="83"/>
    <d v="2026-03-16T00:00:00"/>
    <n v="75"/>
  </r>
  <r>
    <x v="83"/>
    <d v="2026-03-23T00:00:00"/>
    <n v="75"/>
  </r>
  <r>
    <x v="83"/>
    <d v="2026-03-30T00:00:00"/>
    <n v="82"/>
  </r>
  <r>
    <x v="83"/>
    <d v="2026-04-06T00:00:00"/>
    <n v="65"/>
  </r>
  <r>
    <x v="83"/>
    <d v="2026-04-13T00:00:00"/>
    <n v="61"/>
  </r>
  <r>
    <x v="83"/>
    <d v="2026-04-20T00:00:00"/>
    <n v="66"/>
  </r>
  <r>
    <x v="83"/>
    <d v="2026-04-27T00:00:00"/>
    <n v="61"/>
  </r>
  <r>
    <x v="83"/>
    <d v="2026-05-04T00:00:00"/>
    <n v="78"/>
  </r>
  <r>
    <x v="83"/>
    <d v="2026-05-11T00:00:00"/>
    <n v="53"/>
  </r>
  <r>
    <x v="83"/>
    <d v="2026-05-18T00:00:00"/>
    <n v="71"/>
  </r>
  <r>
    <x v="83"/>
    <d v="2026-05-25T00:00:00"/>
    <n v="78"/>
  </r>
  <r>
    <x v="83"/>
    <d v="2026-06-01T00:00:00"/>
    <n v="76"/>
  </r>
  <r>
    <x v="83"/>
    <d v="2026-06-08T00:00:00"/>
    <n v="79"/>
  </r>
  <r>
    <x v="83"/>
    <d v="2026-06-15T00:00:00"/>
    <n v="66"/>
  </r>
  <r>
    <x v="83"/>
    <d v="2026-06-22T00:00:00"/>
    <n v="71"/>
  </r>
  <r>
    <x v="83"/>
    <d v="2026-06-29T00:00:00"/>
    <n v="74"/>
  </r>
  <r>
    <x v="84"/>
    <d v="2026-01-05T00:00:00"/>
    <n v="33"/>
  </r>
  <r>
    <x v="84"/>
    <d v="2026-01-12T00:00:00"/>
    <n v="25"/>
  </r>
  <r>
    <x v="84"/>
    <d v="2026-01-19T00:00:00"/>
    <n v="38"/>
  </r>
  <r>
    <x v="84"/>
    <d v="2026-01-26T00:00:00"/>
    <n v="30"/>
  </r>
  <r>
    <x v="84"/>
    <d v="2026-02-02T00:00:00"/>
    <n v="32"/>
  </r>
  <r>
    <x v="84"/>
    <d v="2026-02-09T00:00:00"/>
    <n v="40"/>
  </r>
  <r>
    <x v="84"/>
    <d v="2026-02-16T00:00:00"/>
    <n v="35"/>
  </r>
  <r>
    <x v="84"/>
    <d v="2026-02-23T00:00:00"/>
    <n v="35"/>
  </r>
  <r>
    <x v="84"/>
    <d v="2026-03-02T00:00:00"/>
    <n v="36"/>
  </r>
  <r>
    <x v="84"/>
    <d v="2026-03-09T00:00:00"/>
    <n v="38"/>
  </r>
  <r>
    <x v="84"/>
    <d v="2026-03-16T00:00:00"/>
    <n v="35"/>
  </r>
  <r>
    <x v="84"/>
    <d v="2026-03-23T00:00:00"/>
    <n v="39"/>
  </r>
  <r>
    <x v="84"/>
    <d v="2026-03-30T00:00:00"/>
    <n v="34"/>
  </r>
  <r>
    <x v="84"/>
    <d v="2026-04-06T00:00:00"/>
    <n v="42"/>
  </r>
  <r>
    <x v="84"/>
    <d v="2026-04-13T00:00:00"/>
    <n v="36"/>
  </r>
  <r>
    <x v="84"/>
    <d v="2026-04-20T00:00:00"/>
    <n v="42"/>
  </r>
  <r>
    <x v="84"/>
    <d v="2026-04-27T00:00:00"/>
    <n v="45"/>
  </r>
  <r>
    <x v="84"/>
    <d v="2026-05-04T00:00:00"/>
    <n v="45"/>
  </r>
  <r>
    <x v="84"/>
    <d v="2026-05-11T00:00:00"/>
    <n v="42"/>
  </r>
  <r>
    <x v="84"/>
    <d v="2026-05-18T00:00:00"/>
    <n v="34"/>
  </r>
  <r>
    <x v="84"/>
    <d v="2026-05-25T00:00:00"/>
    <n v="34"/>
  </r>
  <r>
    <x v="84"/>
    <d v="2026-06-01T00:00:00"/>
    <n v="43"/>
  </r>
  <r>
    <x v="84"/>
    <d v="2026-06-08T00:00:00"/>
    <n v="43"/>
  </r>
  <r>
    <x v="84"/>
    <d v="2026-06-15T00:00:00"/>
    <n v="44"/>
  </r>
  <r>
    <x v="84"/>
    <d v="2026-06-22T00:00:00"/>
    <n v="41"/>
  </r>
  <r>
    <x v="84"/>
    <d v="2026-06-29T00:00:00"/>
    <n v="44"/>
  </r>
  <r>
    <x v="85"/>
    <d v="2026-01-05T00:00:00"/>
    <n v="23"/>
  </r>
  <r>
    <x v="85"/>
    <d v="2026-01-12T00:00:00"/>
    <n v="23"/>
  </r>
  <r>
    <x v="85"/>
    <d v="2026-01-19T00:00:00"/>
    <n v="23"/>
  </r>
  <r>
    <x v="85"/>
    <d v="2026-01-26T00:00:00"/>
    <n v="24"/>
  </r>
  <r>
    <x v="85"/>
    <d v="2026-02-02T00:00:00"/>
    <n v="19"/>
  </r>
  <r>
    <x v="85"/>
    <d v="2026-02-09T00:00:00"/>
    <n v="24"/>
  </r>
  <r>
    <x v="85"/>
    <d v="2026-02-16T00:00:00"/>
    <n v="21"/>
  </r>
  <r>
    <x v="85"/>
    <d v="2026-02-23T00:00:00"/>
    <n v="20"/>
  </r>
  <r>
    <x v="85"/>
    <d v="2026-03-02T00:00:00"/>
    <n v="25"/>
  </r>
  <r>
    <x v="85"/>
    <d v="2026-03-09T00:00:00"/>
    <n v="28"/>
  </r>
  <r>
    <x v="85"/>
    <d v="2026-03-16T00:00:00"/>
    <n v="20"/>
  </r>
  <r>
    <x v="85"/>
    <d v="2026-03-23T00:00:00"/>
    <n v="28"/>
  </r>
  <r>
    <x v="85"/>
    <d v="2026-03-30T00:00:00"/>
    <n v="25"/>
  </r>
  <r>
    <x v="85"/>
    <d v="2026-04-06T00:00:00"/>
    <n v="21"/>
  </r>
  <r>
    <x v="85"/>
    <d v="2026-04-13T00:00:00"/>
    <n v="25"/>
  </r>
  <r>
    <x v="85"/>
    <d v="2026-04-20T00:00:00"/>
    <n v="25"/>
  </r>
  <r>
    <x v="85"/>
    <d v="2026-04-27T00:00:00"/>
    <n v="25"/>
  </r>
  <r>
    <x v="85"/>
    <d v="2026-05-04T00:00:00"/>
    <n v="24"/>
  </r>
  <r>
    <x v="85"/>
    <d v="2026-05-11T00:00:00"/>
    <n v="21"/>
  </r>
  <r>
    <x v="85"/>
    <d v="2026-05-18T00:00:00"/>
    <n v="25"/>
  </r>
  <r>
    <x v="85"/>
    <d v="2026-05-25T00:00:00"/>
    <n v="28"/>
  </r>
  <r>
    <x v="85"/>
    <d v="2026-06-01T00:00:00"/>
    <n v="28"/>
  </r>
  <r>
    <x v="85"/>
    <d v="2026-06-08T00:00:00"/>
    <n v="28"/>
  </r>
  <r>
    <x v="85"/>
    <d v="2026-06-15T00:00:00"/>
    <n v="29"/>
  </r>
  <r>
    <x v="85"/>
    <d v="2026-06-22T00:00:00"/>
    <n v="24"/>
  </r>
  <r>
    <x v="85"/>
    <d v="2026-06-29T00:00:00"/>
    <n v="27"/>
  </r>
  <r>
    <x v="86"/>
    <d v="2026-01-05T00:00:00"/>
    <n v="27"/>
  </r>
  <r>
    <x v="86"/>
    <d v="2026-01-12T00:00:00"/>
    <n v="36"/>
  </r>
  <r>
    <x v="86"/>
    <d v="2026-01-19T00:00:00"/>
    <n v="47"/>
  </r>
  <r>
    <x v="86"/>
    <d v="2026-01-26T00:00:00"/>
    <n v="38"/>
  </r>
  <r>
    <x v="86"/>
    <d v="2026-02-02T00:00:00"/>
    <n v="39"/>
  </r>
  <r>
    <x v="86"/>
    <d v="2026-02-09T00:00:00"/>
    <n v="42"/>
  </r>
  <r>
    <x v="86"/>
    <d v="2026-02-16T00:00:00"/>
    <n v="45"/>
  </r>
  <r>
    <x v="86"/>
    <d v="2026-02-23T00:00:00"/>
    <n v="45"/>
  </r>
  <r>
    <x v="86"/>
    <d v="2026-03-02T00:00:00"/>
    <n v="52"/>
  </r>
  <r>
    <x v="86"/>
    <d v="2026-03-09T00:00:00"/>
    <n v="48"/>
  </r>
  <r>
    <x v="86"/>
    <d v="2026-03-16T00:00:00"/>
    <n v="44"/>
  </r>
  <r>
    <x v="86"/>
    <d v="2026-03-23T00:00:00"/>
    <n v="43"/>
  </r>
  <r>
    <x v="86"/>
    <d v="2026-03-30T00:00:00"/>
    <n v="46"/>
  </r>
  <r>
    <x v="86"/>
    <d v="2026-04-06T00:00:00"/>
    <n v="45"/>
  </r>
  <r>
    <x v="86"/>
    <d v="2026-04-13T00:00:00"/>
    <n v="52"/>
  </r>
  <r>
    <x v="86"/>
    <d v="2026-04-20T00:00:00"/>
    <n v="56"/>
  </r>
  <r>
    <x v="86"/>
    <d v="2026-04-27T00:00:00"/>
    <n v="53"/>
  </r>
  <r>
    <x v="86"/>
    <d v="2026-05-04T00:00:00"/>
    <n v="49"/>
  </r>
  <r>
    <x v="86"/>
    <d v="2026-05-11T00:00:00"/>
    <n v="48"/>
  </r>
  <r>
    <x v="86"/>
    <d v="2026-05-18T00:00:00"/>
    <n v="49"/>
  </r>
  <r>
    <x v="86"/>
    <d v="2026-05-25T00:00:00"/>
    <n v="49"/>
  </r>
  <r>
    <x v="86"/>
    <d v="2026-06-01T00:00:00"/>
    <n v="50"/>
  </r>
  <r>
    <x v="86"/>
    <d v="2026-06-08T00:00:00"/>
    <n v="50"/>
  </r>
  <r>
    <x v="86"/>
    <d v="2026-06-15T00:00:00"/>
    <n v="50"/>
  </r>
  <r>
    <x v="86"/>
    <d v="2026-06-22T00:00:00"/>
    <n v="53"/>
  </r>
  <r>
    <x v="86"/>
    <d v="2026-06-29T00:00:00"/>
    <n v="61"/>
  </r>
  <r>
    <x v="87"/>
    <d v="2026-01-05T00:00:00"/>
    <n v="89"/>
  </r>
  <r>
    <x v="87"/>
    <d v="2026-01-12T00:00:00"/>
    <n v="85"/>
  </r>
  <r>
    <x v="87"/>
    <d v="2026-01-19T00:00:00"/>
    <n v="52"/>
  </r>
  <r>
    <x v="87"/>
    <d v="2026-01-26T00:00:00"/>
    <n v="61"/>
  </r>
  <r>
    <x v="87"/>
    <d v="2026-02-02T00:00:00"/>
    <n v="102"/>
  </r>
  <r>
    <x v="87"/>
    <d v="2026-02-09T00:00:00"/>
    <n v="90"/>
  </r>
  <r>
    <x v="87"/>
    <d v="2026-02-16T00:00:00"/>
    <n v="78"/>
  </r>
  <r>
    <x v="87"/>
    <d v="2026-02-23T00:00:00"/>
    <n v="65"/>
  </r>
  <r>
    <x v="87"/>
    <d v="2026-03-02T00:00:00"/>
    <n v="75"/>
  </r>
  <r>
    <x v="87"/>
    <d v="2026-03-09T00:00:00"/>
    <n v="110"/>
  </r>
  <r>
    <x v="87"/>
    <d v="2026-03-16T00:00:00"/>
    <n v="62"/>
  </r>
  <r>
    <x v="87"/>
    <d v="2026-03-23T00:00:00"/>
    <n v="99"/>
  </r>
  <r>
    <x v="87"/>
    <d v="2026-03-30T00:00:00"/>
    <n v="124"/>
  </r>
  <r>
    <x v="87"/>
    <d v="2026-04-06T00:00:00"/>
    <n v="96"/>
  </r>
  <r>
    <x v="87"/>
    <d v="2026-04-13T00:00:00"/>
    <n v="84"/>
  </r>
  <r>
    <x v="87"/>
    <d v="2026-04-20T00:00:00"/>
    <n v="103"/>
  </r>
  <r>
    <x v="87"/>
    <d v="2026-04-27T00:00:00"/>
    <n v="106"/>
  </r>
  <r>
    <x v="87"/>
    <d v="2026-05-04T00:00:00"/>
    <n v="104"/>
  </r>
  <r>
    <x v="87"/>
    <d v="2026-05-11T00:00:00"/>
    <n v="97"/>
  </r>
  <r>
    <x v="87"/>
    <d v="2026-05-18T00:00:00"/>
    <n v="81"/>
  </r>
  <r>
    <x v="87"/>
    <d v="2026-05-25T00:00:00"/>
    <n v="109"/>
  </r>
  <r>
    <x v="87"/>
    <d v="2026-06-01T00:00:00"/>
    <n v="112"/>
  </r>
  <r>
    <x v="87"/>
    <d v="2026-06-08T00:00:00"/>
    <n v="109"/>
  </r>
  <r>
    <x v="87"/>
    <d v="2026-06-15T00:00:00"/>
    <n v="112"/>
  </r>
  <r>
    <x v="87"/>
    <d v="2026-06-22T00:00:00"/>
    <n v="108"/>
  </r>
  <r>
    <x v="87"/>
    <d v="2026-06-29T00:00:00"/>
    <n v="119"/>
  </r>
  <r>
    <x v="88"/>
    <d v="2026-01-05T00:00:00"/>
    <n v="24"/>
  </r>
  <r>
    <x v="88"/>
    <d v="2026-01-12T00:00:00"/>
    <n v="18"/>
  </r>
  <r>
    <x v="88"/>
    <d v="2026-01-19T00:00:00"/>
    <n v="16"/>
  </r>
  <r>
    <x v="88"/>
    <d v="2026-01-26T00:00:00"/>
    <n v="24"/>
  </r>
  <r>
    <x v="88"/>
    <d v="2026-02-02T00:00:00"/>
    <n v="31"/>
  </r>
  <r>
    <x v="88"/>
    <d v="2026-02-09T00:00:00"/>
    <n v="20"/>
  </r>
  <r>
    <x v="88"/>
    <d v="2026-02-16T00:00:00"/>
    <n v="23"/>
  </r>
  <r>
    <x v="88"/>
    <d v="2026-02-23T00:00:00"/>
    <n v="23"/>
  </r>
  <r>
    <x v="88"/>
    <d v="2026-03-02T00:00:00"/>
    <n v="19"/>
  </r>
  <r>
    <x v="88"/>
    <d v="2026-03-09T00:00:00"/>
    <n v="20"/>
  </r>
  <r>
    <x v="88"/>
    <d v="2026-03-16T00:00:00"/>
    <n v="27"/>
  </r>
  <r>
    <x v="88"/>
    <d v="2026-03-23T00:00:00"/>
    <n v="24"/>
  </r>
  <r>
    <x v="88"/>
    <d v="2026-03-30T00:00:00"/>
    <n v="26"/>
  </r>
  <r>
    <x v="88"/>
    <d v="2026-04-06T00:00:00"/>
    <n v="23"/>
  </r>
  <r>
    <x v="88"/>
    <d v="2026-04-13T00:00:00"/>
    <n v="34"/>
  </r>
  <r>
    <x v="88"/>
    <d v="2026-04-20T00:00:00"/>
    <n v="38"/>
  </r>
  <r>
    <x v="88"/>
    <d v="2026-04-27T00:00:00"/>
    <n v="24"/>
  </r>
  <r>
    <x v="88"/>
    <d v="2026-05-04T00:00:00"/>
    <n v="22"/>
  </r>
  <r>
    <x v="88"/>
    <d v="2026-05-11T00:00:00"/>
    <n v="34"/>
  </r>
  <r>
    <x v="88"/>
    <d v="2026-05-18T00:00:00"/>
    <n v="35"/>
  </r>
  <r>
    <x v="88"/>
    <d v="2026-05-25T00:00:00"/>
    <n v="38"/>
  </r>
  <r>
    <x v="88"/>
    <d v="2026-06-01T00:00:00"/>
    <n v="26"/>
  </r>
  <r>
    <x v="88"/>
    <d v="2026-06-08T00:00:00"/>
    <n v="30"/>
  </r>
  <r>
    <x v="88"/>
    <d v="2026-06-15T00:00:00"/>
    <n v="21"/>
  </r>
  <r>
    <x v="88"/>
    <d v="2026-06-22T00:00:00"/>
    <n v="32"/>
  </r>
  <r>
    <x v="88"/>
    <d v="2026-06-29T00:00:00"/>
    <n v="25"/>
  </r>
  <r>
    <x v="89"/>
    <d v="2026-01-05T00:00:00"/>
    <n v="57"/>
  </r>
  <r>
    <x v="89"/>
    <d v="2026-01-12T00:00:00"/>
    <n v="55"/>
  </r>
  <r>
    <x v="89"/>
    <d v="2026-01-19T00:00:00"/>
    <n v="57"/>
  </r>
  <r>
    <x v="89"/>
    <d v="2026-01-26T00:00:00"/>
    <n v="72"/>
  </r>
  <r>
    <x v="89"/>
    <d v="2026-02-02T00:00:00"/>
    <n v="63"/>
  </r>
  <r>
    <x v="89"/>
    <d v="2026-02-09T00:00:00"/>
    <n v="68"/>
  </r>
  <r>
    <x v="89"/>
    <d v="2026-02-16T00:00:00"/>
    <n v="73"/>
  </r>
  <r>
    <x v="89"/>
    <d v="2026-02-23T00:00:00"/>
    <n v="74"/>
  </r>
  <r>
    <x v="89"/>
    <d v="2026-03-02T00:00:00"/>
    <n v="81"/>
  </r>
  <r>
    <x v="89"/>
    <d v="2026-03-09T00:00:00"/>
    <n v="63"/>
  </r>
  <r>
    <x v="89"/>
    <d v="2026-03-16T00:00:00"/>
    <n v="80"/>
  </r>
  <r>
    <x v="89"/>
    <d v="2026-03-23T00:00:00"/>
    <n v="63"/>
  </r>
  <r>
    <x v="89"/>
    <d v="2026-03-30T00:00:00"/>
    <n v="82"/>
  </r>
  <r>
    <x v="89"/>
    <d v="2026-04-06T00:00:00"/>
    <n v="94"/>
  </r>
  <r>
    <x v="89"/>
    <d v="2026-04-13T00:00:00"/>
    <n v="66"/>
  </r>
  <r>
    <x v="89"/>
    <d v="2026-04-20T00:00:00"/>
    <n v="77"/>
  </r>
  <r>
    <x v="89"/>
    <d v="2026-04-27T00:00:00"/>
    <n v="67"/>
  </r>
  <r>
    <x v="89"/>
    <d v="2026-05-04T00:00:00"/>
    <n v="77"/>
  </r>
  <r>
    <x v="89"/>
    <d v="2026-05-11T00:00:00"/>
    <n v="89"/>
  </r>
  <r>
    <x v="89"/>
    <d v="2026-05-18T00:00:00"/>
    <n v="86"/>
  </r>
  <r>
    <x v="89"/>
    <d v="2026-05-25T00:00:00"/>
    <n v="84"/>
  </r>
  <r>
    <x v="89"/>
    <d v="2026-06-01T00:00:00"/>
    <n v="82"/>
  </r>
  <r>
    <x v="89"/>
    <d v="2026-06-08T00:00:00"/>
    <n v="80"/>
  </r>
  <r>
    <x v="89"/>
    <d v="2026-06-15T00:00:00"/>
    <n v="81"/>
  </r>
  <r>
    <x v="89"/>
    <d v="2026-06-22T00:00:00"/>
    <n v="88"/>
  </r>
  <r>
    <x v="89"/>
    <d v="2026-06-29T00:00:00"/>
    <n v="101"/>
  </r>
  <r>
    <x v="90"/>
    <d v="2026-01-05T00:00:00"/>
    <n v="24"/>
  </r>
  <r>
    <x v="90"/>
    <d v="2026-01-12T00:00:00"/>
    <n v="22"/>
  </r>
  <r>
    <x v="90"/>
    <d v="2026-01-19T00:00:00"/>
    <n v="24"/>
  </r>
  <r>
    <x v="90"/>
    <d v="2026-01-26T00:00:00"/>
    <n v="22"/>
  </r>
  <r>
    <x v="90"/>
    <d v="2026-02-02T00:00:00"/>
    <n v="25"/>
  </r>
  <r>
    <x v="90"/>
    <d v="2026-02-09T00:00:00"/>
    <n v="29"/>
  </r>
  <r>
    <x v="90"/>
    <d v="2026-02-16T00:00:00"/>
    <n v="27"/>
  </r>
  <r>
    <x v="90"/>
    <d v="2026-02-23T00:00:00"/>
    <n v="32"/>
  </r>
  <r>
    <x v="90"/>
    <d v="2026-03-02T00:00:00"/>
    <n v="34"/>
  </r>
  <r>
    <x v="90"/>
    <d v="2026-03-09T00:00:00"/>
    <n v="27"/>
  </r>
  <r>
    <x v="90"/>
    <d v="2026-03-16T00:00:00"/>
    <n v="27"/>
  </r>
  <r>
    <x v="90"/>
    <d v="2026-03-23T00:00:00"/>
    <n v="30"/>
  </r>
  <r>
    <x v="90"/>
    <d v="2026-03-30T00:00:00"/>
    <n v="30"/>
  </r>
  <r>
    <x v="90"/>
    <d v="2026-04-06T00:00:00"/>
    <n v="32"/>
  </r>
  <r>
    <x v="90"/>
    <d v="2026-04-13T00:00:00"/>
    <n v="30"/>
  </r>
  <r>
    <x v="90"/>
    <d v="2026-04-20T00:00:00"/>
    <n v="31"/>
  </r>
  <r>
    <x v="90"/>
    <d v="2026-04-27T00:00:00"/>
    <n v="29"/>
  </r>
  <r>
    <x v="90"/>
    <d v="2026-05-04T00:00:00"/>
    <n v="34"/>
  </r>
  <r>
    <x v="90"/>
    <d v="2026-05-11T00:00:00"/>
    <n v="35"/>
  </r>
  <r>
    <x v="90"/>
    <d v="2026-05-18T00:00:00"/>
    <n v="33"/>
  </r>
  <r>
    <x v="90"/>
    <d v="2026-05-25T00:00:00"/>
    <n v="35"/>
  </r>
  <r>
    <x v="90"/>
    <d v="2026-06-01T00:00:00"/>
    <n v="33"/>
  </r>
  <r>
    <x v="90"/>
    <d v="2026-06-08T00:00:00"/>
    <n v="36"/>
  </r>
  <r>
    <x v="90"/>
    <d v="2026-06-15T00:00:00"/>
    <n v="32"/>
  </r>
  <r>
    <x v="90"/>
    <d v="2026-06-22T00:00:00"/>
    <n v="32"/>
  </r>
  <r>
    <x v="90"/>
    <d v="2026-06-29T00:00:00"/>
    <n v="34"/>
  </r>
  <r>
    <x v="91"/>
    <d v="2026-01-05T00:00:00"/>
    <n v="54"/>
  </r>
  <r>
    <x v="91"/>
    <d v="2026-01-12T00:00:00"/>
    <n v="46"/>
  </r>
  <r>
    <x v="91"/>
    <d v="2026-01-19T00:00:00"/>
    <n v="45"/>
  </r>
  <r>
    <x v="91"/>
    <d v="2026-01-26T00:00:00"/>
    <n v="49"/>
  </r>
  <r>
    <x v="91"/>
    <d v="2026-02-02T00:00:00"/>
    <n v="50"/>
  </r>
  <r>
    <x v="91"/>
    <d v="2026-02-09T00:00:00"/>
    <n v="43"/>
  </r>
  <r>
    <x v="91"/>
    <d v="2026-02-16T00:00:00"/>
    <n v="48"/>
  </r>
  <r>
    <x v="91"/>
    <d v="2026-02-23T00:00:00"/>
    <n v="60"/>
  </r>
  <r>
    <x v="91"/>
    <d v="2026-03-02T00:00:00"/>
    <n v="35"/>
  </r>
  <r>
    <x v="91"/>
    <d v="2026-03-09T00:00:00"/>
    <n v="38"/>
  </r>
  <r>
    <x v="91"/>
    <d v="2026-03-16T00:00:00"/>
    <n v="41"/>
  </r>
  <r>
    <x v="91"/>
    <d v="2026-03-23T00:00:00"/>
    <n v="53"/>
  </r>
  <r>
    <x v="91"/>
    <d v="2026-03-30T00:00:00"/>
    <n v="57"/>
  </r>
  <r>
    <x v="91"/>
    <d v="2026-04-06T00:00:00"/>
    <n v="47"/>
  </r>
  <r>
    <x v="91"/>
    <d v="2026-04-13T00:00:00"/>
    <n v="54"/>
  </r>
  <r>
    <x v="91"/>
    <d v="2026-04-20T00:00:00"/>
    <n v="50"/>
  </r>
  <r>
    <x v="91"/>
    <d v="2026-04-27T00:00:00"/>
    <n v="53"/>
  </r>
  <r>
    <x v="91"/>
    <d v="2026-05-04T00:00:00"/>
    <n v="48"/>
  </r>
  <r>
    <x v="91"/>
    <d v="2026-05-11T00:00:00"/>
    <n v="52"/>
  </r>
  <r>
    <x v="91"/>
    <d v="2026-05-18T00:00:00"/>
    <n v="53"/>
  </r>
  <r>
    <x v="91"/>
    <d v="2026-05-25T00:00:00"/>
    <n v="61"/>
  </r>
  <r>
    <x v="91"/>
    <d v="2026-06-01T00:00:00"/>
    <n v="68"/>
  </r>
  <r>
    <x v="91"/>
    <d v="2026-06-08T00:00:00"/>
    <n v="43"/>
  </r>
  <r>
    <x v="91"/>
    <d v="2026-06-15T00:00:00"/>
    <n v="58"/>
  </r>
  <r>
    <x v="91"/>
    <d v="2026-06-22T00:00:00"/>
    <n v="56"/>
  </r>
  <r>
    <x v="91"/>
    <d v="2026-06-29T00:00:00"/>
    <n v="62"/>
  </r>
  <r>
    <x v="92"/>
    <d v="2026-01-05T00:00:00"/>
    <n v="26"/>
  </r>
  <r>
    <x v="92"/>
    <d v="2026-01-12T00:00:00"/>
    <n v="18"/>
  </r>
  <r>
    <x v="92"/>
    <d v="2026-01-19T00:00:00"/>
    <n v="26"/>
  </r>
  <r>
    <x v="92"/>
    <d v="2026-01-26T00:00:00"/>
    <n v="26"/>
  </r>
  <r>
    <x v="92"/>
    <d v="2026-02-02T00:00:00"/>
    <n v="29"/>
  </r>
  <r>
    <x v="92"/>
    <d v="2026-02-09T00:00:00"/>
    <n v="25"/>
  </r>
  <r>
    <x v="92"/>
    <d v="2026-02-16T00:00:00"/>
    <n v="24"/>
  </r>
  <r>
    <x v="92"/>
    <d v="2026-02-23T00:00:00"/>
    <n v="33"/>
  </r>
  <r>
    <x v="92"/>
    <d v="2026-03-02T00:00:00"/>
    <n v="28"/>
  </r>
  <r>
    <x v="92"/>
    <d v="2026-03-09T00:00:00"/>
    <n v="34"/>
  </r>
  <r>
    <x v="92"/>
    <d v="2026-03-16T00:00:00"/>
    <n v="29"/>
  </r>
  <r>
    <x v="92"/>
    <d v="2026-03-23T00:00:00"/>
    <n v="35"/>
  </r>
  <r>
    <x v="92"/>
    <d v="2026-03-30T00:00:00"/>
    <n v="29"/>
  </r>
  <r>
    <x v="92"/>
    <d v="2026-04-06T00:00:00"/>
    <n v="24"/>
  </r>
  <r>
    <x v="92"/>
    <d v="2026-04-13T00:00:00"/>
    <n v="41"/>
  </r>
  <r>
    <x v="92"/>
    <d v="2026-04-20T00:00:00"/>
    <n v="29"/>
  </r>
  <r>
    <x v="92"/>
    <d v="2026-04-27T00:00:00"/>
    <n v="40"/>
  </r>
  <r>
    <x v="92"/>
    <d v="2026-05-04T00:00:00"/>
    <n v="36"/>
  </r>
  <r>
    <x v="92"/>
    <d v="2026-05-11T00:00:00"/>
    <n v="25"/>
  </r>
  <r>
    <x v="92"/>
    <d v="2026-05-18T00:00:00"/>
    <n v="34"/>
  </r>
  <r>
    <x v="92"/>
    <d v="2026-05-25T00:00:00"/>
    <n v="45"/>
  </r>
  <r>
    <x v="92"/>
    <d v="2026-06-01T00:00:00"/>
    <n v="36"/>
  </r>
  <r>
    <x v="92"/>
    <d v="2026-06-08T00:00:00"/>
    <n v="37"/>
  </r>
  <r>
    <x v="92"/>
    <d v="2026-06-15T00:00:00"/>
    <n v="34"/>
  </r>
  <r>
    <x v="92"/>
    <d v="2026-06-22T00:00:00"/>
    <n v="32"/>
  </r>
  <r>
    <x v="92"/>
    <d v="2026-06-29T00:00:00"/>
    <n v="39"/>
  </r>
  <r>
    <x v="93"/>
    <d v="2026-01-05T00:00:00"/>
    <n v="71"/>
  </r>
  <r>
    <x v="93"/>
    <d v="2026-01-12T00:00:00"/>
    <n v="11"/>
  </r>
  <r>
    <x v="93"/>
    <d v="2026-01-19T00:00:00"/>
    <n v="119"/>
  </r>
  <r>
    <x v="93"/>
    <d v="2026-01-26T00:00:00"/>
    <n v="91"/>
  </r>
  <r>
    <x v="93"/>
    <d v="2026-02-02T00:00:00"/>
    <n v="152"/>
  </r>
  <r>
    <x v="93"/>
    <d v="2026-02-09T00:00:00"/>
    <n v="165"/>
  </r>
  <r>
    <x v="93"/>
    <d v="2026-02-16T00:00:00"/>
    <n v="105"/>
  </r>
  <r>
    <x v="93"/>
    <d v="2026-02-23T00:00:00"/>
    <n v="73"/>
  </r>
  <r>
    <x v="93"/>
    <d v="2026-03-02T00:00:00"/>
    <n v="41"/>
  </r>
  <r>
    <x v="93"/>
    <d v="2026-03-09T00:00:00"/>
    <n v="61"/>
  </r>
  <r>
    <x v="93"/>
    <d v="2026-03-16T00:00:00"/>
    <n v="131"/>
  </r>
  <r>
    <x v="93"/>
    <d v="2026-03-23T00:00:00"/>
    <n v="104"/>
  </r>
  <r>
    <x v="93"/>
    <d v="2026-03-30T00:00:00"/>
    <n v="92"/>
  </r>
  <r>
    <x v="93"/>
    <d v="2026-04-06T00:00:00"/>
    <n v="33"/>
  </r>
  <r>
    <x v="93"/>
    <d v="2026-04-13T00:00:00"/>
    <n v="81"/>
  </r>
  <r>
    <x v="93"/>
    <d v="2026-04-20T00:00:00"/>
    <n v="166"/>
  </r>
  <r>
    <x v="93"/>
    <d v="2026-04-27T00:00:00"/>
    <n v="84"/>
  </r>
  <r>
    <x v="93"/>
    <d v="2026-05-04T00:00:00"/>
    <n v="150"/>
  </r>
  <r>
    <x v="93"/>
    <d v="2026-05-11T00:00:00"/>
    <n v="0"/>
  </r>
  <r>
    <x v="93"/>
    <d v="2026-05-18T00:00:00"/>
    <n v="156"/>
  </r>
  <r>
    <x v="93"/>
    <d v="2026-05-25T00:00:00"/>
    <n v="56"/>
  </r>
  <r>
    <x v="93"/>
    <d v="2026-06-01T00:00:00"/>
    <n v="41"/>
  </r>
  <r>
    <x v="93"/>
    <d v="2026-06-08T00:00:00"/>
    <n v="85"/>
  </r>
  <r>
    <x v="93"/>
    <d v="2026-06-15T00:00:00"/>
    <n v="68"/>
  </r>
  <r>
    <x v="93"/>
    <d v="2026-06-22T00:00:00"/>
    <n v="171"/>
  </r>
  <r>
    <x v="93"/>
    <d v="2026-06-29T00:00:00"/>
    <n v="92"/>
  </r>
  <r>
    <x v="94"/>
    <d v="2026-01-05T00:00:00"/>
    <n v="86"/>
  </r>
  <r>
    <x v="94"/>
    <d v="2026-01-12T00:00:00"/>
    <n v="137"/>
  </r>
  <r>
    <x v="94"/>
    <d v="2026-01-19T00:00:00"/>
    <n v="100"/>
  </r>
  <r>
    <x v="94"/>
    <d v="2026-01-26T00:00:00"/>
    <n v="107"/>
  </r>
  <r>
    <x v="94"/>
    <d v="2026-02-02T00:00:00"/>
    <n v="68"/>
  </r>
  <r>
    <x v="94"/>
    <d v="2026-02-09T00:00:00"/>
    <n v="102"/>
  </r>
  <r>
    <x v="94"/>
    <d v="2026-02-16T00:00:00"/>
    <n v="122"/>
  </r>
  <r>
    <x v="94"/>
    <d v="2026-02-23T00:00:00"/>
    <n v="146"/>
  </r>
  <r>
    <x v="94"/>
    <d v="2026-03-02T00:00:00"/>
    <n v="130"/>
  </r>
  <r>
    <x v="94"/>
    <d v="2026-03-09T00:00:00"/>
    <n v="122"/>
  </r>
  <r>
    <x v="94"/>
    <d v="2026-03-16T00:00:00"/>
    <n v="88"/>
  </r>
  <r>
    <x v="94"/>
    <d v="2026-03-23T00:00:00"/>
    <n v="114"/>
  </r>
  <r>
    <x v="94"/>
    <d v="2026-03-30T00:00:00"/>
    <n v="141"/>
  </r>
  <r>
    <x v="94"/>
    <d v="2026-04-06T00:00:00"/>
    <n v="107"/>
  </r>
  <r>
    <x v="94"/>
    <d v="2026-04-13T00:00:00"/>
    <n v="155"/>
  </r>
  <r>
    <x v="94"/>
    <d v="2026-04-20T00:00:00"/>
    <n v="118"/>
  </r>
  <r>
    <x v="94"/>
    <d v="2026-04-27T00:00:00"/>
    <n v="106"/>
  </r>
  <r>
    <x v="94"/>
    <d v="2026-05-04T00:00:00"/>
    <n v="150"/>
  </r>
  <r>
    <x v="94"/>
    <d v="2026-05-11T00:00:00"/>
    <n v="122"/>
  </r>
  <r>
    <x v="94"/>
    <d v="2026-05-18T00:00:00"/>
    <n v="170"/>
  </r>
  <r>
    <x v="94"/>
    <d v="2026-05-25T00:00:00"/>
    <n v="104"/>
  </r>
  <r>
    <x v="94"/>
    <d v="2026-06-01T00:00:00"/>
    <n v="136"/>
  </r>
  <r>
    <x v="94"/>
    <d v="2026-06-08T00:00:00"/>
    <n v="151"/>
  </r>
  <r>
    <x v="94"/>
    <d v="2026-06-15T00:00:00"/>
    <n v="126"/>
  </r>
  <r>
    <x v="94"/>
    <d v="2026-06-22T00:00:00"/>
    <n v="129"/>
  </r>
  <r>
    <x v="94"/>
    <d v="2026-06-29T00:00:00"/>
    <n v="121"/>
  </r>
  <r>
    <x v="95"/>
    <d v="2026-01-05T00:00:00"/>
    <n v="60"/>
  </r>
  <r>
    <x v="95"/>
    <d v="2026-01-12T00:00:00"/>
    <n v="54"/>
  </r>
  <r>
    <x v="95"/>
    <d v="2026-01-19T00:00:00"/>
    <n v="61"/>
  </r>
  <r>
    <x v="95"/>
    <d v="2026-01-26T00:00:00"/>
    <n v="72"/>
  </r>
  <r>
    <x v="95"/>
    <d v="2026-02-02T00:00:00"/>
    <n v="45"/>
  </r>
  <r>
    <x v="95"/>
    <d v="2026-02-09T00:00:00"/>
    <n v="63"/>
  </r>
  <r>
    <x v="95"/>
    <d v="2026-02-16T00:00:00"/>
    <n v="52"/>
  </r>
  <r>
    <x v="95"/>
    <d v="2026-02-23T00:00:00"/>
    <n v="51"/>
  </r>
  <r>
    <x v="95"/>
    <d v="2026-03-02T00:00:00"/>
    <n v="59"/>
  </r>
  <r>
    <x v="95"/>
    <d v="2026-03-09T00:00:00"/>
    <n v="65"/>
  </r>
  <r>
    <x v="95"/>
    <d v="2026-03-16T00:00:00"/>
    <n v="63"/>
  </r>
  <r>
    <x v="95"/>
    <d v="2026-03-23T00:00:00"/>
    <n v="55"/>
  </r>
  <r>
    <x v="95"/>
    <d v="2026-03-30T00:00:00"/>
    <n v="54"/>
  </r>
  <r>
    <x v="95"/>
    <d v="2026-04-06T00:00:00"/>
    <n v="61"/>
  </r>
  <r>
    <x v="95"/>
    <d v="2026-04-13T00:00:00"/>
    <n v="65"/>
  </r>
  <r>
    <x v="95"/>
    <d v="2026-04-20T00:00:00"/>
    <n v="61"/>
  </r>
  <r>
    <x v="95"/>
    <d v="2026-04-27T00:00:00"/>
    <n v="57"/>
  </r>
  <r>
    <x v="95"/>
    <d v="2026-05-04T00:00:00"/>
    <n v="79"/>
  </r>
  <r>
    <x v="95"/>
    <d v="2026-05-11T00:00:00"/>
    <n v="63"/>
  </r>
  <r>
    <x v="95"/>
    <d v="2026-05-18T00:00:00"/>
    <n v="68"/>
  </r>
  <r>
    <x v="95"/>
    <d v="2026-05-25T00:00:00"/>
    <n v="66"/>
  </r>
  <r>
    <x v="95"/>
    <d v="2026-06-01T00:00:00"/>
    <n v="67"/>
  </r>
  <r>
    <x v="95"/>
    <d v="2026-06-08T00:00:00"/>
    <n v="72"/>
  </r>
  <r>
    <x v="95"/>
    <d v="2026-06-15T00:00:00"/>
    <n v="70"/>
  </r>
  <r>
    <x v="95"/>
    <d v="2026-06-22T00:00:00"/>
    <n v="77"/>
  </r>
  <r>
    <x v="95"/>
    <d v="2026-06-29T00:00:00"/>
    <n v="66"/>
  </r>
  <r>
    <x v="96"/>
    <d v="2026-01-05T00:00:00"/>
    <n v="44"/>
  </r>
  <r>
    <x v="96"/>
    <d v="2026-01-12T00:00:00"/>
    <n v="81"/>
  </r>
  <r>
    <x v="96"/>
    <d v="2026-01-19T00:00:00"/>
    <n v="76"/>
  </r>
  <r>
    <x v="96"/>
    <d v="2026-01-26T00:00:00"/>
    <n v="50"/>
  </r>
  <r>
    <x v="96"/>
    <d v="2026-02-02T00:00:00"/>
    <n v="73"/>
  </r>
  <r>
    <x v="96"/>
    <d v="2026-02-09T00:00:00"/>
    <n v="71"/>
  </r>
  <r>
    <x v="96"/>
    <d v="2026-02-16T00:00:00"/>
    <n v="73"/>
  </r>
  <r>
    <x v="96"/>
    <d v="2026-02-23T00:00:00"/>
    <n v="50"/>
  </r>
  <r>
    <x v="96"/>
    <d v="2026-03-02T00:00:00"/>
    <n v="61"/>
  </r>
  <r>
    <x v="96"/>
    <d v="2026-03-09T00:00:00"/>
    <n v="47"/>
  </r>
  <r>
    <x v="96"/>
    <d v="2026-03-16T00:00:00"/>
    <n v="71"/>
  </r>
  <r>
    <x v="96"/>
    <d v="2026-03-23T00:00:00"/>
    <n v="74"/>
  </r>
  <r>
    <x v="96"/>
    <d v="2026-03-30T00:00:00"/>
    <n v="67"/>
  </r>
  <r>
    <x v="96"/>
    <d v="2026-04-06T00:00:00"/>
    <n v="56"/>
  </r>
  <r>
    <x v="96"/>
    <d v="2026-04-13T00:00:00"/>
    <n v="78"/>
  </r>
  <r>
    <x v="96"/>
    <d v="2026-04-20T00:00:00"/>
    <n v="78"/>
  </r>
  <r>
    <x v="96"/>
    <d v="2026-04-27T00:00:00"/>
    <n v="82"/>
  </r>
  <r>
    <x v="96"/>
    <d v="2026-05-04T00:00:00"/>
    <n v="60"/>
  </r>
  <r>
    <x v="96"/>
    <d v="2026-05-11T00:00:00"/>
    <n v="79"/>
  </r>
  <r>
    <x v="96"/>
    <d v="2026-05-18T00:00:00"/>
    <n v="68"/>
  </r>
  <r>
    <x v="96"/>
    <d v="2026-05-25T00:00:00"/>
    <n v="68"/>
  </r>
  <r>
    <x v="96"/>
    <d v="2026-06-01T00:00:00"/>
    <n v="77"/>
  </r>
  <r>
    <x v="96"/>
    <d v="2026-06-08T00:00:00"/>
    <n v="87"/>
  </r>
  <r>
    <x v="96"/>
    <d v="2026-06-15T00:00:00"/>
    <n v="68"/>
  </r>
  <r>
    <x v="96"/>
    <d v="2026-06-22T00:00:00"/>
    <n v="89"/>
  </r>
  <r>
    <x v="96"/>
    <d v="2026-06-29T00:00:00"/>
    <n v="92"/>
  </r>
  <r>
    <x v="97"/>
    <d v="2026-01-05T00:00:00"/>
    <n v="72"/>
  </r>
  <r>
    <x v="97"/>
    <d v="2026-01-12T00:00:00"/>
    <n v="65"/>
  </r>
  <r>
    <x v="97"/>
    <d v="2026-01-19T00:00:00"/>
    <n v="67"/>
  </r>
  <r>
    <x v="97"/>
    <d v="2026-01-26T00:00:00"/>
    <n v="73"/>
  </r>
  <r>
    <x v="97"/>
    <d v="2026-02-02T00:00:00"/>
    <n v="60"/>
  </r>
  <r>
    <x v="97"/>
    <d v="2026-02-09T00:00:00"/>
    <n v="78"/>
  </r>
  <r>
    <x v="97"/>
    <d v="2026-02-16T00:00:00"/>
    <n v="82"/>
  </r>
  <r>
    <x v="97"/>
    <d v="2026-02-23T00:00:00"/>
    <n v="61"/>
  </r>
  <r>
    <x v="97"/>
    <d v="2026-03-02T00:00:00"/>
    <n v="65"/>
  </r>
  <r>
    <x v="97"/>
    <d v="2026-03-09T00:00:00"/>
    <n v="70"/>
  </r>
  <r>
    <x v="97"/>
    <d v="2026-03-16T00:00:00"/>
    <n v="68"/>
  </r>
  <r>
    <x v="97"/>
    <d v="2026-03-23T00:00:00"/>
    <n v="73"/>
  </r>
  <r>
    <x v="97"/>
    <d v="2026-03-30T00:00:00"/>
    <n v="88"/>
  </r>
  <r>
    <x v="97"/>
    <d v="2026-04-06T00:00:00"/>
    <n v="63"/>
  </r>
  <r>
    <x v="97"/>
    <d v="2026-04-13T00:00:00"/>
    <n v="83"/>
  </r>
  <r>
    <x v="97"/>
    <d v="2026-04-20T00:00:00"/>
    <n v="75"/>
  </r>
  <r>
    <x v="97"/>
    <d v="2026-04-27T00:00:00"/>
    <n v="73"/>
  </r>
  <r>
    <x v="97"/>
    <d v="2026-05-04T00:00:00"/>
    <n v="66"/>
  </r>
  <r>
    <x v="97"/>
    <d v="2026-05-11T00:00:00"/>
    <n v="60"/>
  </r>
  <r>
    <x v="97"/>
    <d v="2026-05-18T00:00:00"/>
    <n v="84"/>
  </r>
  <r>
    <x v="97"/>
    <d v="2026-05-25T00:00:00"/>
    <n v="99"/>
  </r>
  <r>
    <x v="97"/>
    <d v="2026-06-01T00:00:00"/>
    <n v="75"/>
  </r>
  <r>
    <x v="97"/>
    <d v="2026-06-08T00:00:00"/>
    <n v="94"/>
  </r>
  <r>
    <x v="97"/>
    <d v="2026-06-15T00:00:00"/>
    <n v="74"/>
  </r>
  <r>
    <x v="97"/>
    <d v="2026-06-22T00:00:00"/>
    <n v="93"/>
  </r>
  <r>
    <x v="97"/>
    <d v="2026-06-29T00:00:00"/>
    <n v="86"/>
  </r>
  <r>
    <x v="98"/>
    <d v="2026-01-05T00:00:00"/>
    <n v="74"/>
  </r>
  <r>
    <x v="98"/>
    <d v="2026-01-12T00:00:00"/>
    <n v="134"/>
  </r>
  <r>
    <x v="98"/>
    <d v="2026-01-19T00:00:00"/>
    <n v="100"/>
  </r>
  <r>
    <x v="98"/>
    <d v="2026-01-26T00:00:00"/>
    <n v="77"/>
  </r>
  <r>
    <x v="98"/>
    <d v="2026-02-02T00:00:00"/>
    <n v="92"/>
  </r>
  <r>
    <x v="98"/>
    <d v="2026-02-09T00:00:00"/>
    <n v="98"/>
  </r>
  <r>
    <x v="98"/>
    <d v="2026-02-16T00:00:00"/>
    <n v="81"/>
  </r>
  <r>
    <x v="98"/>
    <d v="2026-02-23T00:00:00"/>
    <n v="89"/>
  </r>
  <r>
    <x v="98"/>
    <d v="2026-03-02T00:00:00"/>
    <n v="110"/>
  </r>
  <r>
    <x v="98"/>
    <d v="2026-03-09T00:00:00"/>
    <n v="135"/>
  </r>
  <r>
    <x v="98"/>
    <d v="2026-03-16T00:00:00"/>
    <n v="82"/>
  </r>
  <r>
    <x v="98"/>
    <d v="2026-03-23T00:00:00"/>
    <n v="103"/>
  </r>
  <r>
    <x v="98"/>
    <d v="2026-03-30T00:00:00"/>
    <n v="126"/>
  </r>
  <r>
    <x v="98"/>
    <d v="2026-04-06T00:00:00"/>
    <n v="125"/>
  </r>
  <r>
    <x v="98"/>
    <d v="2026-04-13T00:00:00"/>
    <n v="115"/>
  </r>
  <r>
    <x v="98"/>
    <d v="2026-04-20T00:00:00"/>
    <n v="125"/>
  </r>
  <r>
    <x v="98"/>
    <d v="2026-04-27T00:00:00"/>
    <n v="141"/>
  </r>
  <r>
    <x v="98"/>
    <d v="2026-05-04T00:00:00"/>
    <n v="125"/>
  </r>
  <r>
    <x v="98"/>
    <d v="2026-05-11T00:00:00"/>
    <n v="99"/>
  </r>
  <r>
    <x v="98"/>
    <d v="2026-05-18T00:00:00"/>
    <n v="141"/>
  </r>
  <r>
    <x v="98"/>
    <d v="2026-05-25T00:00:00"/>
    <n v="112"/>
  </r>
  <r>
    <x v="98"/>
    <d v="2026-06-01T00:00:00"/>
    <n v="142"/>
  </r>
  <r>
    <x v="98"/>
    <d v="2026-06-08T00:00:00"/>
    <n v="162"/>
  </r>
  <r>
    <x v="98"/>
    <d v="2026-06-15T00:00:00"/>
    <n v="134"/>
  </r>
  <r>
    <x v="98"/>
    <d v="2026-06-22T00:00:00"/>
    <n v="135"/>
  </r>
  <r>
    <x v="98"/>
    <d v="2026-06-29T00:00:00"/>
    <n v="138"/>
  </r>
  <r>
    <x v="99"/>
    <d v="2026-01-05T00:00:00"/>
    <n v="91"/>
  </r>
  <r>
    <x v="99"/>
    <d v="2026-01-12T00:00:00"/>
    <n v="91"/>
  </r>
  <r>
    <x v="99"/>
    <d v="2026-01-19T00:00:00"/>
    <n v="76"/>
  </r>
  <r>
    <x v="99"/>
    <d v="2026-01-26T00:00:00"/>
    <n v="76"/>
  </r>
  <r>
    <x v="99"/>
    <d v="2026-02-02T00:00:00"/>
    <n v="78"/>
  </r>
  <r>
    <x v="99"/>
    <d v="2026-02-09T00:00:00"/>
    <n v="105"/>
  </r>
  <r>
    <x v="99"/>
    <d v="2026-02-16T00:00:00"/>
    <n v="95"/>
  </r>
  <r>
    <x v="99"/>
    <d v="2026-02-23T00:00:00"/>
    <n v="117"/>
  </r>
  <r>
    <x v="99"/>
    <d v="2026-03-02T00:00:00"/>
    <n v="99"/>
  </r>
  <r>
    <x v="99"/>
    <d v="2026-03-09T00:00:00"/>
    <n v="121"/>
  </r>
  <r>
    <x v="99"/>
    <d v="2026-03-16T00:00:00"/>
    <n v="101"/>
  </r>
  <r>
    <x v="99"/>
    <d v="2026-03-23T00:00:00"/>
    <n v="78"/>
  </r>
  <r>
    <x v="99"/>
    <d v="2026-03-30T00:00:00"/>
    <n v="122"/>
  </r>
  <r>
    <x v="99"/>
    <d v="2026-04-06T00:00:00"/>
    <n v="102"/>
  </r>
  <r>
    <x v="99"/>
    <d v="2026-04-13T00:00:00"/>
    <n v="116"/>
  </r>
  <r>
    <x v="99"/>
    <d v="2026-04-20T00:00:00"/>
    <n v="103"/>
  </r>
  <r>
    <x v="99"/>
    <d v="2026-04-27T00:00:00"/>
    <n v="96"/>
  </r>
  <r>
    <x v="99"/>
    <d v="2026-05-04T00:00:00"/>
    <n v="104"/>
  </r>
  <r>
    <x v="99"/>
    <d v="2026-05-11T00:00:00"/>
    <n v="87"/>
  </r>
  <r>
    <x v="99"/>
    <d v="2026-05-18T00:00:00"/>
    <n v="87"/>
  </r>
  <r>
    <x v="99"/>
    <d v="2026-05-25T00:00:00"/>
    <n v="92"/>
  </r>
  <r>
    <x v="99"/>
    <d v="2026-06-01T00:00:00"/>
    <n v="99"/>
  </r>
  <r>
    <x v="99"/>
    <d v="2026-06-08T00:00:00"/>
    <n v="88"/>
  </r>
  <r>
    <x v="99"/>
    <d v="2026-06-15T00:00:00"/>
    <n v="107"/>
  </r>
  <r>
    <x v="99"/>
    <d v="2026-06-22T00:00:00"/>
    <n v="114"/>
  </r>
  <r>
    <x v="99"/>
    <d v="2026-06-29T00:00:00"/>
    <n v="141"/>
  </r>
  <r>
    <x v="100"/>
    <d v="2026-01-05T00:00:00"/>
    <n v="25"/>
  </r>
  <r>
    <x v="100"/>
    <d v="2026-01-12T00:00:00"/>
    <n v="21"/>
  </r>
  <r>
    <x v="100"/>
    <d v="2026-01-19T00:00:00"/>
    <n v="24"/>
  </r>
  <r>
    <x v="100"/>
    <d v="2026-01-26T00:00:00"/>
    <n v="23"/>
  </r>
  <r>
    <x v="100"/>
    <d v="2026-02-02T00:00:00"/>
    <n v="21"/>
  </r>
  <r>
    <x v="100"/>
    <d v="2026-02-09T00:00:00"/>
    <n v="24"/>
  </r>
  <r>
    <x v="100"/>
    <d v="2026-02-16T00:00:00"/>
    <n v="18"/>
  </r>
  <r>
    <x v="100"/>
    <d v="2026-02-23T00:00:00"/>
    <n v="26"/>
  </r>
  <r>
    <x v="100"/>
    <d v="2026-03-02T00:00:00"/>
    <n v="23"/>
  </r>
  <r>
    <x v="100"/>
    <d v="2026-03-09T00:00:00"/>
    <n v="21"/>
  </r>
  <r>
    <x v="100"/>
    <d v="2026-03-16T00:00:00"/>
    <n v="24"/>
  </r>
  <r>
    <x v="100"/>
    <d v="2026-03-23T00:00:00"/>
    <n v="27"/>
  </r>
  <r>
    <x v="100"/>
    <d v="2026-03-30T00:00:00"/>
    <n v="23"/>
  </r>
  <r>
    <x v="100"/>
    <d v="2026-04-06T00:00:00"/>
    <n v="28"/>
  </r>
  <r>
    <x v="100"/>
    <d v="2026-04-13T00:00:00"/>
    <n v="28"/>
  </r>
  <r>
    <x v="100"/>
    <d v="2026-04-20T00:00:00"/>
    <n v="32"/>
  </r>
  <r>
    <x v="100"/>
    <d v="2026-04-27T00:00:00"/>
    <n v="23"/>
  </r>
  <r>
    <x v="100"/>
    <d v="2026-05-04T00:00:00"/>
    <n v="27"/>
  </r>
  <r>
    <x v="100"/>
    <d v="2026-05-11T00:00:00"/>
    <n v="29"/>
  </r>
  <r>
    <x v="100"/>
    <d v="2026-05-18T00:00:00"/>
    <n v="33"/>
  </r>
  <r>
    <x v="100"/>
    <d v="2026-05-25T00:00:00"/>
    <n v="29"/>
  </r>
  <r>
    <x v="100"/>
    <d v="2026-06-01T00:00:00"/>
    <n v="31"/>
  </r>
  <r>
    <x v="100"/>
    <d v="2026-06-08T00:00:00"/>
    <n v="23"/>
  </r>
  <r>
    <x v="100"/>
    <d v="2026-06-15T00:00:00"/>
    <n v="27"/>
  </r>
  <r>
    <x v="100"/>
    <d v="2026-06-22T00:00:00"/>
    <n v="35"/>
  </r>
  <r>
    <x v="100"/>
    <d v="2026-06-29T00:00:00"/>
    <n v="28"/>
  </r>
  <r>
    <x v="101"/>
    <d v="2026-01-05T00:00:00"/>
    <n v="15"/>
  </r>
  <r>
    <x v="101"/>
    <d v="2026-01-12T00:00:00"/>
    <n v="3"/>
  </r>
  <r>
    <x v="101"/>
    <d v="2026-01-19T00:00:00"/>
    <n v="23"/>
  </r>
  <r>
    <x v="101"/>
    <d v="2026-01-26T00:00:00"/>
    <n v="20"/>
  </r>
  <r>
    <x v="101"/>
    <d v="2026-02-02T00:00:00"/>
    <n v="36"/>
  </r>
  <r>
    <x v="101"/>
    <d v="2026-02-09T00:00:00"/>
    <n v="20"/>
  </r>
  <r>
    <x v="101"/>
    <d v="2026-02-16T00:00:00"/>
    <n v="16"/>
  </r>
  <r>
    <x v="101"/>
    <d v="2026-02-23T00:00:00"/>
    <n v="6"/>
  </r>
  <r>
    <x v="101"/>
    <d v="2026-03-02T00:00:00"/>
    <n v="18"/>
  </r>
  <r>
    <x v="101"/>
    <d v="2026-03-09T00:00:00"/>
    <n v="28"/>
  </r>
  <r>
    <x v="101"/>
    <d v="2026-03-16T00:00:00"/>
    <n v="26"/>
  </r>
  <r>
    <x v="101"/>
    <d v="2026-03-23T00:00:00"/>
    <n v="31"/>
  </r>
  <r>
    <x v="101"/>
    <d v="2026-03-30T00:00:00"/>
    <n v="27"/>
  </r>
  <r>
    <x v="101"/>
    <d v="2026-04-06T00:00:00"/>
    <n v="20"/>
  </r>
  <r>
    <x v="101"/>
    <d v="2026-04-13T00:00:00"/>
    <n v="26"/>
  </r>
  <r>
    <x v="101"/>
    <d v="2026-04-20T00:00:00"/>
    <n v="22"/>
  </r>
  <r>
    <x v="101"/>
    <d v="2026-04-27T00:00:00"/>
    <n v="9"/>
  </r>
  <r>
    <x v="101"/>
    <d v="2026-05-04T00:00:00"/>
    <n v="36"/>
  </r>
  <r>
    <x v="101"/>
    <d v="2026-05-11T00:00:00"/>
    <n v="24"/>
  </r>
  <r>
    <x v="101"/>
    <d v="2026-05-18T00:00:00"/>
    <n v="12"/>
  </r>
  <r>
    <x v="101"/>
    <d v="2026-05-25T00:00:00"/>
    <n v="25"/>
  </r>
  <r>
    <x v="101"/>
    <d v="2026-06-01T00:00:00"/>
    <n v="24"/>
  </r>
  <r>
    <x v="101"/>
    <d v="2026-06-08T00:00:00"/>
    <n v="31"/>
  </r>
  <r>
    <x v="101"/>
    <d v="2026-06-15T00:00:00"/>
    <n v="35"/>
  </r>
  <r>
    <x v="101"/>
    <d v="2026-06-22T00:00:00"/>
    <n v="0"/>
  </r>
  <r>
    <x v="101"/>
    <d v="2026-06-29T00:00:00"/>
    <n v="28"/>
  </r>
  <r>
    <x v="102"/>
    <d v="2026-01-05T00:00:00"/>
    <n v="39"/>
  </r>
  <r>
    <x v="102"/>
    <d v="2026-01-12T00:00:00"/>
    <n v="62"/>
  </r>
  <r>
    <x v="102"/>
    <d v="2026-01-19T00:00:00"/>
    <n v="63"/>
  </r>
  <r>
    <x v="102"/>
    <d v="2026-01-26T00:00:00"/>
    <n v="64"/>
  </r>
  <r>
    <x v="102"/>
    <d v="2026-02-02T00:00:00"/>
    <n v="50"/>
  </r>
  <r>
    <x v="102"/>
    <d v="2026-02-09T00:00:00"/>
    <n v="57"/>
  </r>
  <r>
    <x v="102"/>
    <d v="2026-02-16T00:00:00"/>
    <n v="65"/>
  </r>
  <r>
    <x v="102"/>
    <d v="2026-02-23T00:00:00"/>
    <n v="71"/>
  </r>
  <r>
    <x v="102"/>
    <d v="2026-03-02T00:00:00"/>
    <n v="86"/>
  </r>
  <r>
    <x v="102"/>
    <d v="2026-03-09T00:00:00"/>
    <n v="68"/>
  </r>
  <r>
    <x v="102"/>
    <d v="2026-03-16T00:00:00"/>
    <n v="60"/>
  </r>
  <r>
    <x v="102"/>
    <d v="2026-03-23T00:00:00"/>
    <n v="43"/>
  </r>
  <r>
    <x v="102"/>
    <d v="2026-03-30T00:00:00"/>
    <n v="78"/>
  </r>
  <r>
    <x v="102"/>
    <d v="2026-04-06T00:00:00"/>
    <n v="67"/>
  </r>
  <r>
    <x v="102"/>
    <d v="2026-04-13T00:00:00"/>
    <n v="68"/>
  </r>
  <r>
    <x v="102"/>
    <d v="2026-04-20T00:00:00"/>
    <n v="60"/>
  </r>
  <r>
    <x v="102"/>
    <d v="2026-04-27T00:00:00"/>
    <n v="78"/>
  </r>
  <r>
    <x v="102"/>
    <d v="2026-05-04T00:00:00"/>
    <n v="53"/>
  </r>
  <r>
    <x v="102"/>
    <d v="2026-05-11T00:00:00"/>
    <n v="73"/>
  </r>
  <r>
    <x v="102"/>
    <d v="2026-05-18T00:00:00"/>
    <n v="74"/>
  </r>
  <r>
    <x v="102"/>
    <d v="2026-05-25T00:00:00"/>
    <n v="77"/>
  </r>
  <r>
    <x v="102"/>
    <d v="2026-06-01T00:00:00"/>
    <n v="88"/>
  </r>
  <r>
    <x v="102"/>
    <d v="2026-06-08T00:00:00"/>
    <n v="74"/>
  </r>
  <r>
    <x v="102"/>
    <d v="2026-06-15T00:00:00"/>
    <n v="77"/>
  </r>
  <r>
    <x v="102"/>
    <d v="2026-06-22T00:00:00"/>
    <n v="85"/>
  </r>
  <r>
    <x v="102"/>
    <d v="2026-06-29T00:00:00"/>
    <n v="62"/>
  </r>
  <r>
    <x v="103"/>
    <d v="2026-01-05T00:00:00"/>
    <n v="79"/>
  </r>
  <r>
    <x v="103"/>
    <d v="2026-01-12T00:00:00"/>
    <n v="91"/>
  </r>
  <r>
    <x v="103"/>
    <d v="2026-01-19T00:00:00"/>
    <n v="98"/>
  </r>
  <r>
    <x v="103"/>
    <d v="2026-01-26T00:00:00"/>
    <n v="64"/>
  </r>
  <r>
    <x v="103"/>
    <d v="2026-02-02T00:00:00"/>
    <n v="69"/>
  </r>
  <r>
    <x v="103"/>
    <d v="2026-02-09T00:00:00"/>
    <n v="93"/>
  </r>
  <r>
    <x v="103"/>
    <d v="2026-02-16T00:00:00"/>
    <n v="59"/>
  </r>
  <r>
    <x v="103"/>
    <d v="2026-02-23T00:00:00"/>
    <n v="86"/>
  </r>
  <r>
    <x v="103"/>
    <d v="2026-03-02T00:00:00"/>
    <n v="83"/>
  </r>
  <r>
    <x v="103"/>
    <d v="2026-03-09T00:00:00"/>
    <n v="82"/>
  </r>
  <r>
    <x v="103"/>
    <d v="2026-03-16T00:00:00"/>
    <n v="87"/>
  </r>
  <r>
    <x v="103"/>
    <d v="2026-03-23T00:00:00"/>
    <n v="96"/>
  </r>
  <r>
    <x v="103"/>
    <d v="2026-03-30T00:00:00"/>
    <n v="90"/>
  </r>
  <r>
    <x v="103"/>
    <d v="2026-04-06T00:00:00"/>
    <n v="83"/>
  </r>
  <r>
    <x v="103"/>
    <d v="2026-04-13T00:00:00"/>
    <n v="110"/>
  </r>
  <r>
    <x v="103"/>
    <d v="2026-04-20T00:00:00"/>
    <n v="67"/>
  </r>
  <r>
    <x v="103"/>
    <d v="2026-04-27T00:00:00"/>
    <n v="74"/>
  </r>
  <r>
    <x v="103"/>
    <d v="2026-05-04T00:00:00"/>
    <n v="97"/>
  </r>
  <r>
    <x v="103"/>
    <d v="2026-05-11T00:00:00"/>
    <n v="109"/>
  </r>
  <r>
    <x v="103"/>
    <d v="2026-05-18T00:00:00"/>
    <n v="84"/>
  </r>
  <r>
    <x v="103"/>
    <d v="2026-05-25T00:00:00"/>
    <n v="113"/>
  </r>
  <r>
    <x v="103"/>
    <d v="2026-06-01T00:00:00"/>
    <n v="84"/>
  </r>
  <r>
    <x v="103"/>
    <d v="2026-06-08T00:00:00"/>
    <n v="77"/>
  </r>
  <r>
    <x v="103"/>
    <d v="2026-06-15T00:00:00"/>
    <n v="88"/>
  </r>
  <r>
    <x v="103"/>
    <d v="2026-06-22T00:00:00"/>
    <n v="103"/>
  </r>
  <r>
    <x v="103"/>
    <d v="2026-06-29T00:00:00"/>
    <n v="93"/>
  </r>
  <r>
    <x v="104"/>
    <d v="2026-01-05T00:00:00"/>
    <n v="95"/>
  </r>
  <r>
    <x v="104"/>
    <d v="2026-01-12T00:00:00"/>
    <n v="88"/>
  </r>
  <r>
    <x v="104"/>
    <d v="2026-01-19T00:00:00"/>
    <n v="86"/>
  </r>
  <r>
    <x v="104"/>
    <d v="2026-01-26T00:00:00"/>
    <n v="82"/>
  </r>
  <r>
    <x v="104"/>
    <d v="2026-02-02T00:00:00"/>
    <n v="95"/>
  </r>
  <r>
    <x v="104"/>
    <d v="2026-02-09T00:00:00"/>
    <n v="106"/>
  </r>
  <r>
    <x v="104"/>
    <d v="2026-02-16T00:00:00"/>
    <n v="124"/>
  </r>
  <r>
    <x v="104"/>
    <d v="2026-02-23T00:00:00"/>
    <n v="96"/>
  </r>
  <r>
    <x v="104"/>
    <d v="2026-03-02T00:00:00"/>
    <n v="119"/>
  </r>
  <r>
    <x v="104"/>
    <d v="2026-03-09T00:00:00"/>
    <n v="114"/>
  </r>
  <r>
    <x v="104"/>
    <d v="2026-03-16T00:00:00"/>
    <n v="123"/>
  </r>
  <r>
    <x v="104"/>
    <d v="2026-03-23T00:00:00"/>
    <n v="112"/>
  </r>
  <r>
    <x v="104"/>
    <d v="2026-03-30T00:00:00"/>
    <n v="92"/>
  </r>
  <r>
    <x v="104"/>
    <d v="2026-04-06T00:00:00"/>
    <n v="133"/>
  </r>
  <r>
    <x v="104"/>
    <d v="2026-04-13T00:00:00"/>
    <n v="126"/>
  </r>
  <r>
    <x v="104"/>
    <d v="2026-04-20T00:00:00"/>
    <n v="98"/>
  </r>
  <r>
    <x v="104"/>
    <d v="2026-04-27T00:00:00"/>
    <n v="119"/>
  </r>
  <r>
    <x v="104"/>
    <d v="2026-05-04T00:00:00"/>
    <n v="116"/>
  </r>
  <r>
    <x v="104"/>
    <d v="2026-05-11T00:00:00"/>
    <n v="158"/>
  </r>
  <r>
    <x v="104"/>
    <d v="2026-05-18T00:00:00"/>
    <n v="147"/>
  </r>
  <r>
    <x v="104"/>
    <d v="2026-05-25T00:00:00"/>
    <n v="126"/>
  </r>
  <r>
    <x v="104"/>
    <d v="2026-06-01T00:00:00"/>
    <n v="122"/>
  </r>
  <r>
    <x v="104"/>
    <d v="2026-06-08T00:00:00"/>
    <n v="138"/>
  </r>
  <r>
    <x v="104"/>
    <d v="2026-06-15T00:00:00"/>
    <n v="132"/>
  </r>
  <r>
    <x v="104"/>
    <d v="2026-06-22T00:00:00"/>
    <n v="140"/>
  </r>
  <r>
    <x v="104"/>
    <d v="2026-06-29T00:00:00"/>
    <n v="126"/>
  </r>
  <r>
    <x v="105"/>
    <d v="2026-01-05T00:00:00"/>
    <n v="90"/>
  </r>
  <r>
    <x v="105"/>
    <d v="2026-01-12T00:00:00"/>
    <n v="98"/>
  </r>
  <r>
    <x v="105"/>
    <d v="2026-01-19T00:00:00"/>
    <n v="102"/>
  </r>
  <r>
    <x v="105"/>
    <d v="2026-01-26T00:00:00"/>
    <n v="106"/>
  </r>
  <r>
    <x v="105"/>
    <d v="2026-02-02T00:00:00"/>
    <n v="97"/>
  </r>
  <r>
    <x v="105"/>
    <d v="2026-02-09T00:00:00"/>
    <n v="110"/>
  </r>
  <r>
    <x v="105"/>
    <d v="2026-02-16T00:00:00"/>
    <n v="123"/>
  </r>
  <r>
    <x v="105"/>
    <d v="2026-02-23T00:00:00"/>
    <n v="107"/>
  </r>
  <r>
    <x v="105"/>
    <d v="2026-03-02T00:00:00"/>
    <n v="115"/>
  </r>
  <r>
    <x v="105"/>
    <d v="2026-03-09T00:00:00"/>
    <n v="111"/>
  </r>
  <r>
    <x v="105"/>
    <d v="2026-03-16T00:00:00"/>
    <n v="121"/>
  </r>
  <r>
    <x v="105"/>
    <d v="2026-03-23T00:00:00"/>
    <n v="124"/>
  </r>
  <r>
    <x v="105"/>
    <d v="2026-03-30T00:00:00"/>
    <n v="112"/>
  </r>
  <r>
    <x v="105"/>
    <d v="2026-04-06T00:00:00"/>
    <n v="114"/>
  </r>
  <r>
    <x v="105"/>
    <d v="2026-04-13T00:00:00"/>
    <n v="98"/>
  </r>
  <r>
    <x v="105"/>
    <d v="2026-04-20T00:00:00"/>
    <n v="120"/>
  </r>
  <r>
    <x v="105"/>
    <d v="2026-04-27T00:00:00"/>
    <n v="110"/>
  </r>
  <r>
    <x v="105"/>
    <d v="2026-05-04T00:00:00"/>
    <n v="136"/>
  </r>
  <r>
    <x v="105"/>
    <d v="2026-05-11T00:00:00"/>
    <n v="127"/>
  </r>
  <r>
    <x v="105"/>
    <d v="2026-05-18T00:00:00"/>
    <n v="128"/>
  </r>
  <r>
    <x v="105"/>
    <d v="2026-05-25T00:00:00"/>
    <n v="126"/>
  </r>
  <r>
    <x v="105"/>
    <d v="2026-06-01T00:00:00"/>
    <n v="127"/>
  </r>
  <r>
    <x v="105"/>
    <d v="2026-06-08T00:00:00"/>
    <n v="120"/>
  </r>
  <r>
    <x v="105"/>
    <d v="2026-06-15T00:00:00"/>
    <n v="128"/>
  </r>
  <r>
    <x v="105"/>
    <d v="2026-06-22T00:00:00"/>
    <n v="136"/>
  </r>
  <r>
    <x v="105"/>
    <d v="2026-06-29T00:00:00"/>
    <n v="125"/>
  </r>
  <r>
    <x v="106"/>
    <d v="2026-01-05T00:00:00"/>
    <n v="98"/>
  </r>
  <r>
    <x v="106"/>
    <d v="2026-01-12T00:00:00"/>
    <n v="104"/>
  </r>
  <r>
    <x v="106"/>
    <d v="2026-01-19T00:00:00"/>
    <n v="107"/>
  </r>
  <r>
    <x v="106"/>
    <d v="2026-01-26T00:00:00"/>
    <n v="110"/>
  </r>
  <r>
    <x v="106"/>
    <d v="2026-02-02T00:00:00"/>
    <n v="111"/>
  </r>
  <r>
    <x v="106"/>
    <d v="2026-02-09T00:00:00"/>
    <n v="110"/>
  </r>
  <r>
    <x v="106"/>
    <d v="2026-02-16T00:00:00"/>
    <n v="121"/>
  </r>
  <r>
    <x v="106"/>
    <d v="2026-02-23T00:00:00"/>
    <n v="100"/>
  </r>
  <r>
    <x v="106"/>
    <d v="2026-03-02T00:00:00"/>
    <n v="112"/>
  </r>
  <r>
    <x v="106"/>
    <d v="2026-03-09T00:00:00"/>
    <n v="119"/>
  </r>
  <r>
    <x v="106"/>
    <d v="2026-03-16T00:00:00"/>
    <n v="115"/>
  </r>
  <r>
    <x v="106"/>
    <d v="2026-03-23T00:00:00"/>
    <n v="116"/>
  </r>
  <r>
    <x v="106"/>
    <d v="2026-03-30T00:00:00"/>
    <n v="118"/>
  </r>
  <r>
    <x v="106"/>
    <d v="2026-04-06T00:00:00"/>
    <n v="125"/>
  </r>
  <r>
    <x v="106"/>
    <d v="2026-04-13T00:00:00"/>
    <n v="136"/>
  </r>
  <r>
    <x v="106"/>
    <d v="2026-04-20T00:00:00"/>
    <n v="125"/>
  </r>
  <r>
    <x v="106"/>
    <d v="2026-04-27T00:00:00"/>
    <n v="125"/>
  </r>
  <r>
    <x v="106"/>
    <d v="2026-05-04T00:00:00"/>
    <n v="132"/>
  </r>
  <r>
    <x v="106"/>
    <d v="2026-05-11T00:00:00"/>
    <n v="128"/>
  </r>
  <r>
    <x v="106"/>
    <d v="2026-05-18T00:00:00"/>
    <n v="114"/>
  </r>
  <r>
    <x v="106"/>
    <d v="2026-05-25T00:00:00"/>
    <n v="136"/>
  </r>
  <r>
    <x v="106"/>
    <d v="2026-06-01T00:00:00"/>
    <n v="131"/>
  </r>
  <r>
    <x v="106"/>
    <d v="2026-06-08T00:00:00"/>
    <n v="131"/>
  </r>
  <r>
    <x v="106"/>
    <d v="2026-06-15T00:00:00"/>
    <n v="143"/>
  </r>
  <r>
    <x v="106"/>
    <d v="2026-06-22T00:00:00"/>
    <n v="139"/>
  </r>
  <r>
    <x v="106"/>
    <d v="2026-06-29T00:00:00"/>
    <n v="135"/>
  </r>
  <r>
    <x v="107"/>
    <d v="2026-01-05T00:00:00"/>
    <n v="78"/>
  </r>
  <r>
    <x v="107"/>
    <d v="2026-01-12T00:00:00"/>
    <n v="117"/>
  </r>
  <r>
    <x v="107"/>
    <d v="2026-01-19T00:00:00"/>
    <n v="106"/>
  </r>
  <r>
    <x v="107"/>
    <d v="2026-01-26T00:00:00"/>
    <n v="102"/>
  </r>
  <r>
    <x v="107"/>
    <d v="2026-02-02T00:00:00"/>
    <n v="67"/>
  </r>
  <r>
    <x v="107"/>
    <d v="2026-02-09T00:00:00"/>
    <n v="31"/>
  </r>
  <r>
    <x v="107"/>
    <d v="2026-02-16T00:00:00"/>
    <n v="109"/>
  </r>
  <r>
    <x v="107"/>
    <d v="2026-02-23T00:00:00"/>
    <n v="142"/>
  </r>
  <r>
    <x v="107"/>
    <d v="2026-03-02T00:00:00"/>
    <n v="199"/>
  </r>
  <r>
    <x v="107"/>
    <d v="2026-03-09T00:00:00"/>
    <n v="93"/>
  </r>
  <r>
    <x v="107"/>
    <d v="2026-03-16T00:00:00"/>
    <n v="78"/>
  </r>
  <r>
    <x v="107"/>
    <d v="2026-03-23T00:00:00"/>
    <n v="92"/>
  </r>
  <r>
    <x v="107"/>
    <d v="2026-03-30T00:00:00"/>
    <n v="111"/>
  </r>
  <r>
    <x v="107"/>
    <d v="2026-04-06T00:00:00"/>
    <n v="37"/>
  </r>
  <r>
    <x v="107"/>
    <d v="2026-04-13T00:00:00"/>
    <n v="117"/>
  </r>
  <r>
    <x v="107"/>
    <d v="2026-04-20T00:00:00"/>
    <n v="115"/>
  </r>
  <r>
    <x v="107"/>
    <d v="2026-04-27T00:00:00"/>
    <n v="176"/>
  </r>
  <r>
    <x v="107"/>
    <d v="2026-05-04T00:00:00"/>
    <n v="138"/>
  </r>
  <r>
    <x v="107"/>
    <d v="2026-05-11T00:00:00"/>
    <n v="103"/>
  </r>
  <r>
    <x v="107"/>
    <d v="2026-05-18T00:00:00"/>
    <n v="95"/>
  </r>
  <r>
    <x v="107"/>
    <d v="2026-05-25T00:00:00"/>
    <n v="182"/>
  </r>
  <r>
    <x v="107"/>
    <d v="2026-06-01T00:00:00"/>
    <n v="77"/>
  </r>
  <r>
    <x v="107"/>
    <d v="2026-06-08T00:00:00"/>
    <n v="175"/>
  </r>
  <r>
    <x v="107"/>
    <d v="2026-06-15T00:00:00"/>
    <n v="141"/>
  </r>
  <r>
    <x v="107"/>
    <d v="2026-06-22T00:00:00"/>
    <n v="113"/>
  </r>
  <r>
    <x v="107"/>
    <d v="2026-06-29T00:00:00"/>
    <n v="155"/>
  </r>
  <r>
    <x v="108"/>
    <d v="2026-01-05T00:00:00"/>
    <n v="31"/>
  </r>
  <r>
    <x v="108"/>
    <d v="2026-01-12T00:00:00"/>
    <n v="36"/>
  </r>
  <r>
    <x v="108"/>
    <d v="2026-01-19T00:00:00"/>
    <n v="32"/>
  </r>
  <r>
    <x v="108"/>
    <d v="2026-01-26T00:00:00"/>
    <n v="35"/>
  </r>
  <r>
    <x v="108"/>
    <d v="2026-02-02T00:00:00"/>
    <n v="24"/>
  </r>
  <r>
    <x v="108"/>
    <d v="2026-02-09T00:00:00"/>
    <n v="38"/>
  </r>
  <r>
    <x v="108"/>
    <d v="2026-02-16T00:00:00"/>
    <n v="30"/>
  </r>
  <r>
    <x v="108"/>
    <d v="2026-02-23T00:00:00"/>
    <n v="28"/>
  </r>
  <r>
    <x v="108"/>
    <d v="2026-03-02T00:00:00"/>
    <n v="36"/>
  </r>
  <r>
    <x v="108"/>
    <d v="2026-03-09T00:00:00"/>
    <n v="29"/>
  </r>
  <r>
    <x v="108"/>
    <d v="2026-03-16T00:00:00"/>
    <n v="42"/>
  </r>
  <r>
    <x v="108"/>
    <d v="2026-03-23T00:00:00"/>
    <n v="37"/>
  </r>
  <r>
    <x v="108"/>
    <d v="2026-03-30T00:00:00"/>
    <n v="37"/>
  </r>
  <r>
    <x v="108"/>
    <d v="2026-04-06T00:00:00"/>
    <n v="40"/>
  </r>
  <r>
    <x v="108"/>
    <d v="2026-04-13T00:00:00"/>
    <n v="37"/>
  </r>
  <r>
    <x v="108"/>
    <d v="2026-04-20T00:00:00"/>
    <n v="39"/>
  </r>
  <r>
    <x v="108"/>
    <d v="2026-04-27T00:00:00"/>
    <n v="40"/>
  </r>
  <r>
    <x v="108"/>
    <d v="2026-05-04T00:00:00"/>
    <n v="47"/>
  </r>
  <r>
    <x v="108"/>
    <d v="2026-05-11T00:00:00"/>
    <n v="43"/>
  </r>
  <r>
    <x v="108"/>
    <d v="2026-05-18T00:00:00"/>
    <n v="39"/>
  </r>
  <r>
    <x v="108"/>
    <d v="2026-05-25T00:00:00"/>
    <n v="41"/>
  </r>
  <r>
    <x v="108"/>
    <d v="2026-06-01T00:00:00"/>
    <n v="35"/>
  </r>
  <r>
    <x v="108"/>
    <d v="2026-06-08T00:00:00"/>
    <n v="46"/>
  </r>
  <r>
    <x v="108"/>
    <d v="2026-06-15T00:00:00"/>
    <n v="38"/>
  </r>
  <r>
    <x v="108"/>
    <d v="2026-06-22T00:00:00"/>
    <n v="41"/>
  </r>
  <r>
    <x v="108"/>
    <d v="2026-06-29T00:00:00"/>
    <n v="42"/>
  </r>
  <r>
    <x v="109"/>
    <d v="2026-01-05T00:00:00"/>
    <n v="102"/>
  </r>
  <r>
    <x v="109"/>
    <d v="2026-01-12T00:00:00"/>
    <n v="131"/>
  </r>
  <r>
    <x v="109"/>
    <d v="2026-01-19T00:00:00"/>
    <n v="133"/>
  </r>
  <r>
    <x v="109"/>
    <d v="2026-01-26T00:00:00"/>
    <n v="129"/>
  </r>
  <r>
    <x v="109"/>
    <d v="2026-02-02T00:00:00"/>
    <n v="112"/>
  </r>
  <r>
    <x v="109"/>
    <d v="2026-02-09T00:00:00"/>
    <n v="132"/>
  </r>
  <r>
    <x v="109"/>
    <d v="2026-02-16T00:00:00"/>
    <n v="160"/>
  </r>
  <r>
    <x v="109"/>
    <d v="2026-02-23T00:00:00"/>
    <n v="142"/>
  </r>
  <r>
    <x v="109"/>
    <d v="2026-03-02T00:00:00"/>
    <n v="134"/>
  </r>
  <r>
    <x v="109"/>
    <d v="2026-03-09T00:00:00"/>
    <n v="183"/>
  </r>
  <r>
    <x v="109"/>
    <d v="2026-03-16T00:00:00"/>
    <n v="160"/>
  </r>
  <r>
    <x v="109"/>
    <d v="2026-03-23T00:00:00"/>
    <n v="127"/>
  </r>
  <r>
    <x v="109"/>
    <d v="2026-03-30T00:00:00"/>
    <n v="144"/>
  </r>
  <r>
    <x v="109"/>
    <d v="2026-04-06T00:00:00"/>
    <n v="111"/>
  </r>
  <r>
    <x v="109"/>
    <d v="2026-04-13T00:00:00"/>
    <n v="133"/>
  </r>
  <r>
    <x v="109"/>
    <d v="2026-04-20T00:00:00"/>
    <n v="132"/>
  </r>
  <r>
    <x v="109"/>
    <d v="2026-04-27T00:00:00"/>
    <n v="147"/>
  </r>
  <r>
    <x v="109"/>
    <d v="2026-05-04T00:00:00"/>
    <n v="102"/>
  </r>
  <r>
    <x v="109"/>
    <d v="2026-05-11T00:00:00"/>
    <n v="144"/>
  </r>
  <r>
    <x v="109"/>
    <d v="2026-05-18T00:00:00"/>
    <n v="128"/>
  </r>
  <r>
    <x v="109"/>
    <d v="2026-05-25T00:00:00"/>
    <n v="191"/>
  </r>
  <r>
    <x v="109"/>
    <d v="2026-06-01T00:00:00"/>
    <n v="190"/>
  </r>
  <r>
    <x v="109"/>
    <d v="2026-06-08T00:00:00"/>
    <n v="132"/>
  </r>
  <r>
    <x v="109"/>
    <d v="2026-06-15T00:00:00"/>
    <n v="138"/>
  </r>
  <r>
    <x v="109"/>
    <d v="2026-06-22T00:00:00"/>
    <n v="185"/>
  </r>
  <r>
    <x v="109"/>
    <d v="2026-06-29T00:00:00"/>
    <n v="206"/>
  </r>
  <r>
    <x v="110"/>
    <d v="2026-01-05T00:00:00"/>
    <n v="51"/>
  </r>
  <r>
    <x v="110"/>
    <d v="2026-01-12T00:00:00"/>
    <n v="58"/>
  </r>
  <r>
    <x v="110"/>
    <d v="2026-01-19T00:00:00"/>
    <n v="65"/>
  </r>
  <r>
    <x v="110"/>
    <d v="2026-01-26T00:00:00"/>
    <n v="55"/>
  </r>
  <r>
    <x v="110"/>
    <d v="2026-02-02T00:00:00"/>
    <n v="55"/>
  </r>
  <r>
    <x v="110"/>
    <d v="2026-02-09T00:00:00"/>
    <n v="61"/>
  </r>
  <r>
    <x v="110"/>
    <d v="2026-02-16T00:00:00"/>
    <n v="67"/>
  </r>
  <r>
    <x v="110"/>
    <d v="2026-02-23T00:00:00"/>
    <n v="53"/>
  </r>
  <r>
    <x v="110"/>
    <d v="2026-03-02T00:00:00"/>
    <n v="46"/>
  </r>
  <r>
    <x v="110"/>
    <d v="2026-03-09T00:00:00"/>
    <n v="50"/>
  </r>
  <r>
    <x v="110"/>
    <d v="2026-03-16T00:00:00"/>
    <n v="47"/>
  </r>
  <r>
    <x v="110"/>
    <d v="2026-03-23T00:00:00"/>
    <n v="51"/>
  </r>
  <r>
    <x v="110"/>
    <d v="2026-03-30T00:00:00"/>
    <n v="58"/>
  </r>
  <r>
    <x v="110"/>
    <d v="2026-04-06T00:00:00"/>
    <n v="63"/>
  </r>
  <r>
    <x v="110"/>
    <d v="2026-04-13T00:00:00"/>
    <n v="62"/>
  </r>
  <r>
    <x v="110"/>
    <d v="2026-04-20T00:00:00"/>
    <n v="62"/>
  </r>
  <r>
    <x v="110"/>
    <d v="2026-04-27T00:00:00"/>
    <n v="59"/>
  </r>
  <r>
    <x v="110"/>
    <d v="2026-05-04T00:00:00"/>
    <n v="66"/>
  </r>
  <r>
    <x v="110"/>
    <d v="2026-05-11T00:00:00"/>
    <n v="71"/>
  </r>
  <r>
    <x v="110"/>
    <d v="2026-05-18T00:00:00"/>
    <n v="71"/>
  </r>
  <r>
    <x v="110"/>
    <d v="2026-05-25T00:00:00"/>
    <n v="78"/>
  </r>
  <r>
    <x v="110"/>
    <d v="2026-06-01T00:00:00"/>
    <n v="63"/>
  </r>
  <r>
    <x v="110"/>
    <d v="2026-06-08T00:00:00"/>
    <n v="64"/>
  </r>
  <r>
    <x v="110"/>
    <d v="2026-06-15T00:00:00"/>
    <n v="82"/>
  </r>
  <r>
    <x v="110"/>
    <d v="2026-06-22T00:00:00"/>
    <n v="69"/>
  </r>
  <r>
    <x v="110"/>
    <d v="2026-06-29T00:00:00"/>
    <n v="72"/>
  </r>
  <r>
    <x v="111"/>
    <d v="2026-01-05T00:00:00"/>
    <n v="48"/>
  </r>
  <r>
    <x v="111"/>
    <d v="2026-01-12T00:00:00"/>
    <n v="40"/>
  </r>
  <r>
    <x v="111"/>
    <d v="2026-01-19T00:00:00"/>
    <n v="101"/>
  </r>
  <r>
    <x v="111"/>
    <d v="2026-01-26T00:00:00"/>
    <n v="52"/>
  </r>
  <r>
    <x v="111"/>
    <d v="2026-02-02T00:00:00"/>
    <n v="72"/>
  </r>
  <r>
    <x v="111"/>
    <d v="2026-02-09T00:00:00"/>
    <n v="37"/>
  </r>
  <r>
    <x v="111"/>
    <d v="2026-02-16T00:00:00"/>
    <n v="50"/>
  </r>
  <r>
    <x v="111"/>
    <d v="2026-02-23T00:00:00"/>
    <n v="72"/>
  </r>
  <r>
    <x v="111"/>
    <d v="2026-03-02T00:00:00"/>
    <n v="28"/>
  </r>
  <r>
    <x v="111"/>
    <d v="2026-03-09T00:00:00"/>
    <n v="85"/>
  </r>
  <r>
    <x v="111"/>
    <d v="2026-03-16T00:00:00"/>
    <n v="72"/>
  </r>
  <r>
    <x v="111"/>
    <d v="2026-03-23T00:00:00"/>
    <n v="71"/>
  </r>
  <r>
    <x v="111"/>
    <d v="2026-03-30T00:00:00"/>
    <n v="49"/>
  </r>
  <r>
    <x v="111"/>
    <d v="2026-04-06T00:00:00"/>
    <n v="79"/>
  </r>
  <r>
    <x v="111"/>
    <d v="2026-04-13T00:00:00"/>
    <n v="32"/>
  </r>
  <r>
    <x v="111"/>
    <d v="2026-04-20T00:00:00"/>
    <n v="33"/>
  </r>
  <r>
    <x v="111"/>
    <d v="2026-04-27T00:00:00"/>
    <n v="73"/>
  </r>
  <r>
    <x v="111"/>
    <d v="2026-05-04T00:00:00"/>
    <n v="69"/>
  </r>
  <r>
    <x v="111"/>
    <d v="2026-05-11T00:00:00"/>
    <n v="73"/>
  </r>
  <r>
    <x v="111"/>
    <d v="2026-05-18T00:00:00"/>
    <n v="34"/>
  </r>
  <r>
    <x v="111"/>
    <d v="2026-05-25T00:00:00"/>
    <n v="61"/>
  </r>
  <r>
    <x v="111"/>
    <d v="2026-06-01T00:00:00"/>
    <n v="84"/>
  </r>
  <r>
    <x v="111"/>
    <d v="2026-06-08T00:00:00"/>
    <n v="94"/>
  </r>
  <r>
    <x v="111"/>
    <d v="2026-06-15T00:00:00"/>
    <n v="77"/>
  </r>
  <r>
    <x v="111"/>
    <d v="2026-06-22T00:00:00"/>
    <n v="74"/>
  </r>
  <r>
    <x v="111"/>
    <d v="2026-06-29T00:00:00"/>
    <n v="64"/>
  </r>
  <r>
    <x v="112"/>
    <d v="2026-01-05T00:00:00"/>
    <n v="42"/>
  </r>
  <r>
    <x v="112"/>
    <d v="2026-01-12T00:00:00"/>
    <n v="45"/>
  </r>
  <r>
    <x v="112"/>
    <d v="2026-01-19T00:00:00"/>
    <n v="49"/>
  </r>
  <r>
    <x v="112"/>
    <d v="2026-01-26T00:00:00"/>
    <n v="49"/>
  </r>
  <r>
    <x v="112"/>
    <d v="2026-02-02T00:00:00"/>
    <n v="52"/>
  </r>
  <r>
    <x v="112"/>
    <d v="2026-02-09T00:00:00"/>
    <n v="47"/>
  </r>
  <r>
    <x v="112"/>
    <d v="2026-02-16T00:00:00"/>
    <n v="58"/>
  </r>
  <r>
    <x v="112"/>
    <d v="2026-02-23T00:00:00"/>
    <n v="50"/>
  </r>
  <r>
    <x v="112"/>
    <d v="2026-03-02T00:00:00"/>
    <n v="51"/>
  </r>
  <r>
    <x v="112"/>
    <d v="2026-03-09T00:00:00"/>
    <n v="49"/>
  </r>
  <r>
    <x v="112"/>
    <d v="2026-03-16T00:00:00"/>
    <n v="55"/>
  </r>
  <r>
    <x v="112"/>
    <d v="2026-03-23T00:00:00"/>
    <n v="48"/>
  </r>
  <r>
    <x v="112"/>
    <d v="2026-03-30T00:00:00"/>
    <n v="49"/>
  </r>
  <r>
    <x v="112"/>
    <d v="2026-04-06T00:00:00"/>
    <n v="62"/>
  </r>
  <r>
    <x v="112"/>
    <d v="2026-04-13T00:00:00"/>
    <n v="60"/>
  </r>
  <r>
    <x v="112"/>
    <d v="2026-04-20T00:00:00"/>
    <n v="60"/>
  </r>
  <r>
    <x v="112"/>
    <d v="2026-04-27T00:00:00"/>
    <n v="59"/>
  </r>
  <r>
    <x v="112"/>
    <d v="2026-05-04T00:00:00"/>
    <n v="52"/>
  </r>
  <r>
    <x v="112"/>
    <d v="2026-05-11T00:00:00"/>
    <n v="49"/>
  </r>
  <r>
    <x v="112"/>
    <d v="2026-05-18T00:00:00"/>
    <n v="68"/>
  </r>
  <r>
    <x v="112"/>
    <d v="2026-05-25T00:00:00"/>
    <n v="60"/>
  </r>
  <r>
    <x v="112"/>
    <d v="2026-06-01T00:00:00"/>
    <n v="65"/>
  </r>
  <r>
    <x v="112"/>
    <d v="2026-06-08T00:00:00"/>
    <n v="62"/>
  </r>
  <r>
    <x v="112"/>
    <d v="2026-06-15T00:00:00"/>
    <n v="69"/>
  </r>
  <r>
    <x v="112"/>
    <d v="2026-06-22T00:00:00"/>
    <n v="55"/>
  </r>
  <r>
    <x v="112"/>
    <d v="2026-06-29T00:00:00"/>
    <n v="71"/>
  </r>
  <r>
    <x v="113"/>
    <d v="2026-01-05T00:00:00"/>
    <n v="79"/>
  </r>
  <r>
    <x v="113"/>
    <d v="2026-01-12T00:00:00"/>
    <n v="76"/>
  </r>
  <r>
    <x v="113"/>
    <d v="2026-01-19T00:00:00"/>
    <n v="71"/>
  </r>
  <r>
    <x v="113"/>
    <d v="2026-01-26T00:00:00"/>
    <n v="84"/>
  </r>
  <r>
    <x v="113"/>
    <d v="2026-02-02T00:00:00"/>
    <n v="77"/>
  </r>
  <r>
    <x v="113"/>
    <d v="2026-02-09T00:00:00"/>
    <n v="89"/>
  </r>
  <r>
    <x v="113"/>
    <d v="2026-02-16T00:00:00"/>
    <n v="77"/>
  </r>
  <r>
    <x v="113"/>
    <d v="2026-02-23T00:00:00"/>
    <n v="82"/>
  </r>
  <r>
    <x v="113"/>
    <d v="2026-03-02T00:00:00"/>
    <n v="74"/>
  </r>
  <r>
    <x v="113"/>
    <d v="2026-03-09T00:00:00"/>
    <n v="81"/>
  </r>
  <r>
    <x v="113"/>
    <d v="2026-03-16T00:00:00"/>
    <n v="77"/>
  </r>
  <r>
    <x v="113"/>
    <d v="2026-03-23T00:00:00"/>
    <n v="92"/>
  </r>
  <r>
    <x v="113"/>
    <d v="2026-03-30T00:00:00"/>
    <n v="103"/>
  </r>
  <r>
    <x v="113"/>
    <d v="2026-04-06T00:00:00"/>
    <n v="80"/>
  </r>
  <r>
    <x v="113"/>
    <d v="2026-04-13T00:00:00"/>
    <n v="86"/>
  </r>
  <r>
    <x v="113"/>
    <d v="2026-04-20T00:00:00"/>
    <n v="91"/>
  </r>
  <r>
    <x v="113"/>
    <d v="2026-04-27T00:00:00"/>
    <n v="94"/>
  </r>
  <r>
    <x v="113"/>
    <d v="2026-05-04T00:00:00"/>
    <n v="98"/>
  </r>
  <r>
    <x v="113"/>
    <d v="2026-05-11T00:00:00"/>
    <n v="87"/>
  </r>
  <r>
    <x v="113"/>
    <d v="2026-05-18T00:00:00"/>
    <n v="96"/>
  </r>
  <r>
    <x v="113"/>
    <d v="2026-05-25T00:00:00"/>
    <n v="94"/>
  </r>
  <r>
    <x v="113"/>
    <d v="2026-06-01T00:00:00"/>
    <n v="99"/>
  </r>
  <r>
    <x v="113"/>
    <d v="2026-06-08T00:00:00"/>
    <n v="88"/>
  </r>
  <r>
    <x v="113"/>
    <d v="2026-06-15T00:00:00"/>
    <n v="98"/>
  </r>
  <r>
    <x v="113"/>
    <d v="2026-06-22T00:00:00"/>
    <n v="102"/>
  </r>
  <r>
    <x v="113"/>
    <d v="2026-06-29T00:00:00"/>
    <n v="111"/>
  </r>
  <r>
    <x v="114"/>
    <d v="2026-01-05T00:00:00"/>
    <n v="70"/>
  </r>
  <r>
    <x v="114"/>
    <d v="2026-01-12T00:00:00"/>
    <n v="61"/>
  </r>
  <r>
    <x v="114"/>
    <d v="2026-01-19T00:00:00"/>
    <n v="65"/>
  </r>
  <r>
    <x v="114"/>
    <d v="2026-01-26T00:00:00"/>
    <n v="69"/>
  </r>
  <r>
    <x v="114"/>
    <d v="2026-02-02T00:00:00"/>
    <n v="69"/>
  </r>
  <r>
    <x v="114"/>
    <d v="2026-02-09T00:00:00"/>
    <n v="64"/>
  </r>
  <r>
    <x v="114"/>
    <d v="2026-02-16T00:00:00"/>
    <n v="72"/>
  </r>
  <r>
    <x v="114"/>
    <d v="2026-02-23T00:00:00"/>
    <n v="71"/>
  </r>
  <r>
    <x v="114"/>
    <d v="2026-03-02T00:00:00"/>
    <n v="76"/>
  </r>
  <r>
    <x v="114"/>
    <d v="2026-03-09T00:00:00"/>
    <n v="68"/>
  </r>
  <r>
    <x v="114"/>
    <d v="2026-03-16T00:00:00"/>
    <n v="71"/>
  </r>
  <r>
    <x v="114"/>
    <d v="2026-03-23T00:00:00"/>
    <n v="70"/>
  </r>
  <r>
    <x v="114"/>
    <d v="2026-03-30T00:00:00"/>
    <n v="68"/>
  </r>
  <r>
    <x v="114"/>
    <d v="2026-04-06T00:00:00"/>
    <n v="76"/>
  </r>
  <r>
    <x v="114"/>
    <d v="2026-04-13T00:00:00"/>
    <n v="77"/>
  </r>
  <r>
    <x v="114"/>
    <d v="2026-04-20T00:00:00"/>
    <n v="84"/>
  </r>
  <r>
    <x v="114"/>
    <d v="2026-04-27T00:00:00"/>
    <n v="75"/>
  </r>
  <r>
    <x v="114"/>
    <d v="2026-05-04T00:00:00"/>
    <n v="80"/>
  </r>
  <r>
    <x v="114"/>
    <d v="2026-05-11T00:00:00"/>
    <n v="85"/>
  </r>
  <r>
    <x v="114"/>
    <d v="2026-05-18T00:00:00"/>
    <n v="78"/>
  </r>
  <r>
    <x v="114"/>
    <d v="2026-05-25T00:00:00"/>
    <n v="80"/>
  </r>
  <r>
    <x v="114"/>
    <d v="2026-06-01T00:00:00"/>
    <n v="82"/>
  </r>
  <r>
    <x v="114"/>
    <d v="2026-06-08T00:00:00"/>
    <n v="78"/>
  </r>
  <r>
    <x v="114"/>
    <d v="2026-06-15T00:00:00"/>
    <n v="77"/>
  </r>
  <r>
    <x v="114"/>
    <d v="2026-06-22T00:00:00"/>
    <n v="90"/>
  </r>
  <r>
    <x v="114"/>
    <d v="2026-06-29T00:00:00"/>
    <n v="85"/>
  </r>
  <r>
    <x v="115"/>
    <d v="2026-01-05T00:00:00"/>
    <n v="100"/>
  </r>
  <r>
    <x v="115"/>
    <d v="2026-01-12T00:00:00"/>
    <n v="98"/>
  </r>
  <r>
    <x v="115"/>
    <d v="2026-01-19T00:00:00"/>
    <n v="109"/>
  </r>
  <r>
    <x v="115"/>
    <d v="2026-01-26T00:00:00"/>
    <n v="109"/>
  </r>
  <r>
    <x v="115"/>
    <d v="2026-02-02T00:00:00"/>
    <n v="109"/>
  </r>
  <r>
    <x v="115"/>
    <d v="2026-02-09T00:00:00"/>
    <n v="123"/>
  </r>
  <r>
    <x v="115"/>
    <d v="2026-02-16T00:00:00"/>
    <n v="124"/>
  </r>
  <r>
    <x v="115"/>
    <d v="2026-02-23T00:00:00"/>
    <n v="114"/>
  </r>
  <r>
    <x v="115"/>
    <d v="2026-03-02T00:00:00"/>
    <n v="138"/>
  </r>
  <r>
    <x v="115"/>
    <d v="2026-03-09T00:00:00"/>
    <n v="127"/>
  </r>
  <r>
    <x v="115"/>
    <d v="2026-03-16T00:00:00"/>
    <n v="116"/>
  </r>
  <r>
    <x v="115"/>
    <d v="2026-03-23T00:00:00"/>
    <n v="114"/>
  </r>
  <r>
    <x v="115"/>
    <d v="2026-03-30T00:00:00"/>
    <n v="126"/>
  </r>
  <r>
    <x v="115"/>
    <d v="2026-04-06T00:00:00"/>
    <n v="127"/>
  </r>
  <r>
    <x v="115"/>
    <d v="2026-04-13T00:00:00"/>
    <n v="115"/>
  </r>
  <r>
    <x v="115"/>
    <d v="2026-04-20T00:00:00"/>
    <n v="135"/>
  </r>
  <r>
    <x v="115"/>
    <d v="2026-04-27T00:00:00"/>
    <n v="116"/>
  </r>
  <r>
    <x v="115"/>
    <d v="2026-05-04T00:00:00"/>
    <n v="140"/>
  </r>
  <r>
    <x v="115"/>
    <d v="2026-05-11T00:00:00"/>
    <n v="130"/>
  </r>
  <r>
    <x v="115"/>
    <d v="2026-05-18T00:00:00"/>
    <n v="161"/>
  </r>
  <r>
    <x v="115"/>
    <d v="2026-05-25T00:00:00"/>
    <n v="142"/>
  </r>
  <r>
    <x v="115"/>
    <d v="2026-06-01T00:00:00"/>
    <n v="133"/>
  </r>
  <r>
    <x v="115"/>
    <d v="2026-06-08T00:00:00"/>
    <n v="139"/>
  </r>
  <r>
    <x v="115"/>
    <d v="2026-06-15T00:00:00"/>
    <n v="148"/>
  </r>
  <r>
    <x v="115"/>
    <d v="2026-06-22T00:00:00"/>
    <n v="146"/>
  </r>
  <r>
    <x v="115"/>
    <d v="2026-06-29T00:00:00"/>
    <n v="147"/>
  </r>
  <r>
    <x v="116"/>
    <d v="2026-01-05T00:00:00"/>
    <n v="38"/>
  </r>
  <r>
    <x v="116"/>
    <d v="2026-01-12T00:00:00"/>
    <n v="36"/>
  </r>
  <r>
    <x v="116"/>
    <d v="2026-01-19T00:00:00"/>
    <n v="33"/>
  </r>
  <r>
    <x v="116"/>
    <d v="2026-01-26T00:00:00"/>
    <n v="38"/>
  </r>
  <r>
    <x v="116"/>
    <d v="2026-02-02T00:00:00"/>
    <n v="41"/>
  </r>
  <r>
    <x v="116"/>
    <d v="2026-02-09T00:00:00"/>
    <n v="37"/>
  </r>
  <r>
    <x v="116"/>
    <d v="2026-02-16T00:00:00"/>
    <n v="43"/>
  </r>
  <r>
    <x v="116"/>
    <d v="2026-02-23T00:00:00"/>
    <n v="39"/>
  </r>
  <r>
    <x v="116"/>
    <d v="2026-03-02T00:00:00"/>
    <n v="41"/>
  </r>
  <r>
    <x v="116"/>
    <d v="2026-03-09T00:00:00"/>
    <n v="46"/>
  </r>
  <r>
    <x v="116"/>
    <d v="2026-03-16T00:00:00"/>
    <n v="44"/>
  </r>
  <r>
    <x v="116"/>
    <d v="2026-03-23T00:00:00"/>
    <n v="52"/>
  </r>
  <r>
    <x v="116"/>
    <d v="2026-03-30T00:00:00"/>
    <n v="40"/>
  </r>
  <r>
    <x v="116"/>
    <d v="2026-04-06T00:00:00"/>
    <n v="43"/>
  </r>
  <r>
    <x v="116"/>
    <d v="2026-04-13T00:00:00"/>
    <n v="45"/>
  </r>
  <r>
    <x v="116"/>
    <d v="2026-04-20T00:00:00"/>
    <n v="43"/>
  </r>
  <r>
    <x v="116"/>
    <d v="2026-04-27T00:00:00"/>
    <n v="42"/>
  </r>
  <r>
    <x v="116"/>
    <d v="2026-05-04T00:00:00"/>
    <n v="46"/>
  </r>
  <r>
    <x v="116"/>
    <d v="2026-05-11T00:00:00"/>
    <n v="44"/>
  </r>
  <r>
    <x v="116"/>
    <d v="2026-05-18T00:00:00"/>
    <n v="45"/>
  </r>
  <r>
    <x v="116"/>
    <d v="2026-05-25T00:00:00"/>
    <n v="44"/>
  </r>
  <r>
    <x v="116"/>
    <d v="2026-06-01T00:00:00"/>
    <n v="47"/>
  </r>
  <r>
    <x v="116"/>
    <d v="2026-06-08T00:00:00"/>
    <n v="47"/>
  </r>
  <r>
    <x v="116"/>
    <d v="2026-06-15T00:00:00"/>
    <n v="47"/>
  </r>
  <r>
    <x v="116"/>
    <d v="2026-06-22T00:00:00"/>
    <n v="46"/>
  </r>
  <r>
    <x v="116"/>
    <d v="2026-06-29T00:00:00"/>
    <n v="47"/>
  </r>
  <r>
    <x v="117"/>
    <d v="2026-01-05T00:00:00"/>
    <n v="64"/>
  </r>
  <r>
    <x v="117"/>
    <d v="2026-01-12T00:00:00"/>
    <n v="71"/>
  </r>
  <r>
    <x v="117"/>
    <d v="2026-01-19T00:00:00"/>
    <n v="74"/>
  </r>
  <r>
    <x v="117"/>
    <d v="2026-01-26T00:00:00"/>
    <n v="89"/>
  </r>
  <r>
    <x v="117"/>
    <d v="2026-02-02T00:00:00"/>
    <n v="75"/>
  </r>
  <r>
    <x v="117"/>
    <d v="2026-02-09T00:00:00"/>
    <n v="88"/>
  </r>
  <r>
    <x v="117"/>
    <d v="2026-02-16T00:00:00"/>
    <n v="109"/>
  </r>
  <r>
    <x v="117"/>
    <d v="2026-02-23T00:00:00"/>
    <n v="61"/>
  </r>
  <r>
    <x v="117"/>
    <d v="2026-03-02T00:00:00"/>
    <n v="87"/>
  </r>
  <r>
    <x v="117"/>
    <d v="2026-03-09T00:00:00"/>
    <n v="88"/>
  </r>
  <r>
    <x v="117"/>
    <d v="2026-03-16T00:00:00"/>
    <n v="83"/>
  </r>
  <r>
    <x v="117"/>
    <d v="2026-03-23T00:00:00"/>
    <n v="78"/>
  </r>
  <r>
    <x v="117"/>
    <d v="2026-03-30T00:00:00"/>
    <n v="81"/>
  </r>
  <r>
    <x v="117"/>
    <d v="2026-04-06T00:00:00"/>
    <n v="88"/>
  </r>
  <r>
    <x v="117"/>
    <d v="2026-04-13T00:00:00"/>
    <n v="94"/>
  </r>
  <r>
    <x v="117"/>
    <d v="2026-04-20T00:00:00"/>
    <n v="72"/>
  </r>
  <r>
    <x v="117"/>
    <d v="2026-04-27T00:00:00"/>
    <n v="88"/>
  </r>
  <r>
    <x v="117"/>
    <d v="2026-05-04T00:00:00"/>
    <n v="103"/>
  </r>
  <r>
    <x v="117"/>
    <d v="2026-05-11T00:00:00"/>
    <n v="92"/>
  </r>
  <r>
    <x v="117"/>
    <d v="2026-05-18T00:00:00"/>
    <n v="97"/>
  </r>
  <r>
    <x v="117"/>
    <d v="2026-05-25T00:00:00"/>
    <n v="92"/>
  </r>
  <r>
    <x v="117"/>
    <d v="2026-06-01T00:00:00"/>
    <n v="67"/>
  </r>
  <r>
    <x v="117"/>
    <d v="2026-06-08T00:00:00"/>
    <n v="94"/>
  </r>
  <r>
    <x v="117"/>
    <d v="2026-06-15T00:00:00"/>
    <n v="91"/>
  </r>
  <r>
    <x v="117"/>
    <d v="2026-06-22T00:00:00"/>
    <n v="80"/>
  </r>
  <r>
    <x v="117"/>
    <d v="2026-06-29T00:00:00"/>
    <n v="105"/>
  </r>
  <r>
    <x v="118"/>
    <d v="2026-01-05T00:00:00"/>
    <n v="22"/>
  </r>
  <r>
    <x v="118"/>
    <d v="2026-01-12T00:00:00"/>
    <n v="20"/>
  </r>
  <r>
    <x v="118"/>
    <d v="2026-01-19T00:00:00"/>
    <n v="18"/>
  </r>
  <r>
    <x v="118"/>
    <d v="2026-01-26T00:00:00"/>
    <n v="19"/>
  </r>
  <r>
    <x v="118"/>
    <d v="2026-02-02T00:00:00"/>
    <n v="21"/>
  </r>
  <r>
    <x v="118"/>
    <d v="2026-02-09T00:00:00"/>
    <n v="20"/>
  </r>
  <r>
    <x v="118"/>
    <d v="2026-02-16T00:00:00"/>
    <n v="17"/>
  </r>
  <r>
    <x v="118"/>
    <d v="2026-02-23T00:00:00"/>
    <n v="23"/>
  </r>
  <r>
    <x v="118"/>
    <d v="2026-03-02T00:00:00"/>
    <n v="18"/>
  </r>
  <r>
    <x v="118"/>
    <d v="2026-03-09T00:00:00"/>
    <n v="15"/>
  </r>
  <r>
    <x v="118"/>
    <d v="2026-03-16T00:00:00"/>
    <n v="16"/>
  </r>
  <r>
    <x v="118"/>
    <d v="2026-03-23T00:00:00"/>
    <n v="21"/>
  </r>
  <r>
    <x v="118"/>
    <d v="2026-03-30T00:00:00"/>
    <n v="15"/>
  </r>
  <r>
    <x v="118"/>
    <d v="2026-04-06T00:00:00"/>
    <n v="19"/>
  </r>
  <r>
    <x v="118"/>
    <d v="2026-04-13T00:00:00"/>
    <n v="18"/>
  </r>
  <r>
    <x v="118"/>
    <d v="2026-04-20T00:00:00"/>
    <n v="23"/>
  </r>
  <r>
    <x v="118"/>
    <d v="2026-04-27T00:00:00"/>
    <n v="17"/>
  </r>
  <r>
    <x v="118"/>
    <d v="2026-05-04T00:00:00"/>
    <n v="20"/>
  </r>
  <r>
    <x v="118"/>
    <d v="2026-05-11T00:00:00"/>
    <n v="19"/>
  </r>
  <r>
    <x v="118"/>
    <d v="2026-05-18T00:00:00"/>
    <n v="20"/>
  </r>
  <r>
    <x v="118"/>
    <d v="2026-05-25T00:00:00"/>
    <n v="17"/>
  </r>
  <r>
    <x v="118"/>
    <d v="2026-06-01T00:00:00"/>
    <n v="26"/>
  </r>
  <r>
    <x v="118"/>
    <d v="2026-06-08T00:00:00"/>
    <n v="26"/>
  </r>
  <r>
    <x v="118"/>
    <d v="2026-06-15T00:00:00"/>
    <n v="21"/>
  </r>
  <r>
    <x v="118"/>
    <d v="2026-06-22T00:00:00"/>
    <n v="16"/>
  </r>
  <r>
    <x v="118"/>
    <d v="2026-06-29T00:00:00"/>
    <n v="27"/>
  </r>
  <r>
    <x v="119"/>
    <d v="2026-01-05T00:00:00"/>
    <n v="58"/>
  </r>
  <r>
    <x v="119"/>
    <d v="2026-01-12T00:00:00"/>
    <n v="53"/>
  </r>
  <r>
    <x v="119"/>
    <d v="2026-01-19T00:00:00"/>
    <n v="42"/>
  </r>
  <r>
    <x v="119"/>
    <d v="2026-01-26T00:00:00"/>
    <n v="43"/>
  </r>
  <r>
    <x v="119"/>
    <d v="2026-02-02T00:00:00"/>
    <n v="43"/>
  </r>
  <r>
    <x v="119"/>
    <d v="2026-02-09T00:00:00"/>
    <n v="38"/>
  </r>
  <r>
    <x v="119"/>
    <d v="2026-02-16T00:00:00"/>
    <n v="59"/>
  </r>
  <r>
    <x v="119"/>
    <d v="2026-02-23T00:00:00"/>
    <n v="52"/>
  </r>
  <r>
    <x v="119"/>
    <d v="2026-03-02T00:00:00"/>
    <n v="47"/>
  </r>
  <r>
    <x v="119"/>
    <d v="2026-03-09T00:00:00"/>
    <n v="42"/>
  </r>
  <r>
    <x v="119"/>
    <d v="2026-03-16T00:00:00"/>
    <n v="50"/>
  </r>
  <r>
    <x v="119"/>
    <d v="2026-03-23T00:00:00"/>
    <n v="50"/>
  </r>
  <r>
    <x v="119"/>
    <d v="2026-03-30T00:00:00"/>
    <n v="67"/>
  </r>
  <r>
    <x v="119"/>
    <d v="2026-04-06T00:00:00"/>
    <n v="52"/>
  </r>
  <r>
    <x v="119"/>
    <d v="2026-04-13T00:00:00"/>
    <n v="57"/>
  </r>
  <r>
    <x v="119"/>
    <d v="2026-04-20T00:00:00"/>
    <n v="64"/>
  </r>
  <r>
    <x v="119"/>
    <d v="2026-04-27T00:00:00"/>
    <n v="62"/>
  </r>
  <r>
    <x v="119"/>
    <d v="2026-05-04T00:00:00"/>
    <n v="56"/>
  </r>
  <r>
    <x v="119"/>
    <d v="2026-05-11T00:00:00"/>
    <n v="42"/>
  </r>
  <r>
    <x v="119"/>
    <d v="2026-05-18T00:00:00"/>
    <n v="69"/>
  </r>
  <r>
    <x v="119"/>
    <d v="2026-05-25T00:00:00"/>
    <n v="64"/>
  </r>
  <r>
    <x v="119"/>
    <d v="2026-06-01T00:00:00"/>
    <n v="57"/>
  </r>
  <r>
    <x v="119"/>
    <d v="2026-06-08T00:00:00"/>
    <n v="60"/>
  </r>
  <r>
    <x v="119"/>
    <d v="2026-06-15T00:00:00"/>
    <n v="54"/>
  </r>
  <r>
    <x v="119"/>
    <d v="2026-06-22T00:00:00"/>
    <n v="55"/>
  </r>
  <r>
    <x v="119"/>
    <d v="2026-06-29T00:00:00"/>
    <n v="52"/>
  </r>
  <r>
    <x v="120"/>
    <d v="2026-01-05T00:00:00"/>
    <n v="23"/>
  </r>
  <r>
    <x v="120"/>
    <d v="2026-01-12T00:00:00"/>
    <n v="22"/>
  </r>
  <r>
    <x v="120"/>
    <d v="2026-01-19T00:00:00"/>
    <n v="37"/>
  </r>
  <r>
    <x v="120"/>
    <d v="2026-01-26T00:00:00"/>
    <n v="37"/>
  </r>
  <r>
    <x v="120"/>
    <d v="2026-02-02T00:00:00"/>
    <n v="39"/>
  </r>
  <r>
    <x v="120"/>
    <d v="2026-02-09T00:00:00"/>
    <n v="27"/>
  </r>
  <r>
    <x v="120"/>
    <d v="2026-02-16T00:00:00"/>
    <n v="29"/>
  </r>
  <r>
    <x v="120"/>
    <d v="2026-02-23T00:00:00"/>
    <n v="28"/>
  </r>
  <r>
    <x v="120"/>
    <d v="2026-03-02T00:00:00"/>
    <n v="29"/>
  </r>
  <r>
    <x v="120"/>
    <d v="2026-03-09T00:00:00"/>
    <n v="36"/>
  </r>
  <r>
    <x v="120"/>
    <d v="2026-03-16T00:00:00"/>
    <n v="30"/>
  </r>
  <r>
    <x v="120"/>
    <d v="2026-03-23T00:00:00"/>
    <n v="34"/>
  </r>
  <r>
    <x v="120"/>
    <d v="2026-03-30T00:00:00"/>
    <n v="36"/>
  </r>
  <r>
    <x v="120"/>
    <d v="2026-04-06T00:00:00"/>
    <n v="31"/>
  </r>
  <r>
    <x v="120"/>
    <d v="2026-04-13T00:00:00"/>
    <n v="40"/>
  </r>
  <r>
    <x v="120"/>
    <d v="2026-04-20T00:00:00"/>
    <n v="28"/>
  </r>
  <r>
    <x v="120"/>
    <d v="2026-04-27T00:00:00"/>
    <n v="33"/>
  </r>
  <r>
    <x v="120"/>
    <d v="2026-05-04T00:00:00"/>
    <n v="28"/>
  </r>
  <r>
    <x v="120"/>
    <d v="2026-05-11T00:00:00"/>
    <n v="36"/>
  </r>
  <r>
    <x v="120"/>
    <d v="2026-05-18T00:00:00"/>
    <n v="41"/>
  </r>
  <r>
    <x v="120"/>
    <d v="2026-05-25T00:00:00"/>
    <n v="36"/>
  </r>
  <r>
    <x v="120"/>
    <d v="2026-06-01T00:00:00"/>
    <n v="36"/>
  </r>
  <r>
    <x v="120"/>
    <d v="2026-06-08T00:00:00"/>
    <n v="36"/>
  </r>
  <r>
    <x v="120"/>
    <d v="2026-06-15T00:00:00"/>
    <n v="39"/>
  </r>
  <r>
    <x v="120"/>
    <d v="2026-06-22T00:00:00"/>
    <n v="41"/>
  </r>
  <r>
    <x v="120"/>
    <d v="2026-06-29T00:00:00"/>
    <n v="50"/>
  </r>
  <r>
    <x v="121"/>
    <d v="2026-01-05T00:00:00"/>
    <n v="114"/>
  </r>
  <r>
    <x v="121"/>
    <d v="2026-01-12T00:00:00"/>
    <n v="105"/>
  </r>
  <r>
    <x v="121"/>
    <d v="2026-01-19T00:00:00"/>
    <n v="115"/>
  </r>
  <r>
    <x v="121"/>
    <d v="2026-01-26T00:00:00"/>
    <n v="139"/>
  </r>
  <r>
    <x v="121"/>
    <d v="2026-02-02T00:00:00"/>
    <n v="101"/>
  </r>
  <r>
    <x v="121"/>
    <d v="2026-02-09T00:00:00"/>
    <n v="107"/>
  </r>
  <r>
    <x v="121"/>
    <d v="2026-02-16T00:00:00"/>
    <n v="133"/>
  </r>
  <r>
    <x v="121"/>
    <d v="2026-02-23T00:00:00"/>
    <n v="113"/>
  </r>
  <r>
    <x v="121"/>
    <d v="2026-03-02T00:00:00"/>
    <n v="126"/>
  </r>
  <r>
    <x v="121"/>
    <d v="2026-03-09T00:00:00"/>
    <n v="129"/>
  </r>
  <r>
    <x v="121"/>
    <d v="2026-03-16T00:00:00"/>
    <n v="110"/>
  </r>
  <r>
    <x v="121"/>
    <d v="2026-03-23T00:00:00"/>
    <n v="126"/>
  </r>
  <r>
    <x v="121"/>
    <d v="2026-03-30T00:00:00"/>
    <n v="131"/>
  </r>
  <r>
    <x v="121"/>
    <d v="2026-04-06T00:00:00"/>
    <n v="137"/>
  </r>
  <r>
    <x v="121"/>
    <d v="2026-04-13T00:00:00"/>
    <n v="142"/>
  </r>
  <r>
    <x v="121"/>
    <d v="2026-04-20T00:00:00"/>
    <n v="136"/>
  </r>
  <r>
    <x v="121"/>
    <d v="2026-04-27T00:00:00"/>
    <n v="137"/>
  </r>
  <r>
    <x v="121"/>
    <d v="2026-05-04T00:00:00"/>
    <n v="138"/>
  </r>
  <r>
    <x v="121"/>
    <d v="2026-05-11T00:00:00"/>
    <n v="142"/>
  </r>
  <r>
    <x v="121"/>
    <d v="2026-05-18T00:00:00"/>
    <n v="151"/>
  </r>
  <r>
    <x v="121"/>
    <d v="2026-05-25T00:00:00"/>
    <n v="135"/>
  </r>
  <r>
    <x v="121"/>
    <d v="2026-06-01T00:00:00"/>
    <n v="111"/>
  </r>
  <r>
    <x v="121"/>
    <d v="2026-06-08T00:00:00"/>
    <n v="152"/>
  </r>
  <r>
    <x v="121"/>
    <d v="2026-06-15T00:00:00"/>
    <n v="149"/>
  </r>
  <r>
    <x v="121"/>
    <d v="2026-06-22T00:00:00"/>
    <n v="178"/>
  </r>
  <r>
    <x v="121"/>
    <d v="2026-06-29T00:00:00"/>
    <n v="139"/>
  </r>
  <r>
    <x v="122"/>
    <d v="2026-01-05T00:00:00"/>
    <n v="38"/>
  </r>
  <r>
    <x v="122"/>
    <d v="2026-01-12T00:00:00"/>
    <n v="36"/>
  </r>
  <r>
    <x v="122"/>
    <d v="2026-01-19T00:00:00"/>
    <n v="33"/>
  </r>
  <r>
    <x v="122"/>
    <d v="2026-01-26T00:00:00"/>
    <n v="43"/>
  </r>
  <r>
    <x v="122"/>
    <d v="2026-02-02T00:00:00"/>
    <n v="39"/>
  </r>
  <r>
    <x v="122"/>
    <d v="2026-02-09T00:00:00"/>
    <n v="33"/>
  </r>
  <r>
    <x v="122"/>
    <d v="2026-02-16T00:00:00"/>
    <n v="40"/>
  </r>
  <r>
    <x v="122"/>
    <d v="2026-02-23T00:00:00"/>
    <n v="36"/>
  </r>
  <r>
    <x v="122"/>
    <d v="2026-03-02T00:00:00"/>
    <n v="37"/>
  </r>
  <r>
    <x v="122"/>
    <d v="2026-03-09T00:00:00"/>
    <n v="40"/>
  </r>
  <r>
    <x v="122"/>
    <d v="2026-03-16T00:00:00"/>
    <n v="50"/>
  </r>
  <r>
    <x v="122"/>
    <d v="2026-03-23T00:00:00"/>
    <n v="43"/>
  </r>
  <r>
    <x v="122"/>
    <d v="2026-03-30T00:00:00"/>
    <n v="46"/>
  </r>
  <r>
    <x v="122"/>
    <d v="2026-04-06T00:00:00"/>
    <n v="47"/>
  </r>
  <r>
    <x v="122"/>
    <d v="2026-04-13T00:00:00"/>
    <n v="38"/>
  </r>
  <r>
    <x v="122"/>
    <d v="2026-04-20T00:00:00"/>
    <n v="46"/>
  </r>
  <r>
    <x v="122"/>
    <d v="2026-04-27T00:00:00"/>
    <n v="45"/>
  </r>
  <r>
    <x v="122"/>
    <d v="2026-05-04T00:00:00"/>
    <n v="47"/>
  </r>
  <r>
    <x v="122"/>
    <d v="2026-05-11T00:00:00"/>
    <n v="51"/>
  </r>
  <r>
    <x v="122"/>
    <d v="2026-05-18T00:00:00"/>
    <n v="42"/>
  </r>
  <r>
    <x v="122"/>
    <d v="2026-05-25T00:00:00"/>
    <n v="43"/>
  </r>
  <r>
    <x v="122"/>
    <d v="2026-06-01T00:00:00"/>
    <n v="35"/>
  </r>
  <r>
    <x v="122"/>
    <d v="2026-06-08T00:00:00"/>
    <n v="41"/>
  </r>
  <r>
    <x v="122"/>
    <d v="2026-06-15T00:00:00"/>
    <n v="46"/>
  </r>
  <r>
    <x v="122"/>
    <d v="2026-06-22T00:00:00"/>
    <n v="49"/>
  </r>
  <r>
    <x v="122"/>
    <d v="2026-06-29T00:00:00"/>
    <n v="46"/>
  </r>
  <r>
    <x v="123"/>
    <d v="2026-01-05T00:00:00"/>
    <n v="29"/>
  </r>
  <r>
    <x v="123"/>
    <d v="2026-01-12T00:00:00"/>
    <n v="27"/>
  </r>
  <r>
    <x v="123"/>
    <d v="2026-01-19T00:00:00"/>
    <n v="27"/>
  </r>
  <r>
    <x v="123"/>
    <d v="2026-01-26T00:00:00"/>
    <n v="31"/>
  </r>
  <r>
    <x v="123"/>
    <d v="2026-02-02T00:00:00"/>
    <n v="28"/>
  </r>
  <r>
    <x v="123"/>
    <d v="2026-02-09T00:00:00"/>
    <n v="19"/>
  </r>
  <r>
    <x v="123"/>
    <d v="2026-02-16T00:00:00"/>
    <n v="26"/>
  </r>
  <r>
    <x v="123"/>
    <d v="2026-02-23T00:00:00"/>
    <n v="28"/>
  </r>
  <r>
    <x v="123"/>
    <d v="2026-03-02T00:00:00"/>
    <n v="24"/>
  </r>
  <r>
    <x v="123"/>
    <d v="2026-03-09T00:00:00"/>
    <n v="22"/>
  </r>
  <r>
    <x v="123"/>
    <d v="2026-03-16T00:00:00"/>
    <n v="29"/>
  </r>
  <r>
    <x v="123"/>
    <d v="2026-03-23T00:00:00"/>
    <n v="30"/>
  </r>
  <r>
    <x v="123"/>
    <d v="2026-03-30T00:00:00"/>
    <n v="26"/>
  </r>
  <r>
    <x v="123"/>
    <d v="2026-04-06T00:00:00"/>
    <n v="27"/>
  </r>
  <r>
    <x v="123"/>
    <d v="2026-04-13T00:00:00"/>
    <n v="26"/>
  </r>
  <r>
    <x v="123"/>
    <d v="2026-04-20T00:00:00"/>
    <n v="27"/>
  </r>
  <r>
    <x v="123"/>
    <d v="2026-04-27T00:00:00"/>
    <n v="29"/>
  </r>
  <r>
    <x v="123"/>
    <d v="2026-05-04T00:00:00"/>
    <n v="34"/>
  </r>
  <r>
    <x v="123"/>
    <d v="2026-05-11T00:00:00"/>
    <n v="23"/>
  </r>
  <r>
    <x v="123"/>
    <d v="2026-05-18T00:00:00"/>
    <n v="29"/>
  </r>
  <r>
    <x v="123"/>
    <d v="2026-05-25T00:00:00"/>
    <n v="37"/>
  </r>
  <r>
    <x v="123"/>
    <d v="2026-06-01T00:00:00"/>
    <n v="32"/>
  </r>
  <r>
    <x v="123"/>
    <d v="2026-06-08T00:00:00"/>
    <n v="32"/>
  </r>
  <r>
    <x v="123"/>
    <d v="2026-06-15T00:00:00"/>
    <n v="35"/>
  </r>
  <r>
    <x v="123"/>
    <d v="2026-06-22T00:00:00"/>
    <n v="28"/>
  </r>
  <r>
    <x v="123"/>
    <d v="2026-06-29T00:00:00"/>
    <n v="27"/>
  </r>
  <r>
    <x v="124"/>
    <d v="2026-01-05T00:00:00"/>
    <n v="104"/>
  </r>
  <r>
    <x v="124"/>
    <d v="2026-01-12T00:00:00"/>
    <n v="120"/>
  </r>
  <r>
    <x v="124"/>
    <d v="2026-01-19T00:00:00"/>
    <n v="116"/>
  </r>
  <r>
    <x v="124"/>
    <d v="2026-01-26T00:00:00"/>
    <n v="96"/>
  </r>
  <r>
    <x v="124"/>
    <d v="2026-02-02T00:00:00"/>
    <n v="100"/>
  </r>
  <r>
    <x v="124"/>
    <d v="2026-02-09T00:00:00"/>
    <n v="102"/>
  </r>
  <r>
    <x v="124"/>
    <d v="2026-02-16T00:00:00"/>
    <n v="92"/>
  </r>
  <r>
    <x v="124"/>
    <d v="2026-02-23T00:00:00"/>
    <n v="104"/>
  </r>
  <r>
    <x v="124"/>
    <d v="2026-03-02T00:00:00"/>
    <n v="99"/>
  </r>
  <r>
    <x v="124"/>
    <d v="2026-03-09T00:00:00"/>
    <n v="90"/>
  </r>
  <r>
    <x v="124"/>
    <d v="2026-03-16T00:00:00"/>
    <n v="100"/>
  </r>
  <r>
    <x v="124"/>
    <d v="2026-03-23T00:00:00"/>
    <n v="90"/>
  </r>
  <r>
    <x v="124"/>
    <d v="2026-03-30T00:00:00"/>
    <n v="99"/>
  </r>
  <r>
    <x v="124"/>
    <d v="2026-04-06T00:00:00"/>
    <n v="116"/>
  </r>
  <r>
    <x v="124"/>
    <d v="2026-04-13T00:00:00"/>
    <n v="105"/>
  </r>
  <r>
    <x v="124"/>
    <d v="2026-04-20T00:00:00"/>
    <n v="127"/>
  </r>
  <r>
    <x v="124"/>
    <d v="2026-04-27T00:00:00"/>
    <n v="110"/>
  </r>
  <r>
    <x v="124"/>
    <d v="2026-05-04T00:00:00"/>
    <n v="122"/>
  </r>
  <r>
    <x v="124"/>
    <d v="2026-05-11T00:00:00"/>
    <n v="112"/>
  </r>
  <r>
    <x v="124"/>
    <d v="2026-05-18T00:00:00"/>
    <n v="123"/>
  </r>
  <r>
    <x v="124"/>
    <d v="2026-05-25T00:00:00"/>
    <n v="124"/>
  </r>
  <r>
    <x v="124"/>
    <d v="2026-06-01T00:00:00"/>
    <n v="131"/>
  </r>
  <r>
    <x v="124"/>
    <d v="2026-06-08T00:00:00"/>
    <n v="121"/>
  </r>
  <r>
    <x v="124"/>
    <d v="2026-06-15T00:00:00"/>
    <n v="124"/>
  </r>
  <r>
    <x v="124"/>
    <d v="2026-06-22T00:00:00"/>
    <n v="116"/>
  </r>
  <r>
    <x v="124"/>
    <d v="2026-06-29T00:00:00"/>
    <n v="139"/>
  </r>
  <r>
    <x v="125"/>
    <d v="2026-01-05T00:00:00"/>
    <n v="90"/>
  </r>
  <r>
    <x v="125"/>
    <d v="2026-01-12T00:00:00"/>
    <n v="126"/>
  </r>
  <r>
    <x v="125"/>
    <d v="2026-01-19T00:00:00"/>
    <n v="83"/>
  </r>
  <r>
    <x v="125"/>
    <d v="2026-01-26T00:00:00"/>
    <n v="106"/>
  </r>
  <r>
    <x v="125"/>
    <d v="2026-02-02T00:00:00"/>
    <n v="116"/>
  </r>
  <r>
    <x v="125"/>
    <d v="2026-02-09T00:00:00"/>
    <n v="117"/>
  </r>
  <r>
    <x v="125"/>
    <d v="2026-02-16T00:00:00"/>
    <n v="101"/>
  </r>
  <r>
    <x v="125"/>
    <d v="2026-02-23T00:00:00"/>
    <n v="127"/>
  </r>
  <r>
    <x v="125"/>
    <d v="2026-03-02T00:00:00"/>
    <n v="117"/>
  </r>
  <r>
    <x v="125"/>
    <d v="2026-03-09T00:00:00"/>
    <n v="141"/>
  </r>
  <r>
    <x v="125"/>
    <d v="2026-03-16T00:00:00"/>
    <n v="123"/>
  </r>
  <r>
    <x v="125"/>
    <d v="2026-03-23T00:00:00"/>
    <n v="135"/>
  </r>
  <r>
    <x v="125"/>
    <d v="2026-03-30T00:00:00"/>
    <n v="100"/>
  </r>
  <r>
    <x v="125"/>
    <d v="2026-04-06T00:00:00"/>
    <n v="128"/>
  </r>
  <r>
    <x v="125"/>
    <d v="2026-04-13T00:00:00"/>
    <n v="128"/>
  </r>
  <r>
    <x v="125"/>
    <d v="2026-04-20T00:00:00"/>
    <n v="113"/>
  </r>
  <r>
    <x v="125"/>
    <d v="2026-04-27T00:00:00"/>
    <n v="96"/>
  </r>
  <r>
    <x v="125"/>
    <d v="2026-05-04T00:00:00"/>
    <n v="142"/>
  </r>
  <r>
    <x v="125"/>
    <d v="2026-05-11T00:00:00"/>
    <n v="151"/>
  </r>
  <r>
    <x v="125"/>
    <d v="2026-05-18T00:00:00"/>
    <n v="125"/>
  </r>
  <r>
    <x v="125"/>
    <d v="2026-05-25T00:00:00"/>
    <n v="148"/>
  </r>
  <r>
    <x v="125"/>
    <d v="2026-06-01T00:00:00"/>
    <n v="146"/>
  </r>
  <r>
    <x v="125"/>
    <d v="2026-06-08T00:00:00"/>
    <n v="129"/>
  </r>
  <r>
    <x v="125"/>
    <d v="2026-06-15T00:00:00"/>
    <n v="130"/>
  </r>
  <r>
    <x v="125"/>
    <d v="2026-06-22T00:00:00"/>
    <n v="182"/>
  </r>
  <r>
    <x v="125"/>
    <d v="2026-06-29T00:00:00"/>
    <n v="152"/>
  </r>
  <r>
    <x v="126"/>
    <d v="2026-01-05T00:00:00"/>
    <n v="75"/>
  </r>
  <r>
    <x v="126"/>
    <d v="2026-01-12T00:00:00"/>
    <n v="90"/>
  </r>
  <r>
    <x v="126"/>
    <d v="2026-01-19T00:00:00"/>
    <n v="87"/>
  </r>
  <r>
    <x v="126"/>
    <d v="2026-01-26T00:00:00"/>
    <n v="92"/>
  </r>
  <r>
    <x v="126"/>
    <d v="2026-02-02T00:00:00"/>
    <n v="91"/>
  </r>
  <r>
    <x v="126"/>
    <d v="2026-02-09T00:00:00"/>
    <n v="78"/>
  </r>
  <r>
    <x v="126"/>
    <d v="2026-02-16T00:00:00"/>
    <n v="90"/>
  </r>
  <r>
    <x v="126"/>
    <d v="2026-02-23T00:00:00"/>
    <n v="95"/>
  </r>
  <r>
    <x v="126"/>
    <d v="2026-03-02T00:00:00"/>
    <n v="92"/>
  </r>
  <r>
    <x v="126"/>
    <d v="2026-03-09T00:00:00"/>
    <n v="99"/>
  </r>
  <r>
    <x v="126"/>
    <d v="2026-03-16T00:00:00"/>
    <n v="100"/>
  </r>
  <r>
    <x v="126"/>
    <d v="2026-03-23T00:00:00"/>
    <n v="98"/>
  </r>
  <r>
    <x v="126"/>
    <d v="2026-03-30T00:00:00"/>
    <n v="97"/>
  </r>
  <r>
    <x v="126"/>
    <d v="2026-04-06T00:00:00"/>
    <n v="115"/>
  </r>
  <r>
    <x v="126"/>
    <d v="2026-04-13T00:00:00"/>
    <n v="105"/>
  </r>
  <r>
    <x v="126"/>
    <d v="2026-04-20T00:00:00"/>
    <n v="106"/>
  </r>
  <r>
    <x v="126"/>
    <d v="2026-04-27T00:00:00"/>
    <n v="109"/>
  </r>
  <r>
    <x v="126"/>
    <d v="2026-05-04T00:00:00"/>
    <n v="108"/>
  </r>
  <r>
    <x v="126"/>
    <d v="2026-05-11T00:00:00"/>
    <n v="92"/>
  </r>
  <r>
    <x v="126"/>
    <d v="2026-05-18T00:00:00"/>
    <n v="105"/>
  </r>
  <r>
    <x v="126"/>
    <d v="2026-05-25T00:00:00"/>
    <n v="112"/>
  </r>
  <r>
    <x v="126"/>
    <d v="2026-06-01T00:00:00"/>
    <n v="115"/>
  </r>
  <r>
    <x v="126"/>
    <d v="2026-06-08T00:00:00"/>
    <n v="112"/>
  </r>
  <r>
    <x v="126"/>
    <d v="2026-06-15T00:00:00"/>
    <n v="104"/>
  </r>
  <r>
    <x v="126"/>
    <d v="2026-06-22T00:00:00"/>
    <n v="112"/>
  </r>
  <r>
    <x v="126"/>
    <d v="2026-06-29T00:00:00"/>
    <n v="119"/>
  </r>
  <r>
    <x v="127"/>
    <d v="2026-01-05T00:00:00"/>
    <n v="43"/>
  </r>
  <r>
    <x v="127"/>
    <d v="2026-01-12T00:00:00"/>
    <n v="46"/>
  </r>
  <r>
    <x v="127"/>
    <d v="2026-01-19T00:00:00"/>
    <n v="61"/>
  </r>
  <r>
    <x v="127"/>
    <d v="2026-01-26T00:00:00"/>
    <n v="43"/>
  </r>
  <r>
    <x v="127"/>
    <d v="2026-02-02T00:00:00"/>
    <n v="47"/>
  </r>
  <r>
    <x v="127"/>
    <d v="2026-02-09T00:00:00"/>
    <n v="43"/>
  </r>
  <r>
    <x v="127"/>
    <d v="2026-02-16T00:00:00"/>
    <n v="50"/>
  </r>
  <r>
    <x v="127"/>
    <d v="2026-02-23T00:00:00"/>
    <n v="54"/>
  </r>
  <r>
    <x v="127"/>
    <d v="2026-03-02T00:00:00"/>
    <n v="55"/>
  </r>
  <r>
    <x v="127"/>
    <d v="2026-03-09T00:00:00"/>
    <n v="42"/>
  </r>
  <r>
    <x v="127"/>
    <d v="2026-03-16T00:00:00"/>
    <n v="49"/>
  </r>
  <r>
    <x v="127"/>
    <d v="2026-03-23T00:00:00"/>
    <n v="55"/>
  </r>
  <r>
    <x v="127"/>
    <d v="2026-03-30T00:00:00"/>
    <n v="56"/>
  </r>
  <r>
    <x v="127"/>
    <d v="2026-04-06T00:00:00"/>
    <n v="44"/>
  </r>
  <r>
    <x v="127"/>
    <d v="2026-04-13T00:00:00"/>
    <n v="61"/>
  </r>
  <r>
    <x v="127"/>
    <d v="2026-04-20T00:00:00"/>
    <n v="52"/>
  </r>
  <r>
    <x v="127"/>
    <d v="2026-04-27T00:00:00"/>
    <n v="61"/>
  </r>
  <r>
    <x v="127"/>
    <d v="2026-05-04T00:00:00"/>
    <n v="51"/>
  </r>
  <r>
    <x v="127"/>
    <d v="2026-05-11T00:00:00"/>
    <n v="58"/>
  </r>
  <r>
    <x v="127"/>
    <d v="2026-05-18T00:00:00"/>
    <n v="56"/>
  </r>
  <r>
    <x v="127"/>
    <d v="2026-05-25T00:00:00"/>
    <n v="47"/>
  </r>
  <r>
    <x v="127"/>
    <d v="2026-06-01T00:00:00"/>
    <n v="58"/>
  </r>
  <r>
    <x v="127"/>
    <d v="2026-06-08T00:00:00"/>
    <n v="54"/>
  </r>
  <r>
    <x v="127"/>
    <d v="2026-06-15T00:00:00"/>
    <n v="44"/>
  </r>
  <r>
    <x v="127"/>
    <d v="2026-06-22T00:00:00"/>
    <n v="57"/>
  </r>
  <r>
    <x v="127"/>
    <d v="2026-06-29T00:00:00"/>
    <n v="58"/>
  </r>
  <r>
    <x v="128"/>
    <d v="2026-01-05T00:00:00"/>
    <n v="102"/>
  </r>
  <r>
    <x v="128"/>
    <d v="2026-01-12T00:00:00"/>
    <n v="119"/>
  </r>
  <r>
    <x v="128"/>
    <d v="2026-01-19T00:00:00"/>
    <n v="81"/>
  </r>
  <r>
    <x v="128"/>
    <d v="2026-01-26T00:00:00"/>
    <n v="129"/>
  </r>
  <r>
    <x v="128"/>
    <d v="2026-02-02T00:00:00"/>
    <n v="129"/>
  </r>
  <r>
    <x v="128"/>
    <d v="2026-02-09T00:00:00"/>
    <n v="97"/>
  </r>
  <r>
    <x v="128"/>
    <d v="2026-02-16T00:00:00"/>
    <n v="148"/>
  </r>
  <r>
    <x v="128"/>
    <d v="2026-02-23T00:00:00"/>
    <n v="120"/>
  </r>
  <r>
    <x v="128"/>
    <d v="2026-03-02T00:00:00"/>
    <n v="89"/>
  </r>
  <r>
    <x v="128"/>
    <d v="2026-03-09T00:00:00"/>
    <n v="97"/>
  </r>
  <r>
    <x v="128"/>
    <d v="2026-03-16T00:00:00"/>
    <n v="138"/>
  </r>
  <r>
    <x v="128"/>
    <d v="2026-03-23T00:00:00"/>
    <n v="119"/>
  </r>
  <r>
    <x v="128"/>
    <d v="2026-03-30T00:00:00"/>
    <n v="145"/>
  </r>
  <r>
    <x v="128"/>
    <d v="2026-04-06T00:00:00"/>
    <n v="99"/>
  </r>
  <r>
    <x v="128"/>
    <d v="2026-04-13T00:00:00"/>
    <n v="127"/>
  </r>
  <r>
    <x v="128"/>
    <d v="2026-04-20T00:00:00"/>
    <n v="147"/>
  </r>
  <r>
    <x v="128"/>
    <d v="2026-04-27T00:00:00"/>
    <n v="119"/>
  </r>
  <r>
    <x v="128"/>
    <d v="2026-05-04T00:00:00"/>
    <n v="145"/>
  </r>
  <r>
    <x v="128"/>
    <d v="2026-05-11T00:00:00"/>
    <n v="128"/>
  </r>
  <r>
    <x v="128"/>
    <d v="2026-05-18T00:00:00"/>
    <n v="142"/>
  </r>
  <r>
    <x v="128"/>
    <d v="2026-05-25T00:00:00"/>
    <n v="143"/>
  </r>
  <r>
    <x v="128"/>
    <d v="2026-06-01T00:00:00"/>
    <n v="178"/>
  </r>
  <r>
    <x v="128"/>
    <d v="2026-06-08T00:00:00"/>
    <n v="118"/>
  </r>
  <r>
    <x v="128"/>
    <d v="2026-06-15T00:00:00"/>
    <n v="155"/>
  </r>
  <r>
    <x v="128"/>
    <d v="2026-06-22T00:00:00"/>
    <n v="166"/>
  </r>
  <r>
    <x v="128"/>
    <d v="2026-06-29T00:00:00"/>
    <n v="124"/>
  </r>
  <r>
    <x v="129"/>
    <d v="2026-01-05T00:00:00"/>
    <n v="41"/>
  </r>
  <r>
    <x v="129"/>
    <d v="2026-01-12T00:00:00"/>
    <n v="41"/>
  </r>
  <r>
    <x v="129"/>
    <d v="2026-01-19T00:00:00"/>
    <n v="58"/>
  </r>
  <r>
    <x v="129"/>
    <d v="2026-01-26T00:00:00"/>
    <n v="39"/>
  </r>
  <r>
    <x v="129"/>
    <d v="2026-02-02T00:00:00"/>
    <n v="60"/>
  </r>
  <r>
    <x v="129"/>
    <d v="2026-02-09T00:00:00"/>
    <n v="65"/>
  </r>
  <r>
    <x v="129"/>
    <d v="2026-02-16T00:00:00"/>
    <n v="29"/>
  </r>
  <r>
    <x v="129"/>
    <d v="2026-02-23T00:00:00"/>
    <n v="50"/>
  </r>
  <r>
    <x v="129"/>
    <d v="2026-03-02T00:00:00"/>
    <n v="32"/>
  </r>
  <r>
    <x v="129"/>
    <d v="2026-03-09T00:00:00"/>
    <n v="59"/>
  </r>
  <r>
    <x v="129"/>
    <d v="2026-03-16T00:00:00"/>
    <n v="55"/>
  </r>
  <r>
    <x v="129"/>
    <d v="2026-03-23T00:00:00"/>
    <n v="90"/>
  </r>
  <r>
    <x v="129"/>
    <d v="2026-03-30T00:00:00"/>
    <n v="50"/>
  </r>
  <r>
    <x v="129"/>
    <d v="2026-04-06T00:00:00"/>
    <n v="47"/>
  </r>
  <r>
    <x v="129"/>
    <d v="2026-04-13T00:00:00"/>
    <n v="66"/>
  </r>
  <r>
    <x v="129"/>
    <d v="2026-04-20T00:00:00"/>
    <n v="46"/>
  </r>
  <r>
    <x v="129"/>
    <d v="2026-04-27T00:00:00"/>
    <n v="39"/>
  </r>
  <r>
    <x v="129"/>
    <d v="2026-05-04T00:00:00"/>
    <n v="93"/>
  </r>
  <r>
    <x v="129"/>
    <d v="2026-05-11T00:00:00"/>
    <n v="94"/>
  </r>
  <r>
    <x v="129"/>
    <d v="2026-05-18T00:00:00"/>
    <n v="12"/>
  </r>
  <r>
    <x v="129"/>
    <d v="2026-05-25T00:00:00"/>
    <n v="79"/>
  </r>
  <r>
    <x v="129"/>
    <d v="2026-06-01T00:00:00"/>
    <n v="38"/>
  </r>
  <r>
    <x v="129"/>
    <d v="2026-06-08T00:00:00"/>
    <n v="95"/>
  </r>
  <r>
    <x v="129"/>
    <d v="2026-06-15T00:00:00"/>
    <n v="38"/>
  </r>
  <r>
    <x v="129"/>
    <d v="2026-06-22T00:00:00"/>
    <n v="97"/>
  </r>
  <r>
    <x v="129"/>
    <d v="2026-06-29T00:00:00"/>
    <n v="7"/>
  </r>
  <r>
    <x v="130"/>
    <d v="2026-01-05T00:00:00"/>
    <n v="45"/>
  </r>
  <r>
    <x v="130"/>
    <d v="2026-01-12T00:00:00"/>
    <n v="62"/>
  </r>
  <r>
    <x v="130"/>
    <d v="2026-01-19T00:00:00"/>
    <n v="66"/>
  </r>
  <r>
    <x v="130"/>
    <d v="2026-01-26T00:00:00"/>
    <n v="49"/>
  </r>
  <r>
    <x v="130"/>
    <d v="2026-02-02T00:00:00"/>
    <n v="59"/>
  </r>
  <r>
    <x v="130"/>
    <d v="2026-02-09T00:00:00"/>
    <n v="64"/>
  </r>
  <r>
    <x v="130"/>
    <d v="2026-02-16T00:00:00"/>
    <n v="75"/>
  </r>
  <r>
    <x v="130"/>
    <d v="2026-02-23T00:00:00"/>
    <n v="75"/>
  </r>
  <r>
    <x v="130"/>
    <d v="2026-03-02T00:00:00"/>
    <n v="66"/>
  </r>
  <r>
    <x v="130"/>
    <d v="2026-03-09T00:00:00"/>
    <n v="64"/>
  </r>
  <r>
    <x v="130"/>
    <d v="2026-03-16T00:00:00"/>
    <n v="58"/>
  </r>
  <r>
    <x v="130"/>
    <d v="2026-03-23T00:00:00"/>
    <n v="75"/>
  </r>
  <r>
    <x v="130"/>
    <d v="2026-03-30T00:00:00"/>
    <n v="65"/>
  </r>
  <r>
    <x v="130"/>
    <d v="2026-04-06T00:00:00"/>
    <n v="68"/>
  </r>
  <r>
    <x v="130"/>
    <d v="2026-04-13T00:00:00"/>
    <n v="76"/>
  </r>
  <r>
    <x v="130"/>
    <d v="2026-04-20T00:00:00"/>
    <n v="61"/>
  </r>
  <r>
    <x v="130"/>
    <d v="2026-04-27T00:00:00"/>
    <n v="67"/>
  </r>
  <r>
    <x v="130"/>
    <d v="2026-05-04T00:00:00"/>
    <n v="80"/>
  </r>
  <r>
    <x v="130"/>
    <d v="2026-05-11T00:00:00"/>
    <n v="64"/>
  </r>
  <r>
    <x v="130"/>
    <d v="2026-05-18T00:00:00"/>
    <n v="81"/>
  </r>
  <r>
    <x v="130"/>
    <d v="2026-05-25T00:00:00"/>
    <n v="81"/>
  </r>
  <r>
    <x v="130"/>
    <d v="2026-06-01T00:00:00"/>
    <n v="68"/>
  </r>
  <r>
    <x v="130"/>
    <d v="2026-06-08T00:00:00"/>
    <n v="72"/>
  </r>
  <r>
    <x v="130"/>
    <d v="2026-06-15T00:00:00"/>
    <n v="83"/>
  </r>
  <r>
    <x v="130"/>
    <d v="2026-06-22T00:00:00"/>
    <n v="84"/>
  </r>
  <r>
    <x v="130"/>
    <d v="2026-06-29T00:00:00"/>
    <n v="67"/>
  </r>
  <r>
    <x v="131"/>
    <d v="2026-01-05T00:00:00"/>
    <n v="69"/>
  </r>
  <r>
    <x v="131"/>
    <d v="2026-01-12T00:00:00"/>
    <n v="68"/>
  </r>
  <r>
    <x v="131"/>
    <d v="2026-01-19T00:00:00"/>
    <n v="67"/>
  </r>
  <r>
    <x v="131"/>
    <d v="2026-01-26T00:00:00"/>
    <n v="53"/>
  </r>
  <r>
    <x v="131"/>
    <d v="2026-02-02T00:00:00"/>
    <n v="54"/>
  </r>
  <r>
    <x v="131"/>
    <d v="2026-02-09T00:00:00"/>
    <n v="65"/>
  </r>
  <r>
    <x v="131"/>
    <d v="2026-02-16T00:00:00"/>
    <n v="75"/>
  </r>
  <r>
    <x v="131"/>
    <d v="2026-02-23T00:00:00"/>
    <n v="57"/>
  </r>
  <r>
    <x v="131"/>
    <d v="2026-03-02T00:00:00"/>
    <n v="69"/>
  </r>
  <r>
    <x v="131"/>
    <d v="2026-03-09T00:00:00"/>
    <n v="75"/>
  </r>
  <r>
    <x v="131"/>
    <d v="2026-03-16T00:00:00"/>
    <n v="53"/>
  </r>
  <r>
    <x v="131"/>
    <d v="2026-03-23T00:00:00"/>
    <n v="86"/>
  </r>
  <r>
    <x v="131"/>
    <d v="2026-03-30T00:00:00"/>
    <n v="68"/>
  </r>
  <r>
    <x v="131"/>
    <d v="2026-04-06T00:00:00"/>
    <n v="66"/>
  </r>
  <r>
    <x v="131"/>
    <d v="2026-04-13T00:00:00"/>
    <n v="73"/>
  </r>
  <r>
    <x v="131"/>
    <d v="2026-04-20T00:00:00"/>
    <n v="71"/>
  </r>
  <r>
    <x v="131"/>
    <d v="2026-04-27T00:00:00"/>
    <n v="65"/>
  </r>
  <r>
    <x v="131"/>
    <d v="2026-05-04T00:00:00"/>
    <n v="69"/>
  </r>
  <r>
    <x v="131"/>
    <d v="2026-05-11T00:00:00"/>
    <n v="73"/>
  </r>
  <r>
    <x v="131"/>
    <d v="2026-05-18T00:00:00"/>
    <n v="66"/>
  </r>
  <r>
    <x v="131"/>
    <d v="2026-05-25T00:00:00"/>
    <n v="85"/>
  </r>
  <r>
    <x v="131"/>
    <d v="2026-06-01T00:00:00"/>
    <n v="83"/>
  </r>
  <r>
    <x v="131"/>
    <d v="2026-06-08T00:00:00"/>
    <n v="85"/>
  </r>
  <r>
    <x v="131"/>
    <d v="2026-06-15T00:00:00"/>
    <n v="64"/>
  </r>
  <r>
    <x v="131"/>
    <d v="2026-06-22T00:00:00"/>
    <n v="75"/>
  </r>
  <r>
    <x v="131"/>
    <d v="2026-06-29T00:00:00"/>
    <n v="85"/>
  </r>
  <r>
    <x v="132"/>
    <d v="2026-01-05T00:00:00"/>
    <n v="125"/>
  </r>
  <r>
    <x v="132"/>
    <d v="2026-01-12T00:00:00"/>
    <n v="117"/>
  </r>
  <r>
    <x v="132"/>
    <d v="2026-01-19T00:00:00"/>
    <n v="139"/>
  </r>
  <r>
    <x v="132"/>
    <d v="2026-01-26T00:00:00"/>
    <n v="105"/>
  </r>
  <r>
    <x v="132"/>
    <d v="2026-02-02T00:00:00"/>
    <n v="129"/>
  </r>
  <r>
    <x v="132"/>
    <d v="2026-02-09T00:00:00"/>
    <n v="137"/>
  </r>
  <r>
    <x v="132"/>
    <d v="2026-02-16T00:00:00"/>
    <n v="134"/>
  </r>
  <r>
    <x v="132"/>
    <d v="2026-02-23T00:00:00"/>
    <n v="128"/>
  </r>
  <r>
    <x v="132"/>
    <d v="2026-03-02T00:00:00"/>
    <n v="98"/>
  </r>
  <r>
    <x v="132"/>
    <d v="2026-03-09T00:00:00"/>
    <n v="169"/>
  </r>
  <r>
    <x v="132"/>
    <d v="2026-03-16T00:00:00"/>
    <n v="80"/>
  </r>
  <r>
    <x v="132"/>
    <d v="2026-03-23T00:00:00"/>
    <n v="122"/>
  </r>
  <r>
    <x v="132"/>
    <d v="2026-03-30T00:00:00"/>
    <n v="100"/>
  </r>
  <r>
    <x v="132"/>
    <d v="2026-04-06T00:00:00"/>
    <n v="131"/>
  </r>
  <r>
    <x v="132"/>
    <d v="2026-04-13T00:00:00"/>
    <n v="165"/>
  </r>
  <r>
    <x v="132"/>
    <d v="2026-04-20T00:00:00"/>
    <n v="135"/>
  </r>
  <r>
    <x v="132"/>
    <d v="2026-04-27T00:00:00"/>
    <n v="121"/>
  </r>
  <r>
    <x v="132"/>
    <d v="2026-05-04T00:00:00"/>
    <n v="125"/>
  </r>
  <r>
    <x v="132"/>
    <d v="2026-05-11T00:00:00"/>
    <n v="154"/>
  </r>
  <r>
    <x v="132"/>
    <d v="2026-05-18T00:00:00"/>
    <n v="107"/>
  </r>
  <r>
    <x v="132"/>
    <d v="2026-05-25T00:00:00"/>
    <n v="141"/>
  </r>
  <r>
    <x v="132"/>
    <d v="2026-06-01T00:00:00"/>
    <n v="144"/>
  </r>
  <r>
    <x v="132"/>
    <d v="2026-06-08T00:00:00"/>
    <n v="122"/>
  </r>
  <r>
    <x v="132"/>
    <d v="2026-06-15T00:00:00"/>
    <n v="116"/>
  </r>
  <r>
    <x v="132"/>
    <d v="2026-06-22T00:00:00"/>
    <n v="162"/>
  </r>
  <r>
    <x v="132"/>
    <d v="2026-06-29T00:00:00"/>
    <n v="161"/>
  </r>
  <r>
    <x v="133"/>
    <d v="2026-01-05T00:00:00"/>
    <n v="21"/>
  </r>
  <r>
    <x v="133"/>
    <d v="2026-01-12T00:00:00"/>
    <n v="22"/>
  </r>
  <r>
    <x v="133"/>
    <d v="2026-01-19T00:00:00"/>
    <n v="13"/>
  </r>
  <r>
    <x v="133"/>
    <d v="2026-01-26T00:00:00"/>
    <n v="22"/>
  </r>
  <r>
    <x v="133"/>
    <d v="2026-02-02T00:00:00"/>
    <n v="30"/>
  </r>
  <r>
    <x v="133"/>
    <d v="2026-02-09T00:00:00"/>
    <n v="17"/>
  </r>
  <r>
    <x v="133"/>
    <d v="2026-02-16T00:00:00"/>
    <n v="13"/>
  </r>
  <r>
    <x v="133"/>
    <d v="2026-02-23T00:00:00"/>
    <n v="22"/>
  </r>
  <r>
    <x v="133"/>
    <d v="2026-03-02T00:00:00"/>
    <n v="21"/>
  </r>
  <r>
    <x v="133"/>
    <d v="2026-03-09T00:00:00"/>
    <n v="23"/>
  </r>
  <r>
    <x v="133"/>
    <d v="2026-03-16T00:00:00"/>
    <n v="19"/>
  </r>
  <r>
    <x v="133"/>
    <d v="2026-03-23T00:00:00"/>
    <n v="19"/>
  </r>
  <r>
    <x v="133"/>
    <d v="2026-03-30T00:00:00"/>
    <n v="20"/>
  </r>
  <r>
    <x v="133"/>
    <d v="2026-04-06T00:00:00"/>
    <n v="27"/>
  </r>
  <r>
    <x v="133"/>
    <d v="2026-04-13T00:00:00"/>
    <n v="25"/>
  </r>
  <r>
    <x v="133"/>
    <d v="2026-04-20T00:00:00"/>
    <n v="28"/>
  </r>
  <r>
    <x v="133"/>
    <d v="2026-04-27T00:00:00"/>
    <n v="21"/>
  </r>
  <r>
    <x v="133"/>
    <d v="2026-05-04T00:00:00"/>
    <n v="28"/>
  </r>
  <r>
    <x v="133"/>
    <d v="2026-05-11T00:00:00"/>
    <n v="24"/>
  </r>
  <r>
    <x v="133"/>
    <d v="2026-05-18T00:00:00"/>
    <n v="27"/>
  </r>
  <r>
    <x v="133"/>
    <d v="2026-05-25T00:00:00"/>
    <n v="30"/>
  </r>
  <r>
    <x v="133"/>
    <d v="2026-06-01T00:00:00"/>
    <n v="27"/>
  </r>
  <r>
    <x v="133"/>
    <d v="2026-06-08T00:00:00"/>
    <n v="26"/>
  </r>
  <r>
    <x v="133"/>
    <d v="2026-06-15T00:00:00"/>
    <n v="21"/>
  </r>
  <r>
    <x v="133"/>
    <d v="2026-06-22T00:00:00"/>
    <n v="28"/>
  </r>
  <r>
    <x v="133"/>
    <d v="2026-06-29T00:00:00"/>
    <n v="31"/>
  </r>
  <r>
    <x v="134"/>
    <d v="2026-01-05T00:00:00"/>
    <n v="82"/>
  </r>
  <r>
    <x v="134"/>
    <d v="2026-01-12T00:00:00"/>
    <n v="91"/>
  </r>
  <r>
    <x v="134"/>
    <d v="2026-01-19T00:00:00"/>
    <n v="111"/>
  </r>
  <r>
    <x v="134"/>
    <d v="2026-01-26T00:00:00"/>
    <n v="56"/>
  </r>
  <r>
    <x v="134"/>
    <d v="2026-02-02T00:00:00"/>
    <n v="84"/>
  </r>
  <r>
    <x v="134"/>
    <d v="2026-02-09T00:00:00"/>
    <n v="80"/>
  </r>
  <r>
    <x v="134"/>
    <d v="2026-02-16T00:00:00"/>
    <n v="69"/>
  </r>
  <r>
    <x v="134"/>
    <d v="2026-02-23T00:00:00"/>
    <n v="93"/>
  </r>
  <r>
    <x v="134"/>
    <d v="2026-03-02T00:00:00"/>
    <n v="96"/>
  </r>
  <r>
    <x v="134"/>
    <d v="2026-03-09T00:00:00"/>
    <n v="118"/>
  </r>
  <r>
    <x v="134"/>
    <d v="2026-03-16T00:00:00"/>
    <n v="77"/>
  </r>
  <r>
    <x v="134"/>
    <d v="2026-03-23T00:00:00"/>
    <n v="101"/>
  </r>
  <r>
    <x v="134"/>
    <d v="2026-03-30T00:00:00"/>
    <n v="93"/>
  </r>
  <r>
    <x v="134"/>
    <d v="2026-04-06T00:00:00"/>
    <n v="95"/>
  </r>
  <r>
    <x v="134"/>
    <d v="2026-04-13T00:00:00"/>
    <n v="116"/>
  </r>
  <r>
    <x v="134"/>
    <d v="2026-04-20T00:00:00"/>
    <n v="76"/>
  </r>
  <r>
    <x v="134"/>
    <d v="2026-04-27T00:00:00"/>
    <n v="113"/>
  </r>
  <r>
    <x v="134"/>
    <d v="2026-05-04T00:00:00"/>
    <n v="88"/>
  </r>
  <r>
    <x v="134"/>
    <d v="2026-05-11T00:00:00"/>
    <n v="90"/>
  </r>
  <r>
    <x v="134"/>
    <d v="2026-05-18T00:00:00"/>
    <n v="108"/>
  </r>
  <r>
    <x v="134"/>
    <d v="2026-05-25T00:00:00"/>
    <n v="108"/>
  </r>
  <r>
    <x v="134"/>
    <d v="2026-06-01T00:00:00"/>
    <n v="113"/>
  </r>
  <r>
    <x v="134"/>
    <d v="2026-06-08T00:00:00"/>
    <n v="91"/>
  </r>
  <r>
    <x v="134"/>
    <d v="2026-06-15T00:00:00"/>
    <n v="102"/>
  </r>
  <r>
    <x v="134"/>
    <d v="2026-06-22T00:00:00"/>
    <n v="99"/>
  </r>
  <r>
    <x v="134"/>
    <d v="2026-06-29T00:00:00"/>
    <n v="60"/>
  </r>
  <r>
    <x v="135"/>
    <d v="2026-01-05T00:00:00"/>
    <n v="39"/>
  </r>
  <r>
    <x v="135"/>
    <d v="2026-01-12T00:00:00"/>
    <n v="48"/>
  </r>
  <r>
    <x v="135"/>
    <d v="2026-01-19T00:00:00"/>
    <n v="44"/>
  </r>
  <r>
    <x v="135"/>
    <d v="2026-01-26T00:00:00"/>
    <n v="48"/>
  </r>
  <r>
    <x v="135"/>
    <d v="2026-02-02T00:00:00"/>
    <n v="47"/>
  </r>
  <r>
    <x v="135"/>
    <d v="2026-02-09T00:00:00"/>
    <n v="49"/>
  </r>
  <r>
    <x v="135"/>
    <d v="2026-02-16T00:00:00"/>
    <n v="49"/>
  </r>
  <r>
    <x v="135"/>
    <d v="2026-02-23T00:00:00"/>
    <n v="52"/>
  </r>
  <r>
    <x v="135"/>
    <d v="2026-03-02T00:00:00"/>
    <n v="46"/>
  </r>
  <r>
    <x v="135"/>
    <d v="2026-03-09T00:00:00"/>
    <n v="49"/>
  </r>
  <r>
    <x v="135"/>
    <d v="2026-03-16T00:00:00"/>
    <n v="45"/>
  </r>
  <r>
    <x v="135"/>
    <d v="2026-03-23T00:00:00"/>
    <n v="51"/>
  </r>
  <r>
    <x v="135"/>
    <d v="2026-03-30T00:00:00"/>
    <n v="56"/>
  </r>
  <r>
    <x v="135"/>
    <d v="2026-04-06T00:00:00"/>
    <n v="51"/>
  </r>
  <r>
    <x v="135"/>
    <d v="2026-04-13T00:00:00"/>
    <n v="57"/>
  </r>
  <r>
    <x v="135"/>
    <d v="2026-04-20T00:00:00"/>
    <n v="51"/>
  </r>
  <r>
    <x v="135"/>
    <d v="2026-04-27T00:00:00"/>
    <n v="55"/>
  </r>
  <r>
    <x v="135"/>
    <d v="2026-05-04T00:00:00"/>
    <n v="60"/>
  </r>
  <r>
    <x v="135"/>
    <d v="2026-05-11T00:00:00"/>
    <n v="56"/>
  </r>
  <r>
    <x v="135"/>
    <d v="2026-05-18T00:00:00"/>
    <n v="57"/>
  </r>
  <r>
    <x v="135"/>
    <d v="2026-05-25T00:00:00"/>
    <n v="62"/>
  </r>
  <r>
    <x v="135"/>
    <d v="2026-06-01T00:00:00"/>
    <n v="59"/>
  </r>
  <r>
    <x v="135"/>
    <d v="2026-06-08T00:00:00"/>
    <n v="61"/>
  </r>
  <r>
    <x v="135"/>
    <d v="2026-06-15T00:00:00"/>
    <n v="57"/>
  </r>
  <r>
    <x v="135"/>
    <d v="2026-06-22T00:00:00"/>
    <n v="55"/>
  </r>
  <r>
    <x v="135"/>
    <d v="2026-06-29T00:00:00"/>
    <n v="62"/>
  </r>
  <r>
    <x v="136"/>
    <d v="2026-01-05T00:00:00"/>
    <n v="68"/>
  </r>
  <r>
    <x v="136"/>
    <d v="2026-01-12T00:00:00"/>
    <n v="49"/>
  </r>
  <r>
    <x v="136"/>
    <d v="2026-01-19T00:00:00"/>
    <n v="43"/>
  </r>
  <r>
    <x v="136"/>
    <d v="2026-01-26T00:00:00"/>
    <n v="66"/>
  </r>
  <r>
    <x v="136"/>
    <d v="2026-02-02T00:00:00"/>
    <n v="60"/>
  </r>
  <r>
    <x v="136"/>
    <d v="2026-02-09T00:00:00"/>
    <n v="63"/>
  </r>
  <r>
    <x v="136"/>
    <d v="2026-02-16T00:00:00"/>
    <n v="67"/>
  </r>
  <r>
    <x v="136"/>
    <d v="2026-02-23T00:00:00"/>
    <n v="55"/>
  </r>
  <r>
    <x v="136"/>
    <d v="2026-03-02T00:00:00"/>
    <n v="51"/>
  </r>
  <r>
    <x v="136"/>
    <d v="2026-03-09T00:00:00"/>
    <n v="66"/>
  </r>
  <r>
    <x v="136"/>
    <d v="2026-03-16T00:00:00"/>
    <n v="57"/>
  </r>
  <r>
    <x v="136"/>
    <d v="2026-03-23T00:00:00"/>
    <n v="47"/>
  </r>
  <r>
    <x v="136"/>
    <d v="2026-03-30T00:00:00"/>
    <n v="65"/>
  </r>
  <r>
    <x v="136"/>
    <d v="2026-04-06T00:00:00"/>
    <n v="67"/>
  </r>
  <r>
    <x v="136"/>
    <d v="2026-04-13T00:00:00"/>
    <n v="62"/>
  </r>
  <r>
    <x v="136"/>
    <d v="2026-04-20T00:00:00"/>
    <n v="59"/>
  </r>
  <r>
    <x v="136"/>
    <d v="2026-04-27T00:00:00"/>
    <n v="88"/>
  </r>
  <r>
    <x v="136"/>
    <d v="2026-05-04T00:00:00"/>
    <n v="74"/>
  </r>
  <r>
    <x v="136"/>
    <d v="2026-05-11T00:00:00"/>
    <n v="64"/>
  </r>
  <r>
    <x v="136"/>
    <d v="2026-05-18T00:00:00"/>
    <n v="65"/>
  </r>
  <r>
    <x v="136"/>
    <d v="2026-05-25T00:00:00"/>
    <n v="69"/>
  </r>
  <r>
    <x v="136"/>
    <d v="2026-06-01T00:00:00"/>
    <n v="82"/>
  </r>
  <r>
    <x v="136"/>
    <d v="2026-06-08T00:00:00"/>
    <n v="72"/>
  </r>
  <r>
    <x v="136"/>
    <d v="2026-06-15T00:00:00"/>
    <n v="76"/>
  </r>
  <r>
    <x v="136"/>
    <d v="2026-06-22T00:00:00"/>
    <n v="81"/>
  </r>
  <r>
    <x v="136"/>
    <d v="2026-06-29T00:00:00"/>
    <n v="75"/>
  </r>
  <r>
    <x v="137"/>
    <d v="2026-01-05T00:00:00"/>
    <n v="92"/>
  </r>
  <r>
    <x v="137"/>
    <d v="2026-01-12T00:00:00"/>
    <n v="103"/>
  </r>
  <r>
    <x v="137"/>
    <d v="2026-01-19T00:00:00"/>
    <n v="140"/>
  </r>
  <r>
    <x v="137"/>
    <d v="2026-01-26T00:00:00"/>
    <n v="49"/>
  </r>
  <r>
    <x v="137"/>
    <d v="2026-02-02T00:00:00"/>
    <n v="121"/>
  </r>
  <r>
    <x v="137"/>
    <d v="2026-02-09T00:00:00"/>
    <n v="96"/>
  </r>
  <r>
    <x v="137"/>
    <d v="2026-02-16T00:00:00"/>
    <n v="49"/>
  </r>
  <r>
    <x v="137"/>
    <d v="2026-02-23T00:00:00"/>
    <n v="98"/>
  </r>
  <r>
    <x v="137"/>
    <d v="2026-03-02T00:00:00"/>
    <n v="43"/>
  </r>
  <r>
    <x v="137"/>
    <d v="2026-03-09T00:00:00"/>
    <n v="154"/>
  </r>
  <r>
    <x v="137"/>
    <d v="2026-03-16T00:00:00"/>
    <n v="70"/>
  </r>
  <r>
    <x v="137"/>
    <d v="2026-03-23T00:00:00"/>
    <n v="134"/>
  </r>
  <r>
    <x v="137"/>
    <d v="2026-03-30T00:00:00"/>
    <n v="146"/>
  </r>
  <r>
    <x v="137"/>
    <d v="2026-04-06T00:00:00"/>
    <n v="77"/>
  </r>
  <r>
    <x v="137"/>
    <d v="2026-04-13T00:00:00"/>
    <n v="68"/>
  </r>
  <r>
    <x v="137"/>
    <d v="2026-04-20T00:00:00"/>
    <n v="107"/>
  </r>
  <r>
    <x v="137"/>
    <d v="2026-04-27T00:00:00"/>
    <n v="65"/>
  </r>
  <r>
    <x v="137"/>
    <d v="2026-05-04T00:00:00"/>
    <n v="137"/>
  </r>
  <r>
    <x v="137"/>
    <d v="2026-05-11T00:00:00"/>
    <n v="112"/>
  </r>
  <r>
    <x v="137"/>
    <d v="2026-05-18T00:00:00"/>
    <n v="79"/>
  </r>
  <r>
    <x v="137"/>
    <d v="2026-05-25T00:00:00"/>
    <n v="83"/>
  </r>
  <r>
    <x v="137"/>
    <d v="2026-06-01T00:00:00"/>
    <n v="135"/>
  </r>
  <r>
    <x v="137"/>
    <d v="2026-06-08T00:00:00"/>
    <n v="58"/>
  </r>
  <r>
    <x v="137"/>
    <d v="2026-06-15T00:00:00"/>
    <n v="173"/>
  </r>
  <r>
    <x v="137"/>
    <d v="2026-06-22T00:00:00"/>
    <n v="84"/>
  </r>
  <r>
    <x v="137"/>
    <d v="2026-06-29T00:00:00"/>
    <n v="106"/>
  </r>
  <r>
    <x v="138"/>
    <d v="2026-01-05T00:00:00"/>
    <n v="42"/>
  </r>
  <r>
    <x v="138"/>
    <d v="2026-01-12T00:00:00"/>
    <n v="58"/>
  </r>
  <r>
    <x v="138"/>
    <d v="2026-01-19T00:00:00"/>
    <n v="57"/>
  </r>
  <r>
    <x v="138"/>
    <d v="2026-01-26T00:00:00"/>
    <n v="61"/>
  </r>
  <r>
    <x v="138"/>
    <d v="2026-02-02T00:00:00"/>
    <n v="63"/>
  </r>
  <r>
    <x v="138"/>
    <d v="2026-02-09T00:00:00"/>
    <n v="71"/>
  </r>
  <r>
    <x v="138"/>
    <d v="2026-02-16T00:00:00"/>
    <n v="65"/>
  </r>
  <r>
    <x v="138"/>
    <d v="2026-02-23T00:00:00"/>
    <n v="67"/>
  </r>
  <r>
    <x v="138"/>
    <d v="2026-03-02T00:00:00"/>
    <n v="64"/>
  </r>
  <r>
    <x v="138"/>
    <d v="2026-03-09T00:00:00"/>
    <n v="71"/>
  </r>
  <r>
    <x v="138"/>
    <d v="2026-03-16T00:00:00"/>
    <n v="77"/>
  </r>
  <r>
    <x v="138"/>
    <d v="2026-03-23T00:00:00"/>
    <n v="78"/>
  </r>
  <r>
    <x v="138"/>
    <d v="2026-03-30T00:00:00"/>
    <n v="69"/>
  </r>
  <r>
    <x v="138"/>
    <d v="2026-04-06T00:00:00"/>
    <n v="65"/>
  </r>
  <r>
    <x v="138"/>
    <d v="2026-04-13T00:00:00"/>
    <n v="73"/>
  </r>
  <r>
    <x v="138"/>
    <d v="2026-04-20T00:00:00"/>
    <n v="75"/>
  </r>
  <r>
    <x v="138"/>
    <d v="2026-04-27T00:00:00"/>
    <n v="80"/>
  </r>
  <r>
    <x v="138"/>
    <d v="2026-05-04T00:00:00"/>
    <n v="68"/>
  </r>
  <r>
    <x v="138"/>
    <d v="2026-05-11T00:00:00"/>
    <n v="78"/>
  </r>
  <r>
    <x v="138"/>
    <d v="2026-05-18T00:00:00"/>
    <n v="82"/>
  </r>
  <r>
    <x v="138"/>
    <d v="2026-05-25T00:00:00"/>
    <n v="80"/>
  </r>
  <r>
    <x v="138"/>
    <d v="2026-06-01T00:00:00"/>
    <n v="75"/>
  </r>
  <r>
    <x v="138"/>
    <d v="2026-06-08T00:00:00"/>
    <n v="73"/>
  </r>
  <r>
    <x v="138"/>
    <d v="2026-06-15T00:00:00"/>
    <n v="68"/>
  </r>
  <r>
    <x v="138"/>
    <d v="2026-06-22T00:00:00"/>
    <n v="68"/>
  </r>
  <r>
    <x v="138"/>
    <d v="2026-06-29T00:00:00"/>
    <n v="69"/>
  </r>
  <r>
    <x v="139"/>
    <d v="2026-01-05T00:00:00"/>
    <n v="39"/>
  </r>
  <r>
    <x v="139"/>
    <d v="2026-01-12T00:00:00"/>
    <n v="37"/>
  </r>
  <r>
    <x v="139"/>
    <d v="2026-01-19T00:00:00"/>
    <n v="41"/>
  </r>
  <r>
    <x v="139"/>
    <d v="2026-01-26T00:00:00"/>
    <n v="39"/>
  </r>
  <r>
    <x v="139"/>
    <d v="2026-02-02T00:00:00"/>
    <n v="48"/>
  </r>
  <r>
    <x v="139"/>
    <d v="2026-02-09T00:00:00"/>
    <n v="41"/>
  </r>
  <r>
    <x v="139"/>
    <d v="2026-02-16T00:00:00"/>
    <n v="38"/>
  </r>
  <r>
    <x v="139"/>
    <d v="2026-02-23T00:00:00"/>
    <n v="38"/>
  </r>
  <r>
    <x v="139"/>
    <d v="2026-03-02T00:00:00"/>
    <n v="43"/>
  </r>
  <r>
    <x v="139"/>
    <d v="2026-03-09T00:00:00"/>
    <n v="44"/>
  </r>
  <r>
    <x v="139"/>
    <d v="2026-03-16T00:00:00"/>
    <n v="35"/>
  </r>
  <r>
    <x v="139"/>
    <d v="2026-03-23T00:00:00"/>
    <n v="37"/>
  </r>
  <r>
    <x v="139"/>
    <d v="2026-03-30T00:00:00"/>
    <n v="48"/>
  </r>
  <r>
    <x v="139"/>
    <d v="2026-04-06T00:00:00"/>
    <n v="42"/>
  </r>
  <r>
    <x v="139"/>
    <d v="2026-04-13T00:00:00"/>
    <n v="50"/>
  </r>
  <r>
    <x v="139"/>
    <d v="2026-04-20T00:00:00"/>
    <n v="44"/>
  </r>
  <r>
    <x v="139"/>
    <d v="2026-04-27T00:00:00"/>
    <n v="42"/>
  </r>
  <r>
    <x v="139"/>
    <d v="2026-05-04T00:00:00"/>
    <n v="48"/>
  </r>
  <r>
    <x v="139"/>
    <d v="2026-05-11T00:00:00"/>
    <n v="48"/>
  </r>
  <r>
    <x v="139"/>
    <d v="2026-05-18T00:00:00"/>
    <n v="62"/>
  </r>
  <r>
    <x v="139"/>
    <d v="2026-05-25T00:00:00"/>
    <n v="56"/>
  </r>
  <r>
    <x v="139"/>
    <d v="2026-06-01T00:00:00"/>
    <n v="47"/>
  </r>
  <r>
    <x v="139"/>
    <d v="2026-06-08T00:00:00"/>
    <n v="50"/>
  </r>
  <r>
    <x v="139"/>
    <d v="2026-06-15T00:00:00"/>
    <n v="52"/>
  </r>
  <r>
    <x v="139"/>
    <d v="2026-06-22T00:00:00"/>
    <n v="52"/>
  </r>
  <r>
    <x v="139"/>
    <d v="2026-06-29T00:00:00"/>
    <n v="54"/>
  </r>
  <r>
    <x v="140"/>
    <d v="2026-01-05T00:00:00"/>
    <n v="86"/>
  </r>
  <r>
    <x v="140"/>
    <d v="2026-01-12T00:00:00"/>
    <n v="119"/>
  </r>
  <r>
    <x v="140"/>
    <d v="2026-01-19T00:00:00"/>
    <n v="137"/>
  </r>
  <r>
    <x v="140"/>
    <d v="2026-01-26T00:00:00"/>
    <n v="96"/>
  </r>
  <r>
    <x v="140"/>
    <d v="2026-02-02T00:00:00"/>
    <n v="81"/>
  </r>
  <r>
    <x v="140"/>
    <d v="2026-02-09T00:00:00"/>
    <n v="106"/>
  </r>
  <r>
    <x v="140"/>
    <d v="2026-02-16T00:00:00"/>
    <n v="136"/>
  </r>
  <r>
    <x v="140"/>
    <d v="2026-02-23T00:00:00"/>
    <n v="121"/>
  </r>
  <r>
    <x v="140"/>
    <d v="2026-03-02T00:00:00"/>
    <n v="145"/>
  </r>
  <r>
    <x v="140"/>
    <d v="2026-03-09T00:00:00"/>
    <n v="126"/>
  </r>
  <r>
    <x v="140"/>
    <d v="2026-03-16T00:00:00"/>
    <n v="113"/>
  </r>
  <r>
    <x v="140"/>
    <d v="2026-03-23T00:00:00"/>
    <n v="108"/>
  </r>
  <r>
    <x v="140"/>
    <d v="2026-03-30T00:00:00"/>
    <n v="130"/>
  </r>
  <r>
    <x v="140"/>
    <d v="2026-04-06T00:00:00"/>
    <n v="132"/>
  </r>
  <r>
    <x v="140"/>
    <d v="2026-04-13T00:00:00"/>
    <n v="134"/>
  </r>
  <r>
    <x v="140"/>
    <d v="2026-04-20T00:00:00"/>
    <n v="111"/>
  </r>
  <r>
    <x v="140"/>
    <d v="2026-04-27T00:00:00"/>
    <n v="106"/>
  </r>
  <r>
    <x v="140"/>
    <d v="2026-05-04T00:00:00"/>
    <n v="134"/>
  </r>
  <r>
    <x v="140"/>
    <d v="2026-05-11T00:00:00"/>
    <n v="149"/>
  </r>
  <r>
    <x v="140"/>
    <d v="2026-05-18T00:00:00"/>
    <n v="158"/>
  </r>
  <r>
    <x v="140"/>
    <d v="2026-05-25T00:00:00"/>
    <n v="99"/>
  </r>
  <r>
    <x v="140"/>
    <d v="2026-06-01T00:00:00"/>
    <n v="140"/>
  </r>
  <r>
    <x v="140"/>
    <d v="2026-06-08T00:00:00"/>
    <n v="129"/>
  </r>
  <r>
    <x v="140"/>
    <d v="2026-06-15T00:00:00"/>
    <n v="104"/>
  </r>
  <r>
    <x v="140"/>
    <d v="2026-06-22T00:00:00"/>
    <n v="153"/>
  </r>
  <r>
    <x v="140"/>
    <d v="2026-06-29T00:00:00"/>
    <n v="132"/>
  </r>
  <r>
    <x v="141"/>
    <d v="2026-01-05T00:00:00"/>
    <n v="80"/>
  </r>
  <r>
    <x v="141"/>
    <d v="2026-01-12T00:00:00"/>
    <n v="95"/>
  </r>
  <r>
    <x v="141"/>
    <d v="2026-01-19T00:00:00"/>
    <n v="72"/>
  </r>
  <r>
    <x v="141"/>
    <d v="2026-01-26T00:00:00"/>
    <n v="132"/>
  </r>
  <r>
    <x v="141"/>
    <d v="2026-02-02T00:00:00"/>
    <n v="148"/>
  </r>
  <r>
    <x v="141"/>
    <d v="2026-02-09T00:00:00"/>
    <n v="101"/>
  </r>
  <r>
    <x v="141"/>
    <d v="2026-02-16T00:00:00"/>
    <n v="102"/>
  </r>
  <r>
    <x v="141"/>
    <d v="2026-02-23T00:00:00"/>
    <n v="105"/>
  </r>
  <r>
    <x v="141"/>
    <d v="2026-03-02T00:00:00"/>
    <n v="107"/>
  </r>
  <r>
    <x v="141"/>
    <d v="2026-03-09T00:00:00"/>
    <n v="127"/>
  </r>
  <r>
    <x v="141"/>
    <d v="2026-03-16T00:00:00"/>
    <n v="144"/>
  </r>
  <r>
    <x v="141"/>
    <d v="2026-03-23T00:00:00"/>
    <n v="104"/>
  </r>
  <r>
    <x v="141"/>
    <d v="2026-03-30T00:00:00"/>
    <n v="129"/>
  </r>
  <r>
    <x v="141"/>
    <d v="2026-04-06T00:00:00"/>
    <n v="93"/>
  </r>
  <r>
    <x v="141"/>
    <d v="2026-04-13T00:00:00"/>
    <n v="150"/>
  </r>
  <r>
    <x v="141"/>
    <d v="2026-04-20T00:00:00"/>
    <n v="125"/>
  </r>
  <r>
    <x v="141"/>
    <d v="2026-04-27T00:00:00"/>
    <n v="116"/>
  </r>
  <r>
    <x v="141"/>
    <d v="2026-05-04T00:00:00"/>
    <n v="155"/>
  </r>
  <r>
    <x v="141"/>
    <d v="2026-05-11T00:00:00"/>
    <n v="129"/>
  </r>
  <r>
    <x v="141"/>
    <d v="2026-05-18T00:00:00"/>
    <n v="155"/>
  </r>
  <r>
    <x v="141"/>
    <d v="2026-05-25T00:00:00"/>
    <n v="151"/>
  </r>
  <r>
    <x v="141"/>
    <d v="2026-06-01T00:00:00"/>
    <n v="163"/>
  </r>
  <r>
    <x v="141"/>
    <d v="2026-06-08T00:00:00"/>
    <n v="123"/>
  </r>
  <r>
    <x v="141"/>
    <d v="2026-06-15T00:00:00"/>
    <n v="138"/>
  </r>
  <r>
    <x v="141"/>
    <d v="2026-06-22T00:00:00"/>
    <n v="145"/>
  </r>
  <r>
    <x v="141"/>
    <d v="2026-06-29T00:00:00"/>
    <n v="137"/>
  </r>
  <r>
    <x v="142"/>
    <d v="2026-01-05T00:00:00"/>
    <n v="107"/>
  </r>
  <r>
    <x v="142"/>
    <d v="2026-01-12T00:00:00"/>
    <n v="114"/>
  </r>
  <r>
    <x v="142"/>
    <d v="2026-01-19T00:00:00"/>
    <n v="107"/>
  </r>
  <r>
    <x v="142"/>
    <d v="2026-01-26T00:00:00"/>
    <n v="120"/>
  </r>
  <r>
    <x v="142"/>
    <d v="2026-02-02T00:00:00"/>
    <n v="102"/>
  </r>
  <r>
    <x v="142"/>
    <d v="2026-02-09T00:00:00"/>
    <n v="118"/>
  </r>
  <r>
    <x v="142"/>
    <d v="2026-02-16T00:00:00"/>
    <n v="133"/>
  </r>
  <r>
    <x v="142"/>
    <d v="2026-02-23T00:00:00"/>
    <n v="122"/>
  </r>
  <r>
    <x v="142"/>
    <d v="2026-03-02T00:00:00"/>
    <n v="129"/>
  </r>
  <r>
    <x v="142"/>
    <d v="2026-03-09T00:00:00"/>
    <n v="131"/>
  </r>
  <r>
    <x v="142"/>
    <d v="2026-03-16T00:00:00"/>
    <n v="135"/>
  </r>
  <r>
    <x v="142"/>
    <d v="2026-03-23T00:00:00"/>
    <n v="118"/>
  </r>
  <r>
    <x v="142"/>
    <d v="2026-03-30T00:00:00"/>
    <n v="111"/>
  </r>
  <r>
    <x v="142"/>
    <d v="2026-04-06T00:00:00"/>
    <n v="138"/>
  </r>
  <r>
    <x v="142"/>
    <d v="2026-04-13T00:00:00"/>
    <n v="133"/>
  </r>
  <r>
    <x v="142"/>
    <d v="2026-04-20T00:00:00"/>
    <n v="130"/>
  </r>
  <r>
    <x v="142"/>
    <d v="2026-04-27T00:00:00"/>
    <n v="126"/>
  </r>
  <r>
    <x v="142"/>
    <d v="2026-05-04T00:00:00"/>
    <n v="139"/>
  </r>
  <r>
    <x v="142"/>
    <d v="2026-05-11T00:00:00"/>
    <n v="155"/>
  </r>
  <r>
    <x v="142"/>
    <d v="2026-05-18T00:00:00"/>
    <n v="143"/>
  </r>
  <r>
    <x v="142"/>
    <d v="2026-05-25T00:00:00"/>
    <n v="140"/>
  </r>
  <r>
    <x v="142"/>
    <d v="2026-06-01T00:00:00"/>
    <n v="146"/>
  </r>
  <r>
    <x v="142"/>
    <d v="2026-06-08T00:00:00"/>
    <n v="143"/>
  </r>
  <r>
    <x v="142"/>
    <d v="2026-06-15T00:00:00"/>
    <n v="162"/>
  </r>
  <r>
    <x v="142"/>
    <d v="2026-06-22T00:00:00"/>
    <n v="150"/>
  </r>
  <r>
    <x v="142"/>
    <d v="2026-06-29T00:00:00"/>
    <n v="159"/>
  </r>
  <r>
    <x v="143"/>
    <d v="2026-01-05T00:00:00"/>
    <n v="61"/>
  </r>
  <r>
    <x v="143"/>
    <d v="2026-01-12T00:00:00"/>
    <n v="89"/>
  </r>
  <r>
    <x v="143"/>
    <d v="2026-01-19T00:00:00"/>
    <n v="91"/>
  </r>
  <r>
    <x v="143"/>
    <d v="2026-01-26T00:00:00"/>
    <n v="57"/>
  </r>
  <r>
    <x v="143"/>
    <d v="2026-02-02T00:00:00"/>
    <n v="53"/>
  </r>
  <r>
    <x v="143"/>
    <d v="2026-02-09T00:00:00"/>
    <n v="93"/>
  </r>
  <r>
    <x v="143"/>
    <d v="2026-02-16T00:00:00"/>
    <n v="54"/>
  </r>
  <r>
    <x v="143"/>
    <d v="2026-02-23T00:00:00"/>
    <n v="109"/>
  </r>
  <r>
    <x v="143"/>
    <d v="2026-03-02T00:00:00"/>
    <n v="80"/>
  </r>
  <r>
    <x v="143"/>
    <d v="2026-03-09T00:00:00"/>
    <n v="90"/>
  </r>
  <r>
    <x v="143"/>
    <d v="2026-03-16T00:00:00"/>
    <n v="90"/>
  </r>
  <r>
    <x v="143"/>
    <d v="2026-03-23T00:00:00"/>
    <n v="82"/>
  </r>
  <r>
    <x v="143"/>
    <d v="2026-03-30T00:00:00"/>
    <n v="90"/>
  </r>
  <r>
    <x v="143"/>
    <d v="2026-04-06T00:00:00"/>
    <n v="88"/>
  </r>
  <r>
    <x v="143"/>
    <d v="2026-04-13T00:00:00"/>
    <n v="114"/>
  </r>
  <r>
    <x v="143"/>
    <d v="2026-04-20T00:00:00"/>
    <n v="94"/>
  </r>
  <r>
    <x v="143"/>
    <d v="2026-04-27T00:00:00"/>
    <n v="96"/>
  </r>
  <r>
    <x v="143"/>
    <d v="2026-05-04T00:00:00"/>
    <n v="89"/>
  </r>
  <r>
    <x v="143"/>
    <d v="2026-05-11T00:00:00"/>
    <n v="88"/>
  </r>
  <r>
    <x v="143"/>
    <d v="2026-05-18T00:00:00"/>
    <n v="88"/>
  </r>
  <r>
    <x v="143"/>
    <d v="2026-05-25T00:00:00"/>
    <n v="100"/>
  </r>
  <r>
    <x v="143"/>
    <d v="2026-06-01T00:00:00"/>
    <n v="130"/>
  </r>
  <r>
    <x v="143"/>
    <d v="2026-06-08T00:00:00"/>
    <n v="120"/>
  </r>
  <r>
    <x v="143"/>
    <d v="2026-06-15T00:00:00"/>
    <n v="107"/>
  </r>
  <r>
    <x v="143"/>
    <d v="2026-06-22T00:00:00"/>
    <n v="131"/>
  </r>
  <r>
    <x v="143"/>
    <d v="2026-06-29T00:00:00"/>
    <n v="122"/>
  </r>
  <r>
    <x v="144"/>
    <d v="2026-01-05T00:00:00"/>
    <n v="16"/>
  </r>
  <r>
    <x v="144"/>
    <d v="2026-01-12T00:00:00"/>
    <n v="17"/>
  </r>
  <r>
    <x v="144"/>
    <d v="2026-01-19T00:00:00"/>
    <n v="21"/>
  </r>
  <r>
    <x v="144"/>
    <d v="2026-01-26T00:00:00"/>
    <n v="21"/>
  </r>
  <r>
    <x v="144"/>
    <d v="2026-02-02T00:00:00"/>
    <n v="21"/>
  </r>
  <r>
    <x v="144"/>
    <d v="2026-02-09T00:00:00"/>
    <n v="18"/>
  </r>
  <r>
    <x v="144"/>
    <d v="2026-02-16T00:00:00"/>
    <n v="23"/>
  </r>
  <r>
    <x v="144"/>
    <d v="2026-02-23T00:00:00"/>
    <n v="20"/>
  </r>
  <r>
    <x v="144"/>
    <d v="2026-03-02T00:00:00"/>
    <n v="21"/>
  </r>
  <r>
    <x v="144"/>
    <d v="2026-03-09T00:00:00"/>
    <n v="18"/>
  </r>
  <r>
    <x v="144"/>
    <d v="2026-03-16T00:00:00"/>
    <n v="22"/>
  </r>
  <r>
    <x v="144"/>
    <d v="2026-03-23T00:00:00"/>
    <n v="20"/>
  </r>
  <r>
    <x v="144"/>
    <d v="2026-03-30T00:00:00"/>
    <n v="24"/>
  </r>
  <r>
    <x v="144"/>
    <d v="2026-04-06T00:00:00"/>
    <n v="26"/>
  </r>
  <r>
    <x v="144"/>
    <d v="2026-04-13T00:00:00"/>
    <n v="23"/>
  </r>
  <r>
    <x v="144"/>
    <d v="2026-04-20T00:00:00"/>
    <n v="27"/>
  </r>
  <r>
    <x v="144"/>
    <d v="2026-04-27T00:00:00"/>
    <n v="23"/>
  </r>
  <r>
    <x v="144"/>
    <d v="2026-05-04T00:00:00"/>
    <n v="25"/>
  </r>
  <r>
    <x v="144"/>
    <d v="2026-05-11T00:00:00"/>
    <n v="25"/>
  </r>
  <r>
    <x v="144"/>
    <d v="2026-05-18T00:00:00"/>
    <n v="24"/>
  </r>
  <r>
    <x v="144"/>
    <d v="2026-05-25T00:00:00"/>
    <n v="26"/>
  </r>
  <r>
    <x v="144"/>
    <d v="2026-06-01T00:00:00"/>
    <n v="24"/>
  </r>
  <r>
    <x v="144"/>
    <d v="2026-06-08T00:00:00"/>
    <n v="25"/>
  </r>
  <r>
    <x v="144"/>
    <d v="2026-06-15T00:00:00"/>
    <n v="25"/>
  </r>
  <r>
    <x v="144"/>
    <d v="2026-06-22T00:00:00"/>
    <n v="23"/>
  </r>
  <r>
    <x v="144"/>
    <d v="2026-06-29T00:00:00"/>
    <n v="27"/>
  </r>
  <r>
    <x v="145"/>
    <d v="2026-01-05T00:00:00"/>
    <n v="64"/>
  </r>
  <r>
    <x v="145"/>
    <d v="2026-01-12T00:00:00"/>
    <n v="76"/>
  </r>
  <r>
    <x v="145"/>
    <d v="2026-01-19T00:00:00"/>
    <n v="72"/>
  </r>
  <r>
    <x v="145"/>
    <d v="2026-01-26T00:00:00"/>
    <n v="76"/>
  </r>
  <r>
    <x v="145"/>
    <d v="2026-02-02T00:00:00"/>
    <n v="67"/>
  </r>
  <r>
    <x v="145"/>
    <d v="2026-02-09T00:00:00"/>
    <n v="83"/>
  </r>
  <r>
    <x v="145"/>
    <d v="2026-02-16T00:00:00"/>
    <n v="68"/>
  </r>
  <r>
    <x v="145"/>
    <d v="2026-02-23T00:00:00"/>
    <n v="79"/>
  </r>
  <r>
    <x v="145"/>
    <d v="2026-03-02T00:00:00"/>
    <n v="81"/>
  </r>
  <r>
    <x v="145"/>
    <d v="2026-03-09T00:00:00"/>
    <n v="85"/>
  </r>
  <r>
    <x v="145"/>
    <d v="2026-03-16T00:00:00"/>
    <n v="77"/>
  </r>
  <r>
    <x v="145"/>
    <d v="2026-03-23T00:00:00"/>
    <n v="81"/>
  </r>
  <r>
    <x v="145"/>
    <d v="2026-03-30T00:00:00"/>
    <n v="76"/>
  </r>
  <r>
    <x v="145"/>
    <d v="2026-04-06T00:00:00"/>
    <n v="98"/>
  </r>
  <r>
    <x v="145"/>
    <d v="2026-04-13T00:00:00"/>
    <n v="98"/>
  </r>
  <r>
    <x v="145"/>
    <d v="2026-04-20T00:00:00"/>
    <n v="77"/>
  </r>
  <r>
    <x v="145"/>
    <d v="2026-04-27T00:00:00"/>
    <n v="69"/>
  </r>
  <r>
    <x v="145"/>
    <d v="2026-05-04T00:00:00"/>
    <n v="91"/>
  </r>
  <r>
    <x v="145"/>
    <d v="2026-05-11T00:00:00"/>
    <n v="85"/>
  </r>
  <r>
    <x v="145"/>
    <d v="2026-05-18T00:00:00"/>
    <n v="88"/>
  </r>
  <r>
    <x v="145"/>
    <d v="2026-05-25T00:00:00"/>
    <n v="70"/>
  </r>
  <r>
    <x v="145"/>
    <d v="2026-06-01T00:00:00"/>
    <n v="91"/>
  </r>
  <r>
    <x v="145"/>
    <d v="2026-06-08T00:00:00"/>
    <n v="89"/>
  </r>
  <r>
    <x v="145"/>
    <d v="2026-06-15T00:00:00"/>
    <n v="99"/>
  </r>
  <r>
    <x v="145"/>
    <d v="2026-06-22T00:00:00"/>
    <n v="100"/>
  </r>
  <r>
    <x v="145"/>
    <d v="2026-06-29T00:00:00"/>
    <n v="99"/>
  </r>
  <r>
    <x v="146"/>
    <d v="2026-01-05T00:00:00"/>
    <n v="34"/>
  </r>
  <r>
    <x v="146"/>
    <d v="2026-01-12T00:00:00"/>
    <n v="35"/>
  </r>
  <r>
    <x v="146"/>
    <d v="2026-01-19T00:00:00"/>
    <n v="35"/>
  </r>
  <r>
    <x v="146"/>
    <d v="2026-01-26T00:00:00"/>
    <n v="29"/>
  </r>
  <r>
    <x v="146"/>
    <d v="2026-02-02T00:00:00"/>
    <n v="26"/>
  </r>
  <r>
    <x v="146"/>
    <d v="2026-02-09T00:00:00"/>
    <n v="29"/>
  </r>
  <r>
    <x v="146"/>
    <d v="2026-02-16T00:00:00"/>
    <n v="35"/>
  </r>
  <r>
    <x v="146"/>
    <d v="2026-02-23T00:00:00"/>
    <n v="32"/>
  </r>
  <r>
    <x v="146"/>
    <d v="2026-03-02T00:00:00"/>
    <n v="35"/>
  </r>
  <r>
    <x v="146"/>
    <d v="2026-03-09T00:00:00"/>
    <n v="36"/>
  </r>
  <r>
    <x v="146"/>
    <d v="2026-03-16T00:00:00"/>
    <n v="28"/>
  </r>
  <r>
    <x v="146"/>
    <d v="2026-03-23T00:00:00"/>
    <n v="28"/>
  </r>
  <r>
    <x v="146"/>
    <d v="2026-03-30T00:00:00"/>
    <n v="42"/>
  </r>
  <r>
    <x v="146"/>
    <d v="2026-04-06T00:00:00"/>
    <n v="31"/>
  </r>
  <r>
    <x v="146"/>
    <d v="2026-04-13T00:00:00"/>
    <n v="25"/>
  </r>
  <r>
    <x v="146"/>
    <d v="2026-04-20T00:00:00"/>
    <n v="46"/>
  </r>
  <r>
    <x v="146"/>
    <d v="2026-04-27T00:00:00"/>
    <n v="30"/>
  </r>
  <r>
    <x v="146"/>
    <d v="2026-05-04T00:00:00"/>
    <n v="30"/>
  </r>
  <r>
    <x v="146"/>
    <d v="2026-05-11T00:00:00"/>
    <n v="42"/>
  </r>
  <r>
    <x v="146"/>
    <d v="2026-05-18T00:00:00"/>
    <n v="30"/>
  </r>
  <r>
    <x v="146"/>
    <d v="2026-05-25T00:00:00"/>
    <n v="32"/>
  </r>
  <r>
    <x v="146"/>
    <d v="2026-06-01T00:00:00"/>
    <n v="43"/>
  </r>
  <r>
    <x v="146"/>
    <d v="2026-06-08T00:00:00"/>
    <n v="33"/>
  </r>
  <r>
    <x v="146"/>
    <d v="2026-06-15T00:00:00"/>
    <n v="52"/>
  </r>
  <r>
    <x v="146"/>
    <d v="2026-06-22T00:00:00"/>
    <n v="39"/>
  </r>
  <r>
    <x v="146"/>
    <d v="2026-06-29T00:00:00"/>
    <n v="54"/>
  </r>
  <r>
    <x v="147"/>
    <d v="2026-01-05T00:00:00"/>
    <n v="23"/>
  </r>
  <r>
    <x v="147"/>
    <d v="2026-01-12T00:00:00"/>
    <n v="24"/>
  </r>
  <r>
    <x v="147"/>
    <d v="2026-01-19T00:00:00"/>
    <n v="19"/>
  </r>
  <r>
    <x v="147"/>
    <d v="2026-01-26T00:00:00"/>
    <n v="24"/>
  </r>
  <r>
    <x v="147"/>
    <d v="2026-02-02T00:00:00"/>
    <n v="24"/>
  </r>
  <r>
    <x v="147"/>
    <d v="2026-02-09T00:00:00"/>
    <n v="22"/>
  </r>
  <r>
    <x v="147"/>
    <d v="2026-02-16T00:00:00"/>
    <n v="27"/>
  </r>
  <r>
    <x v="147"/>
    <d v="2026-02-23T00:00:00"/>
    <n v="27"/>
  </r>
  <r>
    <x v="147"/>
    <d v="2026-03-02T00:00:00"/>
    <n v="27"/>
  </r>
  <r>
    <x v="147"/>
    <d v="2026-03-09T00:00:00"/>
    <n v="27"/>
  </r>
  <r>
    <x v="147"/>
    <d v="2026-03-16T00:00:00"/>
    <n v="22"/>
  </r>
  <r>
    <x v="147"/>
    <d v="2026-03-23T00:00:00"/>
    <n v="24"/>
  </r>
  <r>
    <x v="147"/>
    <d v="2026-03-30T00:00:00"/>
    <n v="26"/>
  </r>
  <r>
    <x v="147"/>
    <d v="2026-04-06T00:00:00"/>
    <n v="35"/>
  </r>
  <r>
    <x v="147"/>
    <d v="2026-04-13T00:00:00"/>
    <n v="29"/>
  </r>
  <r>
    <x v="147"/>
    <d v="2026-04-20T00:00:00"/>
    <n v="29"/>
  </r>
  <r>
    <x v="147"/>
    <d v="2026-04-27T00:00:00"/>
    <n v="32"/>
  </r>
  <r>
    <x v="147"/>
    <d v="2026-05-04T00:00:00"/>
    <n v="25"/>
  </r>
  <r>
    <x v="147"/>
    <d v="2026-05-11T00:00:00"/>
    <n v="26"/>
  </r>
  <r>
    <x v="147"/>
    <d v="2026-05-18T00:00:00"/>
    <n v="29"/>
  </r>
  <r>
    <x v="147"/>
    <d v="2026-05-25T00:00:00"/>
    <n v="28"/>
  </r>
  <r>
    <x v="147"/>
    <d v="2026-06-01T00:00:00"/>
    <n v="26"/>
  </r>
  <r>
    <x v="147"/>
    <d v="2026-06-08T00:00:00"/>
    <n v="31"/>
  </r>
  <r>
    <x v="147"/>
    <d v="2026-06-15T00:00:00"/>
    <n v="34"/>
  </r>
  <r>
    <x v="147"/>
    <d v="2026-06-22T00:00:00"/>
    <n v="37"/>
  </r>
  <r>
    <x v="147"/>
    <d v="2026-06-29T00:00:00"/>
    <n v="30"/>
  </r>
  <r>
    <x v="148"/>
    <d v="2026-01-05T00:00:00"/>
    <n v="46"/>
  </r>
  <r>
    <x v="148"/>
    <d v="2026-01-12T00:00:00"/>
    <n v="42"/>
  </r>
  <r>
    <x v="148"/>
    <d v="2026-01-19T00:00:00"/>
    <n v="48"/>
  </r>
  <r>
    <x v="148"/>
    <d v="2026-01-26T00:00:00"/>
    <n v="41"/>
  </r>
  <r>
    <x v="148"/>
    <d v="2026-02-02T00:00:00"/>
    <n v="41"/>
  </r>
  <r>
    <x v="148"/>
    <d v="2026-02-09T00:00:00"/>
    <n v="55"/>
  </r>
  <r>
    <x v="148"/>
    <d v="2026-02-16T00:00:00"/>
    <n v="41"/>
  </r>
  <r>
    <x v="148"/>
    <d v="2026-02-23T00:00:00"/>
    <n v="50"/>
  </r>
  <r>
    <x v="148"/>
    <d v="2026-03-02T00:00:00"/>
    <n v="54"/>
  </r>
  <r>
    <x v="148"/>
    <d v="2026-03-09T00:00:00"/>
    <n v="51"/>
  </r>
  <r>
    <x v="148"/>
    <d v="2026-03-16T00:00:00"/>
    <n v="51"/>
  </r>
  <r>
    <x v="148"/>
    <d v="2026-03-23T00:00:00"/>
    <n v="49"/>
  </r>
  <r>
    <x v="148"/>
    <d v="2026-03-30T00:00:00"/>
    <n v="50"/>
  </r>
  <r>
    <x v="148"/>
    <d v="2026-04-06T00:00:00"/>
    <n v="47"/>
  </r>
  <r>
    <x v="148"/>
    <d v="2026-04-13T00:00:00"/>
    <n v="53"/>
  </r>
  <r>
    <x v="148"/>
    <d v="2026-04-20T00:00:00"/>
    <n v="55"/>
  </r>
  <r>
    <x v="148"/>
    <d v="2026-04-27T00:00:00"/>
    <n v="47"/>
  </r>
  <r>
    <x v="148"/>
    <d v="2026-05-04T00:00:00"/>
    <n v="44"/>
  </r>
  <r>
    <x v="148"/>
    <d v="2026-05-11T00:00:00"/>
    <n v="66"/>
  </r>
  <r>
    <x v="148"/>
    <d v="2026-05-18T00:00:00"/>
    <n v="54"/>
  </r>
  <r>
    <x v="148"/>
    <d v="2026-05-25T00:00:00"/>
    <n v="50"/>
  </r>
  <r>
    <x v="148"/>
    <d v="2026-06-01T00:00:00"/>
    <n v="51"/>
  </r>
  <r>
    <x v="148"/>
    <d v="2026-06-08T00:00:00"/>
    <n v="59"/>
  </r>
  <r>
    <x v="148"/>
    <d v="2026-06-15T00:00:00"/>
    <n v="62"/>
  </r>
  <r>
    <x v="148"/>
    <d v="2026-06-22T00:00:00"/>
    <n v="53"/>
  </r>
  <r>
    <x v="148"/>
    <d v="2026-06-29T00:00:00"/>
    <n v="56"/>
  </r>
  <r>
    <x v="149"/>
    <d v="2026-01-05T00:00:00"/>
    <n v="71"/>
  </r>
  <r>
    <x v="149"/>
    <d v="2026-01-12T00:00:00"/>
    <n v="74"/>
  </r>
  <r>
    <x v="149"/>
    <d v="2026-01-19T00:00:00"/>
    <n v="83"/>
  </r>
  <r>
    <x v="149"/>
    <d v="2026-01-26T00:00:00"/>
    <n v="91"/>
  </r>
  <r>
    <x v="149"/>
    <d v="2026-02-02T00:00:00"/>
    <n v="70"/>
  </r>
  <r>
    <x v="149"/>
    <d v="2026-02-09T00:00:00"/>
    <n v="52"/>
  </r>
  <r>
    <x v="149"/>
    <d v="2026-02-16T00:00:00"/>
    <n v="35"/>
  </r>
  <r>
    <x v="149"/>
    <d v="2026-02-23T00:00:00"/>
    <n v="67"/>
  </r>
  <r>
    <x v="149"/>
    <d v="2026-03-02T00:00:00"/>
    <n v="45"/>
  </r>
  <r>
    <x v="149"/>
    <d v="2026-03-09T00:00:00"/>
    <n v="60"/>
  </r>
  <r>
    <x v="149"/>
    <d v="2026-03-16T00:00:00"/>
    <n v="66"/>
  </r>
  <r>
    <x v="149"/>
    <d v="2026-03-23T00:00:00"/>
    <n v="70"/>
  </r>
  <r>
    <x v="149"/>
    <d v="2026-03-30T00:00:00"/>
    <n v="96"/>
  </r>
  <r>
    <x v="149"/>
    <d v="2026-04-06T00:00:00"/>
    <n v="82"/>
  </r>
  <r>
    <x v="149"/>
    <d v="2026-04-13T00:00:00"/>
    <n v="77"/>
  </r>
  <r>
    <x v="149"/>
    <d v="2026-04-20T00:00:00"/>
    <n v="116"/>
  </r>
  <r>
    <x v="149"/>
    <d v="2026-04-27T00:00:00"/>
    <n v="78"/>
  </r>
  <r>
    <x v="149"/>
    <d v="2026-05-04T00:00:00"/>
    <n v="122"/>
  </r>
  <r>
    <x v="149"/>
    <d v="2026-05-11T00:00:00"/>
    <n v="78"/>
  </r>
  <r>
    <x v="149"/>
    <d v="2026-05-18T00:00:00"/>
    <n v="89"/>
  </r>
  <r>
    <x v="149"/>
    <d v="2026-05-25T00:00:00"/>
    <n v="54"/>
  </r>
  <r>
    <x v="149"/>
    <d v="2026-06-01T00:00:00"/>
    <n v="83"/>
  </r>
  <r>
    <x v="149"/>
    <d v="2026-06-08T00:00:00"/>
    <n v="59"/>
  </r>
  <r>
    <x v="149"/>
    <d v="2026-06-15T00:00:00"/>
    <n v="118"/>
  </r>
  <r>
    <x v="149"/>
    <d v="2026-06-22T00:00:00"/>
    <n v="88"/>
  </r>
  <r>
    <x v="149"/>
    <d v="2026-06-29T00:00:00"/>
    <n v="1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SKU0001"/>
    <n v="3230"/>
    <n v="58.46953467078427"/>
    <n v="62.115384615384613"/>
    <n v="8.2089069824279139"/>
    <n v="0.41428571428571426"/>
    <n v="1.7142857142857142"/>
    <n v="46.01497657635057"/>
    <n v="152.49849305986703"/>
    <n v="199"/>
    <s v="OK"/>
    <n v="-0.30493092755924911"/>
    <x v="0"/>
    <n v="8.3947323198460586E-2"/>
    <n v="0.13215577804527912"/>
    <x v="0"/>
  </r>
  <r>
    <s v="SKU0002"/>
    <n v="4708"/>
    <n v="86.477709979886924"/>
    <n v="90.538461538461533"/>
    <n v="19.561657944521503"/>
    <n v="0.38571428571428573"/>
    <n v="0.8571428571428571"/>
    <n v="64.9089430457107"/>
    <n v="142.51333865010628"/>
    <n v="84"/>
    <s v="At Risk"/>
    <n v="0.41058148805120737"/>
    <x v="1"/>
    <n v="0.13980805781395705"/>
    <n v="0.21605909369479998"/>
    <x v="1"/>
  </r>
  <r>
    <s v="SKU0003"/>
    <n v="5678"/>
    <n v="136.74413711039463"/>
    <n v="109.19230769230769"/>
    <n v="16.928128616640929"/>
    <n v="0.18571428571428572"/>
    <n v="1.4285714285714286"/>
    <n v="47.265922163116052"/>
    <n v="203.25493315212705"/>
    <n v="196"/>
    <s v="At Risk"/>
    <n v="3.5693761718920074E-2"/>
    <x v="2"/>
    <n v="9.5881138448024594E-2"/>
    <n v="0.15503041353739491"/>
    <x v="2"/>
  </r>
  <r>
    <s v="SKU0004"/>
    <n v="6762"/>
    <n v="194.22220528390659"/>
    <n v="130.03846153846155"/>
    <n v="11.921344787332613"/>
    <n v="0.41428571428571426"/>
    <n v="0.8571428571428571"/>
    <n v="90.736862669127689"/>
    <n v="202.19840113066616"/>
    <n v="177"/>
    <s v="At Risk"/>
    <n v="0.12462215818601977"/>
    <x v="2"/>
    <n v="6.3020133963995695E-2"/>
    <n v="9.1675529272596243E-2"/>
    <x v="3"/>
  </r>
  <r>
    <s v="SKU0005"/>
    <n v="4202"/>
    <n v="75.543407877601396"/>
    <n v="80.807692307692307"/>
    <n v="12.778166474950103"/>
    <n v="0.27142857142857141"/>
    <n v="2.2857142857142856"/>
    <n v="48.226711074676615"/>
    <n v="232.93000777797332"/>
    <n v="253"/>
    <s v="OK"/>
    <n v="-8.6163188734176374E-2"/>
    <x v="2"/>
    <n v="9.6586675936930669E-2"/>
    <n v="0.1581305703706343"/>
    <x v="4"/>
  </r>
  <r>
    <s v="SKU0006"/>
    <n v="3992"/>
    <n v="71.118406831095726"/>
    <n v="76.769230769230774"/>
    <n v="11.483231922443046"/>
    <n v="0.51428571428571435"/>
    <n v="2.8571428571428572"/>
    <n v="72.591197630852335"/>
    <n v="291.93185697151171"/>
    <n v="236"/>
    <s v="At Risk"/>
    <n v="0.19159216658211387"/>
    <x v="2"/>
    <n v="9.8842418087709341E-2"/>
    <n v="0.14958117734645249"/>
    <x v="5"/>
  </r>
  <r>
    <s v="SKU0007"/>
    <n v="2934"/>
    <n v="173.59725503740472"/>
    <n v="56.42307692307692"/>
    <n v="8.4908095111035351"/>
    <n v="0.21428571428571427"/>
    <n v="2.5714285714285716"/>
    <n v="30.044874380556884"/>
    <n v="175.13278646846896"/>
    <n v="137"/>
    <s v="At Risk"/>
    <n v="0.21773642295889822"/>
    <x v="1"/>
    <n v="9.9001327435691594E-2"/>
    <n v="0.15048469481165094"/>
    <x v="6"/>
  </r>
  <r>
    <s v="SKU0008"/>
    <n v="6174"/>
    <n v="81.164186019764429"/>
    <n v="118.73076923076923"/>
    <n v="21.680512341377337"/>
    <n v="0.47142857142857142"/>
    <n v="1"/>
    <n v="99.041653127252431"/>
    <n v="217.77242235802166"/>
    <n v="196"/>
    <s v="At Risk"/>
    <n v="9.9977867363882353E-2"/>
    <x v="2"/>
    <n v="0.1395184251623173"/>
    <n v="0.18260230673009745"/>
    <x v="5"/>
  </r>
  <r>
    <s v="SKU0009"/>
    <n v="1228"/>
    <n v="64.100283905645711"/>
    <n v="23.615384615384617"/>
    <n v="2.9131003838099758"/>
    <n v="0.17142857142857143"/>
    <n v="2.7142857142857144"/>
    <n v="10.359976348352014"/>
    <n v="74.458877447253116"/>
    <n v="73"/>
    <s v="At Risk"/>
    <n v="1.9593062604074157E-2"/>
    <x v="2"/>
    <n v="7.1593085035386445E-2"/>
    <n v="0.1233560423111716"/>
    <x v="7"/>
  </r>
  <r>
    <s v="SKU0010"/>
    <n v="2776"/>
    <n v="118.53211182646642"/>
    <n v="53.384615384615387"/>
    <n v="19.946081165135013"/>
    <n v="1.1285714285714286"/>
    <n v="6.1428571428571432"/>
    <n v="128.59181569091271"/>
    <n v="456.52588162497869"/>
    <n v="33"/>
    <s v="At Risk"/>
    <n v="0.9277149416314836"/>
    <x v="3"/>
    <n v="0.32005504282587621"/>
    <n v="0.37362976245930135"/>
    <x v="2"/>
  </r>
  <r>
    <s v="SKU0011"/>
    <n v="6434"/>
    <n v="147.1351444466338"/>
    <n v="123.73076923076923"/>
    <n v="18.197928876237953"/>
    <n v="0.3"/>
    <n v="2.7142857142857144"/>
    <n v="78.729602212471647"/>
    <n v="414.57026155313099"/>
    <n v="206"/>
    <s v="At Risk"/>
    <n v="0.50309991066834103"/>
    <x v="1"/>
    <n v="0.13524463590522903"/>
    <n v="0.14707682647876494"/>
    <x v="2"/>
  </r>
  <r>
    <s v="SKU0012"/>
    <n v="5080"/>
    <n v="103.97148551361057"/>
    <n v="97.692307692307693"/>
    <n v="14.877551494165253"/>
    <n v="0.31428571428571433"/>
    <n v="1.7142857142857142"/>
    <n v="59.995939168219799"/>
    <n v="227.46846664074727"/>
    <n v="284"/>
    <s v="OK"/>
    <n v="-0.24852470407925117"/>
    <x v="0"/>
    <n v="0.10468491905681614"/>
    <n v="0.15228989718436872"/>
    <x v="0"/>
  </r>
  <r>
    <s v="SKU0013"/>
    <n v="2352"/>
    <n v="178.14813422211174"/>
    <n v="45.230769230769234"/>
    <n v="15.639201238701908"/>
    <n v="1.5571428571428572"/>
    <n v="3.5714285714285716"/>
    <n v="126.02813777716754"/>
    <n v="287.56659931562911"/>
    <n v="40"/>
    <s v="At Risk"/>
    <n v="0.86090178728964084"/>
    <x v="3"/>
    <n v="0.27831971053285764"/>
    <n v="0.34576465323660677"/>
    <x v="6"/>
  </r>
  <r>
    <s v="SKU0014"/>
    <n v="5626"/>
    <n v="129.16674674099468"/>
    <n v="108.19230769230769"/>
    <n v="12.890366110453867"/>
    <n v="0.55714285714285716"/>
    <n v="2.4285714285714284"/>
    <n v="104.83723118975499"/>
    <n v="367.58997844250223"/>
    <n v="88"/>
    <s v="At Risk"/>
    <n v="0.76060283152206554"/>
    <x v="3"/>
    <n v="8.3640176612273257E-2"/>
    <n v="0.11914309238243886"/>
    <x v="2"/>
  </r>
  <r>
    <s v="SKU0015"/>
    <n v="4362"/>
    <n v="158.57379057972832"/>
    <n v="83.884615384615387"/>
    <n v="32.026647558652684"/>
    <n v="1.5714285714285714"/>
    <n v="5.1428571428571432"/>
    <n v="248.33034443159465"/>
    <n v="679.73693783818817"/>
    <n v="16"/>
    <s v="At Risk"/>
    <n v="0.97646148221562612"/>
    <x v="3"/>
    <n v="0.51021044000642113"/>
    <n v="0.38179405617834467"/>
    <x v="0"/>
  </r>
  <r>
    <s v="SKU0016"/>
    <n v="4352"/>
    <n v="105.28078927403583"/>
    <n v="83.692307692307693"/>
    <n v="8.7853024115017657"/>
    <n v="0.55714285714285716"/>
    <n v="2.1428571428571428"/>
    <n v="79.809745854989373"/>
    <n v="259.15040519564872"/>
    <n v="226"/>
    <s v="At Risk"/>
    <n v="0.12791955764306606"/>
    <x v="2"/>
    <n v="6.5346331557686835E-2"/>
    <n v="0.10497144425507625"/>
    <x v="2"/>
  </r>
  <r>
    <s v="SKU0017"/>
    <n v="5596"/>
    <n v="140.7706270250724"/>
    <n v="107.61538461538461"/>
    <n v="15.738047968098043"/>
    <n v="0.31428571428571433"/>
    <n v="2.4285714285714284"/>
    <n v="68.934656348079415"/>
    <n v="330.28630469972779"/>
    <n v="150"/>
    <s v="At Risk"/>
    <n v="0.5458485626996582"/>
    <x v="1"/>
    <n v="9.6377369569840721E-2"/>
    <n v="0.1462434764726766"/>
    <x v="1"/>
  </r>
  <r>
    <s v="SKU0018"/>
    <n v="6844"/>
    <n v="147.33622354090522"/>
    <n v="131.61538461538461"/>
    <n v="48.367821470954787"/>
    <n v="1.2285714285714284"/>
    <n v="3.8571428571428572"/>
    <n v="309.43598959802239"/>
    <n v="817.095330257363"/>
    <n v="12"/>
    <s v="At Risk"/>
    <n v="0.98531383113373039"/>
    <x v="3"/>
    <n v="0.34739808866042293"/>
    <n v="0.36749367569983182"/>
    <x v="0"/>
  </r>
  <r>
    <s v="SKU0019"/>
    <n v="5582"/>
    <n v="76.856042769431738"/>
    <n v="107.34615384615384"/>
    <n v="50.67223484922868"/>
    <n v="0.94285714285714284"/>
    <n v="5.4285714285714288"/>
    <n v="256.58797668465274"/>
    <n v="839.32424042091645"/>
    <n v="28"/>
    <s v="At Risk"/>
    <n v="0.96663982922028069"/>
    <x v="3"/>
    <n v="1.9597676827154482"/>
    <n v="0.47204518311714289"/>
    <x v="7"/>
  </r>
  <r>
    <s v="SKU0020"/>
    <n v="4654"/>
    <n v="225.26911230749124"/>
    <n v="89.5"/>
    <n v="14.230249470757707"/>
    <n v="0.55714285714285716"/>
    <n v="1.8571428571428572"/>
    <n v="88.279139064702605"/>
    <n v="254.49342477898833"/>
    <n v="204"/>
    <s v="At Risk"/>
    <n v="0.1984075809535697"/>
    <x v="2"/>
    <n v="0.1103872979019289"/>
    <n v="0.15899720079058891"/>
    <x v="1"/>
  </r>
  <r>
    <s v="SKU0021"/>
    <n v="4484"/>
    <n v="82.077841657051437"/>
    <n v="86.230769230769226"/>
    <n v="12.37192852325841"/>
    <n v="0.34285714285714286"/>
    <n v="2.7142857142857144"/>
    <n v="59.251786652344798"/>
    <n v="293.30673170728983"/>
    <n v="129"/>
    <s v="At Risk"/>
    <n v="0.56018738728186568"/>
    <x v="1"/>
    <n v="0.10016877901343593"/>
    <n v="0.14347463943118585"/>
    <x v="7"/>
  </r>
  <r>
    <s v="SKU0022"/>
    <n v="4268"/>
    <n v="209.91183516127083"/>
    <n v="82.07692307692308"/>
    <n v="13.022820207383893"/>
    <n v="0.5"/>
    <n v="2.8571428571428572"/>
    <n v="76.839512750111552"/>
    <n v="311.34500725560605"/>
    <n v="91"/>
    <s v="At Risk"/>
    <n v="0.70771973894127227"/>
    <x v="3"/>
    <n v="9.4102287189477815E-2"/>
    <n v="0.15866603814057226"/>
    <x v="0"/>
  </r>
  <r>
    <s v="SKU0023"/>
    <n v="2862"/>
    <n v="182.95926099930097"/>
    <n v="55.03846153846154"/>
    <n v="21.543408772486799"/>
    <n v="1.3285714285714287"/>
    <n v="6.1428571428571432"/>
    <n v="149.39488011545217"/>
    <n v="487.48828670885877"/>
    <n v="6"/>
    <s v="At Risk"/>
    <n v="0.98769201196503131"/>
    <x v="3"/>
    <n v="0.50134454848330923"/>
    <n v="0.39142461780898447"/>
    <x v="1"/>
  </r>
  <r>
    <s v="SKU0024"/>
    <n v="1598"/>
    <n v="55.731759878978671"/>
    <n v="30.73076923076923"/>
    <n v="3.6721404363960968"/>
    <n v="0.37142857142857144"/>
    <n v="1.8571428571428572"/>
    <n v="20.564109300588008"/>
    <n v="77.635537872016585"/>
    <n v="282"/>
    <s v="OK"/>
    <n v="-2.6323571360435665"/>
    <x v="4"/>
    <n v="7.962157602541084E-2"/>
    <n v="0.11949393159736986"/>
    <x v="2"/>
  </r>
  <r>
    <s v="SKU0025"/>
    <n v="4864"/>
    <n v="108.7176158678988"/>
    <n v="93.538461538461533"/>
    <n v="32.389171979821612"/>
    <n v="1.1428571428571428"/>
    <n v="5.2857142857142856"/>
    <n v="214.9619356804233"/>
    <n v="709.37951809800563"/>
    <n v="19"/>
    <s v="At Risk"/>
    <n v="0.97321602962129083"/>
    <x v="3"/>
    <n v="0.43666456870020764"/>
    <n v="0.34626581886322449"/>
    <x v="5"/>
  </r>
  <r>
    <s v="SKU0026"/>
    <n v="2050"/>
    <n v="66.686951446615424"/>
    <n v="39.42307692307692"/>
    <n v="6.1978904599747686"/>
    <n v="0.22857142857142859"/>
    <n v="1.7142857142857142"/>
    <n v="20.008604472587951"/>
    <n v="87.591022055005524"/>
    <n v="176"/>
    <s v="OK"/>
    <n v="-1.0093383530731641"/>
    <x v="4"/>
    <n v="0.12523830396593144"/>
    <n v="0.15721478239935999"/>
    <x v="3"/>
  </r>
  <r>
    <s v="SKU0027"/>
    <n v="1482"/>
    <n v="62.814812513776872"/>
    <n v="28.5"/>
    <n v="4.0224370722237532"/>
    <n v="0.25714285714285717"/>
    <n v="2.8571428571428572"/>
    <n v="16.494762944396527"/>
    <n v="97.923334372967958"/>
    <n v="227"/>
    <s v="OK"/>
    <n v="-1.3181400169178068"/>
    <x v="4"/>
    <n v="9.0687186964364702E-2"/>
    <n v="0.14113814288504398"/>
    <x v="7"/>
  </r>
  <r>
    <s v="SKU0028"/>
    <n v="7318"/>
    <n v="164.45956481850405"/>
    <n v="140.73076923076923"/>
    <n v="21.342085544402988"/>
    <n v="0.17142857142857143"/>
    <n v="2.2857142857142856"/>
    <n v="66.475479085595595"/>
    <n v="388.14580875592526"/>
    <n v="76"/>
    <s v="At Risk"/>
    <n v="0.80419729316775779"/>
    <x v="3"/>
    <n v="0.10814073095799118"/>
    <n v="0.15165187869758887"/>
    <x v="7"/>
  </r>
  <r>
    <s v="SKU0029"/>
    <n v="7528"/>
    <n v="134.56285988714328"/>
    <n v="144.76923076923077"/>
    <n v="23.041367480785837"/>
    <n v="0.34285714285714286"/>
    <n v="0.7142857142857143"/>
    <n v="87.975598162470249"/>
    <n v="191.38219156906365"/>
    <n v="217"/>
    <s v="OK"/>
    <n v="-0.13385680360803953"/>
    <x v="2"/>
    <n v="0.11184377499678032"/>
    <n v="0.15915928653040162"/>
    <x v="3"/>
  </r>
  <r>
    <s v="SKU0030"/>
    <n v="6708"/>
    <n v="70.050162258225484"/>
    <n v="129"/>
    <n v="15.346660874600703"/>
    <n v="0.47142857142857142"/>
    <n v="2.4285714285714284"/>
    <n v="107.82411649751361"/>
    <n v="421.10983078322789"/>
    <n v="242"/>
    <s v="At Risk"/>
    <n v="0.42532806809591478"/>
    <x v="1"/>
    <n v="8.0991884472780107E-2"/>
    <n v="0.1189663633689977"/>
    <x v="7"/>
  </r>
  <r>
    <s v="SKU0031"/>
    <n v="2042"/>
    <n v="53.797621606584521"/>
    <n v="39.269230769230766"/>
    <n v="6.514953214307476"/>
    <n v="0.18571428571428572"/>
    <n v="2.1428571428571428"/>
    <n v="19.809520449559656"/>
    <n v="103.95787209791129"/>
    <n v="292"/>
    <s v="OK"/>
    <n v="-1.8088300973011819"/>
    <x v="4"/>
    <n v="0.15070675999289898"/>
    <n v="0.16590478312634122"/>
    <x v="3"/>
  </r>
  <r>
    <s v="SKU0032"/>
    <n v="4676"/>
    <n v="162.08090130053102"/>
    <n v="89.92307692307692"/>
    <n v="16.069656068312298"/>
    <n v="0.21428571428571427"/>
    <n v="1.4285714285714286"/>
    <n v="44.891183087531893"/>
    <n v="173.35272154907034"/>
    <n v="82"/>
    <s v="At Risk"/>
    <n v="0.52697598706698956"/>
    <x v="1"/>
    <n v="0.16541334579376657"/>
    <n v="0.17870447295813505"/>
    <x v="4"/>
  </r>
  <r>
    <s v="SKU0033"/>
    <n v="2130"/>
    <n v="152.97213879502618"/>
    <n v="40.96153846153846"/>
    <n v="4.321858574555808"/>
    <n v="0.39999999999999997"/>
    <n v="1.2857142857142858"/>
    <n v="28.217932512106888"/>
    <n v="80.882767676942052"/>
    <n v="202"/>
    <s v="OK"/>
    <n v="-1.4974417394669084"/>
    <x v="4"/>
    <n v="4.905093668921108E-2"/>
    <n v="0.10551016238352208"/>
    <x v="1"/>
  </r>
  <r>
    <s v="SKU0034"/>
    <n v="5608"/>
    <n v="97.580744759109621"/>
    <n v="107.84615384615384"/>
    <n v="17.496724968272918"/>
    <n v="0.15714285714285717"/>
    <n v="1.2857142857142858"/>
    <n v="43.052418114509926"/>
    <n v="181.71175877385059"/>
    <n v="254"/>
    <s v="OK"/>
    <n v="-0.39781818036396727"/>
    <x v="0"/>
    <n v="0.12218874984754835"/>
    <n v="0.16223782067585446"/>
    <x v="6"/>
  </r>
  <r>
    <s v="SKU0035"/>
    <n v="4572"/>
    <n v="140.09229676938415"/>
    <n v="87.92307692307692"/>
    <n v="12.003076528700724"/>
    <n v="0.5"/>
    <n v="1.5714285714285714"/>
    <n v="76.667647667027282"/>
    <n v="214.83248283186242"/>
    <n v="104"/>
    <s v="At Risk"/>
    <n v="0.51590188490538891"/>
    <x v="1"/>
    <n v="0.1118199082359531"/>
    <n v="0.13651793077262417"/>
    <x v="0"/>
  </r>
  <r>
    <s v="SKU0036"/>
    <n v="2940"/>
    <n v="117.0585683546129"/>
    <n v="56.53846153846154"/>
    <n v="6.6647176638220218"/>
    <n v="0.25714285714285717"/>
    <n v="2.1428571428571428"/>
    <n v="28.889105539119395"/>
    <n v="150.04295169296554"/>
    <n v="157"/>
    <s v="OK"/>
    <n v="-4.636704509299934E-2"/>
    <x v="2"/>
    <n v="6.6886049180606033E-2"/>
    <n v="0.1178793600403895"/>
    <x v="1"/>
  </r>
  <r>
    <s v="SKU0037"/>
    <n v="5032"/>
    <n v="313.14072311731934"/>
    <n v="96.769230769230774"/>
    <n v="11.172493695886118"/>
    <n v="0.5"/>
    <n v="2.5714285714285716"/>
    <n v="85.131822967333051"/>
    <n v="333.9669878024979"/>
    <n v="274"/>
    <s v="At Risk"/>
    <n v="0.17955962712686233"/>
    <x v="2"/>
    <n v="5.7983715469251552E-2"/>
    <n v="0.11545502229453063"/>
    <x v="5"/>
  </r>
  <r>
    <s v="SKU0038"/>
    <n v="3890"/>
    <n v="126.27836711447092"/>
    <n v="74.807692307692307"/>
    <n v="14.096862716985603"/>
    <n v="0.47142857142857142"/>
    <n v="2.7142857142857144"/>
    <n v="69.674400805201415"/>
    <n v="272.72385135465197"/>
    <n v="205"/>
    <s v="At Risk"/>
    <n v="0.24832390353194084"/>
    <x v="1"/>
    <n v="9.5286030436272498E-2"/>
    <n v="0.18844135251497465"/>
    <x v="5"/>
  </r>
  <r>
    <s v="SKU0039"/>
    <n v="4490"/>
    <n v="76.836805988295666"/>
    <n v="86.34615384615384"/>
    <n v="48.824536706612847"/>
    <n v="1.4857142857142858"/>
    <n v="5.7142857142857144"/>
    <n v="286.16509448191442"/>
    <n v="779.57168788850777"/>
    <n v="40"/>
    <s v="At Risk"/>
    <n v="0.94868977334420501"/>
    <x v="3"/>
    <n v="0.56481719607869896"/>
    <n v="0.56545120462001519"/>
    <x v="1"/>
  </r>
  <r>
    <s v="SKU0040"/>
    <n v="2166"/>
    <n v="95.885580755985004"/>
    <n v="41.653846153846153"/>
    <n v="6.2797599170179019"/>
    <n v="0.51428571428571435"/>
    <n v="1.1428571428571428"/>
    <n v="37.041311296052896"/>
    <n v="84.645706900448488"/>
    <n v="64"/>
    <s v="At Risk"/>
    <n v="0.24390731268544819"/>
    <x v="1"/>
    <n v="0.11133177227644116"/>
    <n v="0.1507606258933199"/>
    <x v="1"/>
  </r>
  <r>
    <s v="SKU0041"/>
    <n v="4942"/>
    <n v="139.14342956297625"/>
    <n v="95.038461538461533"/>
    <n v="12.542665647240273"/>
    <n v="0.38571428571428573"/>
    <n v="2.7142857142857144"/>
    <n v="69.433318616518065"/>
    <n v="327.39485707805653"/>
    <n v="244"/>
    <s v="At Risk"/>
    <n v="0.25472256290871964"/>
    <x v="1"/>
    <n v="8.0533635197995793E-2"/>
    <n v="0.13197462842098223"/>
    <x v="3"/>
  </r>
  <r>
    <s v="SKU0042"/>
    <n v="5762"/>
    <n v="142.97192531602639"/>
    <n v="110.80769230769231"/>
    <n v="14.713311607572836"/>
    <n v="0.44285714285714289"/>
    <n v="1.5714285714285714"/>
    <n v="86.499104685646628"/>
    <n v="260.62547831202028"/>
    <n v="165"/>
    <s v="At Risk"/>
    <n v="0.36690763670287696"/>
    <x v="1"/>
    <n v="0.10706185119048178"/>
    <n v="0.13278240256747439"/>
    <x v="0"/>
  </r>
  <r>
    <s v="SKU0043"/>
    <n v="4862"/>
    <n v="93.953538995143418"/>
    <n v="93.5"/>
    <n v="15.250573759698355"/>
    <n v="0.54285714285714282"/>
    <n v="1.8571428571428572"/>
    <n v="90.497977604531044"/>
    <n v="264.14083474738817"/>
    <n v="278"/>
    <s v="OK"/>
    <n v="-5.246884778669713E-2"/>
    <x v="2"/>
    <n v="0.13201950680690416"/>
    <n v="0.16310774074543696"/>
    <x v="6"/>
  </r>
  <r>
    <s v="SKU0044"/>
    <n v="3372"/>
    <n v="63.068053755181801"/>
    <n v="64.84615384615384"/>
    <n v="9.0186132312780991"/>
    <n v="0.27142857142857141"/>
    <n v="2.7142857142857144"/>
    <n v="38.006135782710118"/>
    <n v="214.01712479369911"/>
    <n v="221"/>
    <s v="OK"/>
    <n v="-3.2627647030731781E-2"/>
    <x v="2"/>
    <n v="7.3620848863208341E-2"/>
    <n v="0.13907707236846417"/>
    <x v="3"/>
  </r>
  <r>
    <s v="SKU0045"/>
    <n v="5490"/>
    <n v="112.1462769488751"/>
    <n v="105.57692307692308"/>
    <n v="11.107378005355049"/>
    <n v="0.52857142857142858"/>
    <n v="1.1428571428571428"/>
    <n v="94.139557771714436"/>
    <n v="214.79889843105508"/>
    <n v="89"/>
    <s v="At Risk"/>
    <n v="0.58565895518981581"/>
    <x v="1"/>
    <n v="6.4804836053455814E-2"/>
    <n v="0.10520649476839025"/>
    <x v="3"/>
  </r>
  <r>
    <s v="SKU0046"/>
    <n v="1140"/>
    <n v="107.80053365442944"/>
    <n v="21.923076923076923"/>
    <n v="3.0584058190250309"/>
    <n v="0.45714285714285718"/>
    <n v="1.7142857142857142"/>
    <n v="17.807407296375501"/>
    <n v="55.389824878793085"/>
    <n v="74"/>
    <s v="OK"/>
    <n v="-0.33598544790366597"/>
    <x v="0"/>
    <n v="0.13337596095016821"/>
    <n v="0.13950623034149265"/>
    <x v="7"/>
  </r>
  <r>
    <s v="SKU0047"/>
    <n v="6612"/>
    <n v="73.236279368593401"/>
    <n v="127.15384615384616"/>
    <n v="17.485290521332065"/>
    <n v="0.21428571428571427"/>
    <n v="1.7142857142857142"/>
    <n v="58.720775848253808"/>
    <n v="276.69879782627578"/>
    <n v="160"/>
    <s v="At Risk"/>
    <n v="0.42175390259391243"/>
    <x v="1"/>
    <n v="0.10379721369190278"/>
    <n v="0.1375128716136218"/>
    <x v="4"/>
  </r>
  <r>
    <s v="SKU0048"/>
    <n v="7378"/>
    <n v="142.7320505424702"/>
    <n v="141.88461538461539"/>
    <n v="16.831700860167249"/>
    <n v="0.15714285714285717"/>
    <n v="2.2857142857142856"/>
    <n v="55.824535599403418"/>
    <n v="380.13222790709574"/>
    <n v="191"/>
    <s v="At Risk"/>
    <n v="0.49754326000825067"/>
    <x v="1"/>
    <n v="7.0129454648642328E-2"/>
    <n v="0.11862949914999958"/>
    <x v="4"/>
  </r>
  <r>
    <s v="SKU0049"/>
    <n v="2600"/>
    <n v="58.543411508729271"/>
    <n v="50"/>
    <n v="6.4436014774348047"/>
    <n v="0.35714285714285715"/>
    <n v="2"/>
    <n v="33.079004408431956"/>
    <n v="133.07900440843196"/>
    <n v="66"/>
    <s v="At Risk"/>
    <n v="0.50405399940143969"/>
    <x v="1"/>
    <n v="8.1927597856900181E-2"/>
    <n v="0.12887202954869609"/>
    <x v="6"/>
  </r>
  <r>
    <s v="SKU0050"/>
    <n v="3682"/>
    <n v="74.363431954343426"/>
    <n v="70.807692307692307"/>
    <n v="9.3167343238679248"/>
    <n v="0.18571428571428572"/>
    <n v="1.1428571428571428"/>
    <n v="27.218712185979474"/>
    <n v="108.14178910905639"/>
    <n v="119"/>
    <s v="OK"/>
    <n v="-0.10040716896216288"/>
    <x v="2"/>
    <n v="8.2440731160527372E-2"/>
    <n v="0.13157799696934602"/>
    <x v="0"/>
  </r>
  <r>
    <s v="SKU0051"/>
    <n v="3090"/>
    <n v="49.586765866420969"/>
    <n v="59.42307692307692"/>
    <n v="9.2527750515100191"/>
    <n v="0.5"/>
    <n v="2.5714285714285716"/>
    <n v="54.797029325526196"/>
    <n v="207.59922712772402"/>
    <n v="223"/>
    <s v="OK"/>
    <n v="-7.4185116608361731E-2"/>
    <x v="2"/>
    <n v="9.8261455435827483E-2"/>
    <n v="0.15571013031667347"/>
    <x v="1"/>
  </r>
  <r>
    <s v="SKU0052"/>
    <n v="4034"/>
    <n v="119.24593355714137"/>
    <n v="77.57692307692308"/>
    <n v="14.519429952785552"/>
    <n v="0.44285714285714289"/>
    <n v="2.8571428571428572"/>
    <n v="69.664893008148425"/>
    <n v="291.31324465650005"/>
    <n v="72"/>
    <s v="At Risk"/>
    <n v="0.75284336939469298"/>
    <x v="3"/>
    <n v="0.17904658777503152"/>
    <n v="0.18716171481032443"/>
    <x v="2"/>
  </r>
  <r>
    <s v="SKU0053"/>
    <n v="5884"/>
    <n v="389.24132503732068"/>
    <n v="113.15384615384616"/>
    <n v="10.509775669127528"/>
    <n v="0.25714285714285717"/>
    <n v="1"/>
    <n v="51.045398208018639"/>
    <n v="164.1992443618648"/>
    <n v="54"/>
    <s v="At Risk"/>
    <n v="0.67113125148740649"/>
    <x v="3"/>
    <n v="5.7903674005246375E-2"/>
    <n v="9.2880410400175292E-2"/>
    <x v="2"/>
  </r>
  <r>
    <s v="SKU0054"/>
    <n v="4448"/>
    <n v="53.760705949506061"/>
    <n v="85.538461538461533"/>
    <n v="11.093171843006006"/>
    <n v="0.25714285714285717"/>
    <n v="1"/>
    <n v="40.647142146653486"/>
    <n v="126.18560368511501"/>
    <n v="81"/>
    <s v="At Risk"/>
    <n v="0.35808842186048168"/>
    <x v="1"/>
    <n v="0.10850721594747936"/>
    <n v="0.1296863614739911"/>
    <x v="0"/>
  </r>
  <r>
    <s v="SKU0055"/>
    <n v="4754"/>
    <n v="642.6721714840312"/>
    <n v="91.42307692307692"/>
    <n v="32.676808995889523"/>
    <n v="1.3857142857142857"/>
    <n v="4.1428571428571432"/>
    <n v="236.08867420033681"/>
    <n v="614.84142145308408"/>
    <n v="7"/>
    <s v="At Risk"/>
    <n v="0.98861495052910298"/>
    <x v="3"/>
    <n v="0.36637342871707229"/>
    <n v="0.35742407820493377"/>
    <x v="6"/>
  </r>
  <r>
    <s v="SKU0056"/>
    <n v="3818"/>
    <n v="105.5155687225319"/>
    <n v="73.42307692307692"/>
    <n v="10.068457982921032"/>
    <n v="0.22857142857142859"/>
    <n v="1.4285714285714286"/>
    <n v="34.074370486555814"/>
    <n v="138.9644803766657"/>
    <n v="129"/>
    <s v="At Risk"/>
    <n v="7.1705232514501574E-2"/>
    <x v="2"/>
    <n v="0.11338946693014552"/>
    <n v="0.13712933868829064"/>
    <x v="3"/>
  </r>
  <r>
    <s v="SKU0057"/>
    <n v="1138"/>
    <n v="43.580086852110028"/>
    <n v="21.884615384615383"/>
    <n v="4.8852997703471406"/>
    <n v="0.25714285714285717"/>
    <n v="1.4285714285714286"/>
    <n v="13.380569430913456"/>
    <n v="44.644305694649717"/>
    <n v="255"/>
    <s v="OK"/>
    <n v="-4.7118146655500528"/>
    <x v="4"/>
    <n v="0.18517616491322494"/>
    <n v="0.22322986648334914"/>
    <x v="2"/>
  </r>
  <r>
    <s v="SKU0058"/>
    <n v="5698"/>
    <n v="69.56393818195447"/>
    <n v="109.57692307692308"/>
    <n v="14.513919048756097"/>
    <n v="0.35714285714285715"/>
    <n v="1.5714285714285714"/>
    <n v="71.209412153170604"/>
    <n v="243.40171984547831"/>
    <n v="112"/>
    <s v="At Risk"/>
    <n v="0.53985534666270096"/>
    <x v="1"/>
    <n v="7.6045825400777048E-2"/>
    <n v="0.13245415769310584"/>
    <x v="1"/>
  </r>
  <r>
    <s v="SKU0059"/>
    <n v="2476"/>
    <n v="209.94033372114021"/>
    <n v="47.615384615384613"/>
    <n v="6.7235521747178968"/>
    <n v="0.37142857142857144"/>
    <n v="2.8571428571428572"/>
    <n v="34.687102360570329"/>
    <n v="170.73105840452635"/>
    <n v="277"/>
    <s v="OK"/>
    <n v="-0.62243473793551019"/>
    <x v="0"/>
    <n v="0.11008552158566566"/>
    <n v="0.14120545762735487"/>
    <x v="6"/>
  </r>
  <r>
    <s v="SKU0060"/>
    <n v="4066"/>
    <n v="74.892231830853504"/>
    <n v="78.192307692307693"/>
    <n v="9.4107140250641308"/>
    <n v="0.2857142857142857"/>
    <n v="1.7142857142857142"/>
    <n v="42.096827396929214"/>
    <n v="176.14078344088523"/>
    <n v="263"/>
    <s v="OK"/>
    <n v="-0.49312382324145659"/>
    <x v="0"/>
    <n v="7.7698322534559952E-2"/>
    <n v="0.12035345039432729"/>
    <x v="4"/>
  </r>
  <r>
    <s v="SKU0061"/>
    <n v="2872"/>
    <n v="105.57485258492081"/>
    <n v="55.230769230769234"/>
    <n v="4.7015545710557918"/>
    <n v="0.14285714285714285"/>
    <n v="1.2857142857142858"/>
    <n v="15.711782573248367"/>
    <n v="86.722771584237393"/>
    <n v="210"/>
    <s v="OK"/>
    <n v="-1.4215093240651144"/>
    <x v="4"/>
    <n v="4.794351019547699E-2"/>
    <n v="8.5125639865912664E-2"/>
    <x v="5"/>
  </r>
  <r>
    <s v="SKU0062"/>
    <n v="2024"/>
    <n v="49.695135089995517"/>
    <n v="38.92307692307692"/>
    <n v="15.52268810979098"/>
    <n v="1.5999999999999999"/>
    <n v="4.7142857142857144"/>
    <n v="116.83981256693389"/>
    <n v="300.33431806143938"/>
    <n v="23"/>
    <s v="At Risk"/>
    <n v="0.92341867506698017"/>
    <x v="3"/>
    <n v="0.27259790152446356"/>
    <n v="0.39880423997486714"/>
    <x v="2"/>
  </r>
  <r>
    <s v="SKU0063"/>
    <n v="5656"/>
    <n v="76.557404939726226"/>
    <n v="108.76923076923077"/>
    <n v="11.357139401478483"/>
    <n v="0.32857142857142857"/>
    <n v="1.8571428571428572"/>
    <n v="64.260679149729228"/>
    <n v="266.26067914972924"/>
    <n v="117"/>
    <s v="At Risk"/>
    <n v="0.56058100515019671"/>
    <x v="1"/>
    <n v="7.233492918146138E-2"/>
    <n v="0.10441500156946271"/>
    <x v="3"/>
  </r>
  <r>
    <s v="SKU0064"/>
    <n v="2388"/>
    <n v="75.022742988168474"/>
    <n v="45.92307692307692"/>
    <n v="8.979635079102394"/>
    <n v="0.15714285714285717"/>
    <n v="1.7142857142857142"/>
    <n v="22.762052601238398"/>
    <n v="101.48732732651311"/>
    <n v="275"/>
    <s v="OK"/>
    <n v="-1.7096979223351514"/>
    <x v="4"/>
    <n v="0.13399924743240305"/>
    <n v="0.19553644225851111"/>
    <x v="7"/>
  </r>
  <r>
    <s v="SKU0065"/>
    <n v="896"/>
    <n v="60.338196746150622"/>
    <n v="17.23076923076923"/>
    <n v="3.4906468432964384"/>
    <n v="0.34285714285714286"/>
    <n v="1"/>
    <n v="11.322107609012518"/>
    <n v="28.552876839781746"/>
    <n v="178"/>
    <s v="OK"/>
    <n v="-5.2340478333867466"/>
    <x v="4"/>
    <n v="0.17971607528219646"/>
    <n v="0.20258218286988258"/>
    <x v="2"/>
  </r>
  <r>
    <s v="SKU0066"/>
    <n v="2888"/>
    <n v="174.0343572821308"/>
    <n v="55.53846153846154"/>
    <n v="7.4738518541954839"/>
    <n v="0.19999999999999998"/>
    <n v="1"/>
    <n v="22.090245966577751"/>
    <n v="77.628707505039287"/>
    <n v="200"/>
    <s v="OK"/>
    <n v="-1.5763664812661855"/>
    <x v="4"/>
    <n v="8.3123853900583508E-2"/>
    <n v="0.13457073975698239"/>
    <x v="3"/>
  </r>
  <r>
    <s v="SKU0067"/>
    <n v="1110"/>
    <n v="52.112412152414997"/>
    <n v="21.346153846153847"/>
    <n v="4.0491214621673937"/>
    <n v="0.39999999999999997"/>
    <n v="1"/>
    <n v="15.592343734541471"/>
    <n v="36.938497580695319"/>
    <n v="185"/>
    <s v="OK"/>
    <n v="-4.0083249757479065"/>
    <x v="4"/>
    <n v="0.13550420325782644"/>
    <n v="0.18968857300243647"/>
    <x v="1"/>
  </r>
  <r>
    <s v="SKU0068"/>
    <n v="4094"/>
    <n v="95.438147960361235"/>
    <n v="78.730769230769226"/>
    <n v="12.005191184842291"/>
    <n v="0.47142857142857142"/>
    <n v="2.4285714285714284"/>
    <n v="68.581461212173707"/>
    <n v="259.78475791547038"/>
    <n v="234"/>
    <s v="At Risk"/>
    <n v="9.9254313926532625E-2"/>
    <x v="2"/>
    <n v="7.9314597343426857E-2"/>
    <n v="0.15248410884509017"/>
    <x v="5"/>
  </r>
  <r>
    <s v="SKU0069"/>
    <n v="1514"/>
    <n v="123.83280548749111"/>
    <n v="29.115384615384617"/>
    <n v="5.3015237287174246"/>
    <n v="0.5"/>
    <n v="0.8571428571428571"/>
    <n v="25.348715077513067"/>
    <n v="50.304759033557019"/>
    <n v="233"/>
    <s v="OK"/>
    <n v="-3.6317685339586192"/>
    <x v="4"/>
    <n v="0.12018004839285934"/>
    <n v="0.1820866802465694"/>
    <x v="6"/>
  </r>
  <r>
    <s v="SKU0070"/>
    <n v="7432"/>
    <n v="163.93967377412991"/>
    <n v="142.92307692307693"/>
    <n v="25.180822984045719"/>
    <n v="0.5"/>
    <n v="0.7142857142857143"/>
    <n v="123.02917571938389"/>
    <n v="225.117087807296"/>
    <n v="199"/>
    <s v="At Risk"/>
    <n v="0.11601557243692076"/>
    <x v="2"/>
    <n v="0.12278718532937537"/>
    <n v="0.17618444499063204"/>
    <x v="4"/>
  </r>
  <r>
    <s v="SKU0071"/>
    <n v="3078"/>
    <n v="125.09676254803719"/>
    <n v="59.192307692307693"/>
    <n v="7.0881265833461757"/>
    <n v="0.3"/>
    <n v="1.1428571428571428"/>
    <n v="31.856305930058973"/>
    <n v="99.504657578410615"/>
    <n v="165"/>
    <s v="OK"/>
    <n v="-0.65821383657321197"/>
    <x v="0"/>
    <n v="6.5308368804207956E-2"/>
    <n v="0.11974742765886977"/>
    <x v="3"/>
  </r>
  <r>
    <s v="SKU0072"/>
    <n v="4590"/>
    <n v="104.247619657657"/>
    <n v="88.269230769230774"/>
    <n v="11.022005960106128"/>
    <n v="0.25714285714285717"/>
    <n v="2.8571428571428572"/>
    <n v="48.451853883458263"/>
    <n v="300.6496560812605"/>
    <n v="166"/>
    <s v="At Risk"/>
    <n v="0.44786233197907593"/>
    <x v="1"/>
    <n v="9.3085158068682949E-2"/>
    <n v="0.12486804137810863"/>
    <x v="1"/>
  </r>
  <r>
    <s v="SKU0073"/>
    <n v="6822"/>
    <n v="112.89644816929111"/>
    <n v="131.19230769230768"/>
    <n v="23.075561498293762"/>
    <n v="0.45714285714285718"/>
    <n v="1"/>
    <n v="106.02861226296235"/>
    <n v="237.22091995527003"/>
    <n v="171"/>
    <s v="At Risk"/>
    <n v="0.27915295146716629"/>
    <x v="1"/>
    <n v="0.1325114509051214"/>
    <n v="0.17589111666831952"/>
    <x v="0"/>
  </r>
  <r>
    <s v="SKU0074"/>
    <n v="6464"/>
    <n v="140.02799292474737"/>
    <n v="124.30769230769231"/>
    <n v="19.957493291030755"/>
    <n v="0.24285714285714285"/>
    <n v="1.5714285714285714"/>
    <n v="64.693442779425084"/>
    <n v="260.03410212008441"/>
    <n v="216"/>
    <s v="At Risk"/>
    <n v="0.16933972029464564"/>
    <x v="2"/>
    <n v="9.8616473476308406E-2"/>
    <n v="0.16054914157388603"/>
    <x v="2"/>
  </r>
  <r>
    <s v="SKU0075"/>
    <n v="3228"/>
    <n v="89.183103945327886"/>
    <n v="62.07692307692308"/>
    <n v="10.027654070312071"/>
    <n v="0.47142857142857142"/>
    <n v="2"/>
    <n v="53.65769226124695"/>
    <n v="177.81153841509311"/>
    <n v="207"/>
    <s v="OK"/>
    <n v="-0.16415392299664899"/>
    <x v="2"/>
    <n v="0.12717229327626689"/>
    <n v="0.16153593917479173"/>
    <x v="6"/>
  </r>
  <r>
    <s v="SKU0076"/>
    <n v="5312"/>
    <n v="227.18216477099907"/>
    <n v="102.15384615384616"/>
    <n v="13.113938562284977"/>
    <n v="0.41428571428571426"/>
    <n v="2"/>
    <n v="76.240134661928096"/>
    <n v="280.54782696962042"/>
    <n v="84"/>
    <s v="At Risk"/>
    <n v="0.70058581131303477"/>
    <x v="3"/>
    <n v="8.7909698409520204E-2"/>
    <n v="0.12837439857658486"/>
    <x v="3"/>
  </r>
  <r>
    <s v="SKU0077"/>
    <n v="1566"/>
    <n v="57.944526733711896"/>
    <n v="30.115384615384617"/>
    <n v="3.2413197691918492"/>
    <n v="0.44285714285714289"/>
    <n v="1.1428571428571428"/>
    <n v="22.736354535922697"/>
    <n v="57.153936953505109"/>
    <n v="222"/>
    <s v="OK"/>
    <n v="-2.884246857405425"/>
    <x v="4"/>
    <n v="9.3752886661511395E-2"/>
    <n v="0.10763003065004863"/>
    <x v="1"/>
  </r>
  <r>
    <s v="SKU0078"/>
    <n v="4694"/>
    <n v="152.14502244960806"/>
    <n v="90.269230769230774"/>
    <n v="13.898367363996933"/>
    <n v="0.47142857142857142"/>
    <n v="2.7142857142857144"/>
    <n v="79.735711271065341"/>
    <n v="324.75219478754889"/>
    <n v="278"/>
    <s v="At Risk"/>
    <n v="0.1439626753504589"/>
    <x v="2"/>
    <n v="0.11206519406050135"/>
    <n v="0.15396572282229237"/>
    <x v="6"/>
  </r>
  <r>
    <s v="SKU0079"/>
    <n v="5038"/>
    <n v="102.0708803169079"/>
    <n v="96.884615384615387"/>
    <n v="13.411418785727101"/>
    <n v="0.34285714285714286"/>
    <n v="2"/>
    <n v="63.114173473838939"/>
    <n v="256.88340424306972"/>
    <n v="259"/>
    <s v="OK"/>
    <n v="-8.2395192603703701E-3"/>
    <x v="2"/>
    <n v="7.6756244175061661E-2"/>
    <n v="0.13842671235764376"/>
    <x v="3"/>
  </r>
  <r>
    <s v="SKU0080"/>
    <n v="964"/>
    <n v="30.293662782488958"/>
    <n v="18.53846153846154"/>
    <n v="2.4368958817441424"/>
    <n v="0.17142857142857143"/>
    <n v="1.5714285714285714"/>
    <n v="7.2734297956764413"/>
    <n v="36.405297927544574"/>
    <n v="73"/>
    <s v="OK"/>
    <n v="-1.0052026533414948"/>
    <x v="4"/>
    <n v="7.7316579476022204E-2"/>
    <n v="0.13145081519781679"/>
    <x v="6"/>
  </r>
  <r>
    <s v="SKU0081"/>
    <n v="4150"/>
    <n v="78.20392585358185"/>
    <n v="79.807692307692307"/>
    <n v="14.677926912937629"/>
    <n v="0.52857142857142858"/>
    <n v="1.8571428571428572"/>
    <n v="77.032227571544709"/>
    <n v="225.24651328583042"/>
    <n v="230"/>
    <s v="OK"/>
    <n v="-2.1103486330718756E-2"/>
    <x v="2"/>
    <n v="0.12595230510482699"/>
    <n v="0.18391619264403777"/>
    <x v="5"/>
  </r>
  <r>
    <s v="SKU0082"/>
    <n v="2358"/>
    <n v="146.41645198329576"/>
    <n v="45.346153846153847"/>
    <n v="7.5362712673698713"/>
    <n v="0.21428571428571427"/>
    <n v="0.7142857142857143"/>
    <n v="19.170476665209399"/>
    <n v="51.56058655531929"/>
    <n v="293"/>
    <s v="OK"/>
    <n v="-4.6826351206389143"/>
    <x v="4"/>
    <n v="9.9846089996774065E-2"/>
    <n v="0.16619427731265196"/>
    <x v="7"/>
  </r>
  <r>
    <s v="SKU0083"/>
    <n v="1672"/>
    <n v="51.392430790384488"/>
    <n v="32.153846153846153"/>
    <n v="13.472022291229505"/>
    <n v="1.157142857142857"/>
    <n v="4.8571428571428568"/>
    <n v="78.542072939616091"/>
    <n v="234.71789711544022"/>
    <n v="25"/>
    <s v="At Risk"/>
    <n v="0.89348916163941106"/>
    <x v="3"/>
    <n v="0.55367775348353521"/>
    <n v="0.41898633920091766"/>
    <x v="6"/>
  </r>
  <r>
    <s v="SKU0084"/>
    <n v="3438"/>
    <n v="41.887361994884699"/>
    <n v="66.115384615384613"/>
    <n v="9.949178551325419"/>
    <n v="0.19999999999999998"/>
    <n v="2.4285714285714284"/>
    <n v="33.622964154479135"/>
    <n v="194.18889822041319"/>
    <n v="287"/>
    <s v="OK"/>
    <n v="-0.47794236761280762"/>
    <x v="0"/>
    <n v="0.12843784213719256"/>
    <n v="0.15048204906018667"/>
    <x v="0"/>
  </r>
  <r>
    <s v="SKU0085"/>
    <n v="1970"/>
    <n v="84.263527219930538"/>
    <n v="37.884615384615387"/>
    <n v="5.1328504601394496"/>
    <n v="0.17142857142857143"/>
    <n v="2.2857142857142856"/>
    <n v="16.696694120507726"/>
    <n v="103.29010071391433"/>
    <n v="149"/>
    <s v="OK"/>
    <n v="-0.44253901361457421"/>
    <x v="0"/>
    <n v="9.3029367396704449E-2"/>
    <n v="0.13548640808489917"/>
    <x v="3"/>
  </r>
  <r>
    <s v="SKU0086"/>
    <n v="1266"/>
    <n v="72.299205404825372"/>
    <n v="24.346153846153847"/>
    <n v="2.8557634032574564"/>
    <n v="0.25714285714285717"/>
    <n v="0.8571428571428571"/>
    <n v="11.213135011171973"/>
    <n v="32.08126687930384"/>
    <n v="63"/>
    <s v="OK"/>
    <n v="-0.96376284755270525"/>
    <x v="4"/>
    <n v="0.10055901338824162"/>
    <n v="0.11729833883837894"/>
    <x v="0"/>
  </r>
  <r>
    <s v="SKU0087"/>
    <n v="2434"/>
    <n v="46.914522257616063"/>
    <n v="46.807692307692307"/>
    <n v="6.8353155348921852"/>
    <n v="0.35714285714285715"/>
    <n v="2.5714285714285716"/>
    <n v="32.983507846453385"/>
    <n v="153.34614520909076"/>
    <n v="98"/>
    <s v="At Risk"/>
    <n v="0.36092296375383354"/>
    <x v="1"/>
    <n v="7.5767986462657241E-2"/>
    <n v="0.1460297484857821"/>
    <x v="2"/>
  </r>
  <r>
    <s v="SKU0088"/>
    <n v="4864"/>
    <n v="109.50558285337026"/>
    <n v="93.538461538461533"/>
    <n v="19.206729589871912"/>
    <n v="0.52857142857142858"/>
    <n v="2.4285714285714284"/>
    <n v="95.363487155862018"/>
    <n v="322.52832232069716"/>
    <n v="290"/>
    <s v="At Risk"/>
    <n v="0.10085415781983176"/>
    <x v="2"/>
    <n v="0.12346400558159824"/>
    <n v="0.2053351025233017"/>
    <x v="7"/>
  </r>
  <r>
    <s v="SKU0089"/>
    <n v="1354"/>
    <n v="30.802180613415427"/>
    <n v="26.03846153846154"/>
    <n v="6.1480453429087163"/>
    <n v="0.39999999999999997"/>
    <n v="2.7142857142857144"/>
    <n v="23.971953939914442"/>
    <n v="94.647778115738632"/>
    <n v="85"/>
    <s v="At Risk"/>
    <n v="0.10193348758743168"/>
    <x v="2"/>
    <n v="0.17457943808191873"/>
    <n v="0.23611400135247654"/>
    <x v="3"/>
  </r>
  <r>
    <s v="SKU0090"/>
    <n v="3920"/>
    <n v="130.74151502105212"/>
    <n v="75.384615384615387"/>
    <n v="11.859433116559735"/>
    <n v="0.34285714285714286"/>
    <n v="1.4285714285714286"/>
    <n v="48.638539398227195"/>
    <n v="156.33084709053489"/>
    <n v="137"/>
    <s v="At Risk"/>
    <n v="0.12365344044569744"/>
    <x v="2"/>
    <n v="0.10481972379114561"/>
    <n v="0.15731901072987403"/>
    <x v="2"/>
  </r>
  <r>
    <s v="SKU0091"/>
    <n v="1558"/>
    <n v="84.155949996360476"/>
    <n v="29.96153846153846"/>
    <n v="4.1132057495901613"/>
    <n v="0.31428571428571433"/>
    <n v="1.8571428571428572"/>
    <n v="18.081633376015024"/>
    <n v="73.724490518872159"/>
    <n v="111"/>
    <s v="OK"/>
    <n v="-0.50560552156797844"/>
    <x v="0"/>
    <n v="7.8067021316453461E-2"/>
    <n v="0.13728286198888856"/>
    <x v="2"/>
  </r>
  <r>
    <s v="SKU0092"/>
    <n v="2648"/>
    <n v="111.56961564238652"/>
    <n v="50.92307692307692"/>
    <n v="7.7093350007537129"/>
    <n v="0.17142857142857143"/>
    <n v="1.4285714285714286"/>
    <n v="20.943475320667936"/>
    <n v="93.690728067920674"/>
    <n v="178"/>
    <s v="OK"/>
    <n v="-0.89986782759292572"/>
    <x v="4"/>
    <n v="0.12733747789005964"/>
    <n v="0.15139177493927231"/>
    <x v="2"/>
  </r>
  <r>
    <s v="SKU0093"/>
    <n v="1628"/>
    <n v="66.393322208117027"/>
    <n v="31.307692307692307"/>
    <n v="6.3609384890547744"/>
    <n v="0.32857142857142857"/>
    <n v="2.7142857142857144"/>
    <n v="24.229883500855721"/>
    <n v="109.20790547887771"/>
    <n v="190"/>
    <s v="OK"/>
    <n v="-0.73980078792691972"/>
    <x v="0"/>
    <n v="0.12389903836085926"/>
    <n v="0.20317493945383802"/>
    <x v="6"/>
  </r>
  <r>
    <s v="SKU0094"/>
    <n v="4798"/>
    <n v="122.3892231825152"/>
    <n v="92.269230769230774"/>
    <n v="48.268049633112533"/>
    <n v="1.0571428571428572"/>
    <n v="4.4285714285714288"/>
    <n v="232.36371124764517"/>
    <n v="640.98459036852432"/>
    <n v="21"/>
    <s v="At Risk"/>
    <n v="0.9672379019471804"/>
    <x v="3"/>
    <n v="0.51593348703581643"/>
    <n v="0.52312183845807658"/>
    <x v="3"/>
  </r>
  <r>
    <s v="SKU0095"/>
    <n v="6316"/>
    <n v="120.26124980897369"/>
    <n v="121.46153846153847"/>
    <n v="23.546092277455774"/>
    <n v="0.45714285714285718"/>
    <n v="2.5714285714285716"/>
    <n v="110.79235337744305"/>
    <n v="423.12202370711339"/>
    <n v="103"/>
    <s v="At Risk"/>
    <n v="0.75657140439634274"/>
    <x v="3"/>
    <n v="0.1443325614437112"/>
    <n v="0.19385636453890123"/>
    <x v="3"/>
  </r>
  <r>
    <s v="SKU0096"/>
    <n v="3252"/>
    <n v="149.57271524891482"/>
    <n v="62.53846153846154"/>
    <n v="8.0310934211015912"/>
    <n v="0.19999999999999998"/>
    <n v="2.2857142857142856"/>
    <n v="28.762459141646641"/>
    <n v="171.70751408670159"/>
    <n v="178"/>
    <s v="OK"/>
    <n v="-3.6646537845286688E-2"/>
    <x v="2"/>
    <n v="7.3803923647807773E-2"/>
    <n v="0.12841846798809431"/>
    <x v="4"/>
  </r>
  <r>
    <s v="SKU0097"/>
    <n v="3640"/>
    <n v="279.35723890042664"/>
    <n v="70"/>
    <n v="12.856126943990558"/>
    <n v="0.32857142857142857"/>
    <n v="2.7142857142857144"/>
    <n v="51.590335058308852"/>
    <n v="241.59033505830885"/>
    <n v="129"/>
    <s v="At Risk"/>
    <n v="0.4660382420974527"/>
    <x v="1"/>
    <n v="0.14996981516434293"/>
    <n v="0.18365895634272225"/>
    <x v="3"/>
  </r>
  <r>
    <s v="SKU0098"/>
    <n v="3894"/>
    <n v="174.62660249630125"/>
    <n v="74.884615384615387"/>
    <n v="10.926397111864175"/>
    <n v="0.55714285714285716"/>
    <n v="2.8571428571428572"/>
    <n v="75.28378641401379"/>
    <n v="289.23983037005775"/>
    <n v="175"/>
    <s v="At Risk"/>
    <n v="0.39496576326952482"/>
    <x v="1"/>
    <n v="0.11611175051132376"/>
    <n v="0.14590977139623448"/>
    <x v="1"/>
  </r>
  <r>
    <s v="SKU0099"/>
    <n v="5990"/>
    <n v="340.70974187000905"/>
    <n v="115.19230769230769"/>
    <n v="23.903170050466894"/>
    <n v="0.55714285714285716"/>
    <n v="2.7142857142857144"/>
    <n v="124.24102823697288"/>
    <n v="436.90586340180812"/>
    <n v="113"/>
    <s v="At Risk"/>
    <n v="0.74136304987951707"/>
    <x v="3"/>
    <n v="0.12413499732915365"/>
    <n v="0.20750665152325184"/>
    <x v="1"/>
  </r>
  <r>
    <s v="SKU0100"/>
    <n v="5172"/>
    <n v="112.78480159720856"/>
    <n v="99.461538461538467"/>
    <n v="15.892717248427385"/>
    <n v="0.54285714285714282"/>
    <n v="1.1428571428571428"/>
    <n v="93.395670674677703"/>
    <n v="207.06600034500735"/>
    <n v="234"/>
    <s v="OK"/>
    <n v="-0.13007446712698367"/>
    <x v="2"/>
    <n v="0.13256574437049506"/>
    <n v="0.15978756707622274"/>
    <x v="0"/>
  </r>
  <r>
    <s v="SKU0101"/>
    <n v="1346"/>
    <n v="197.19139039127558"/>
    <n v="25.884615384615383"/>
    <n v="4.1019695081940704"/>
    <n v="0.24285714285714285"/>
    <n v="1.2857142857142858"/>
    <n v="12.902824674228279"/>
    <n v="46.183044454448059"/>
    <n v="285"/>
    <s v="OK"/>
    <n v="-5.1710959804978947"/>
    <x v="4"/>
    <n v="0.11458159748676355"/>
    <n v="0.15847133315460005"/>
    <x v="6"/>
  </r>
  <r>
    <s v="SKU0102"/>
    <n v="1122"/>
    <n v="49.234378917466685"/>
    <n v="21.576923076923077"/>
    <n v="9.691947490254277"/>
    <n v="1.3142857142857143"/>
    <n v="4.1428571428571432"/>
    <n v="56.998948039250777"/>
    <n v="146.38905792936066"/>
    <n v="32"/>
    <s v="At Risk"/>
    <n v="0.78140442699316059"/>
    <x v="3"/>
    <n v="0.46031099915616053"/>
    <n v="0.44918116710625883"/>
    <x v="1"/>
  </r>
  <r>
    <s v="SKU0103"/>
    <n v="3484"/>
    <n v="157.32439362918151"/>
    <n v="67"/>
    <n v="12.396773773849388"/>
    <n v="0.31428571428571433"/>
    <n v="1.5714285714285714"/>
    <n v="43.181493272286104"/>
    <n v="148.46720755800038"/>
    <n v="107"/>
    <s v="At Risk"/>
    <n v="0.27930213169666274"/>
    <x v="1"/>
    <n v="0.14707159854644289"/>
    <n v="0.18502647423655802"/>
    <x v="0"/>
  </r>
  <r>
    <s v="SKU0104"/>
    <n v="4518"/>
    <n v="417.55154767289366"/>
    <n v="86.884615384615387"/>
    <n v="13.842909876400762"/>
    <n v="0.41428571428571426"/>
    <n v="2.1428571428571428"/>
    <n v="68.15661399204447"/>
    <n v="254.33793267336316"/>
    <n v="276"/>
    <s v="OK"/>
    <n v="-8.5170415198965385E-2"/>
    <x v="2"/>
    <n v="0.15248900518763878"/>
    <n v="0.15932521327420088"/>
    <x v="1"/>
  </r>
  <r>
    <s v="SKU0105"/>
    <n v="6026"/>
    <n v="117.28710278101543"/>
    <n v="115.88461538461539"/>
    <n v="19.938559472693981"/>
    <n v="0.44285714285714289"/>
    <n v="2.5714285714285716"/>
    <n v="99.767544046033407"/>
    <n v="397.75655503504447"/>
    <n v="128"/>
    <s v="At Risk"/>
    <n v="0.67819512116218295"/>
    <x v="3"/>
    <n v="0.10521467135281505"/>
    <n v="0.17205527590110969"/>
    <x v="3"/>
  </r>
  <r>
    <s v="SKU0106"/>
    <n v="6022"/>
    <n v="444.48317971792159"/>
    <n v="115.80769230769231"/>
    <n v="12.425841559489545"/>
    <n v="0.17142857142857143"/>
    <n v="2.5714285714285716"/>
    <n v="46.410605090294119"/>
    <n v="344.20181388150291"/>
    <n v="108"/>
    <s v="At Risk"/>
    <n v="0.68623059018166366"/>
    <x v="3"/>
    <n v="6.4850452993615859E-2"/>
    <n v="0.10729720376842516"/>
    <x v="1"/>
  </r>
  <r>
    <s v="SKU0107"/>
    <n v="6282"/>
    <n v="93.622812390197382"/>
    <n v="120.80769230769231"/>
    <n v="12.445141158763027"/>
    <n v="0.45714285714285718"/>
    <n v="2.1428571428571428"/>
    <n v="95.953442297498"/>
    <n v="354.82706867112432"/>
    <n v="142"/>
    <s v="At Risk"/>
    <n v="0.59980505283373864"/>
    <x v="1"/>
    <n v="5.5010417856546867E-2"/>
    <n v="0.1030161318458576"/>
    <x v="4"/>
  </r>
  <r>
    <s v="SKU0108"/>
    <n v="5898"/>
    <n v="218.7003332160065"/>
    <n v="113.42307692307692"/>
    <n v="41.872351810638065"/>
    <n v="0.91428571428571437"/>
    <n v="5.2857142857142856"/>
    <n v="233.46962573635662"/>
    <n v="832.99160375833469"/>
    <n v="36"/>
    <s v="At Risk"/>
    <n v="0.95678227747125744"/>
    <x v="3"/>
    <n v="0.47316915775835611"/>
    <n v="0.36916959887303824"/>
    <x v="4"/>
  </r>
  <r>
    <s v="SKU0109"/>
    <n v="1926"/>
    <n v="122.90481891364198"/>
    <n v="37.03846153846154"/>
    <n v="5.517106264923811"/>
    <n v="0.25714285714285717"/>
    <n v="1.7142857142857142"/>
    <n v="19.723549871094971"/>
    <n v="83.218055365600463"/>
    <n v="277"/>
    <s v="OK"/>
    <n v="-2.3286045772526243"/>
    <x v="4"/>
    <n v="9.2663879852576292E-2"/>
    <n v="0.14895614007063249"/>
    <x v="3"/>
  </r>
  <r>
    <s v="SKU0110"/>
    <n v="7456"/>
    <n v="305.26863200378108"/>
    <n v="143.38461538461539"/>
    <n v="27.767717836476134"/>
    <n v="0.35714285714285715"/>
    <n v="1.7142857142857142"/>
    <n v="103.62385829629957"/>
    <n v="349.42605609849738"/>
    <n v="283"/>
    <s v="At Risk"/>
    <n v="0.19010046600466735"/>
    <x v="2"/>
    <n v="0.15130269328029891"/>
    <n v="0.19365897632735501"/>
    <x v="2"/>
  </r>
  <r>
    <s v="SKU0111"/>
    <n v="3198"/>
    <n v="52.661328424922985"/>
    <n v="61.5"/>
    <n v="9.1749659399912762"/>
    <n v="0.15714285714285717"/>
    <n v="1.5714285714285714"/>
    <n v="24.787441832035242"/>
    <n v="121.43029897489238"/>
    <n v="202"/>
    <s v="OK"/>
    <n v="-0.66350574531457485"/>
    <x v="0"/>
    <n v="0.11231678958641672"/>
    <n v="0.14918643804863863"/>
    <x v="1"/>
  </r>
  <r>
    <s v="SKU0112"/>
    <n v="3248"/>
    <n v="131.94908390073849"/>
    <n v="62.46153846153846"/>
    <n v="20.284438901247952"/>
    <n v="1.6285714285714286"/>
    <n v="5"/>
    <n v="183.77235041947472"/>
    <n v="496.08004272716704"/>
    <n v="25"/>
    <s v="At Risk"/>
    <n v="0.94960490677559983"/>
    <x v="3"/>
    <n v="0.37383422083131745"/>
    <n v="0.32475086910864948"/>
    <x v="5"/>
  </r>
  <r>
    <s v="SKU0113"/>
    <n v="2872"/>
    <n v="85.214862162349263"/>
    <n v="55.230769230769234"/>
    <n v="7.8450376279923359"/>
    <n v="0.42857142857142855"/>
    <n v="1.4285714285714286"/>
    <n v="42.008798636750271"/>
    <n v="120.90989753784918"/>
    <n v="184"/>
    <s v="OK"/>
    <n v="-0.52179435883155334"/>
    <x v="0"/>
    <n v="9.6083670967203355E-2"/>
    <n v="0.14204107125891416"/>
    <x v="0"/>
  </r>
  <r>
    <s v="SKU0114"/>
    <n v="4572"/>
    <n v="416.72193656417119"/>
    <n v="87.92307692307692"/>
    <n v="10.345716319030124"/>
    <n v="0.5714285714285714"/>
    <n v="2.2857142857142856"/>
    <n v="86.823292597501265"/>
    <n v="287.79032556453421"/>
    <n v="163"/>
    <s v="At Risk"/>
    <n v="0.43361542928777563"/>
    <x v="1"/>
    <n v="6.754853959539836E-2"/>
    <n v="0.11766781465213615"/>
    <x v="6"/>
  </r>
  <r>
    <s v="SKU0115"/>
    <n v="3882"/>
    <n v="167.3541135813272"/>
    <n v="74.65384615384616"/>
    <n v="7.2329374817832468"/>
    <n v="0.55714285714285716"/>
    <n v="2.5714285714285716"/>
    <n v="71.246591893826633"/>
    <n v="263.21362486085962"/>
    <n v="81"/>
    <s v="At Risk"/>
    <n v="0.69226517038083291"/>
    <x v="3"/>
    <n v="5.3260354541216304E-2"/>
    <n v="9.6886334119713757E-2"/>
    <x v="5"/>
  </r>
  <r>
    <s v="SKU0116"/>
    <n v="6572"/>
    <n v="191.32509814924487"/>
    <n v="126.38461538461539"/>
    <n v="16.010189063410678"/>
    <n v="0.18571428571428572"/>
    <n v="2.5714285714285716"/>
    <n v="57.396106888102835"/>
    <n v="382.38511787711388"/>
    <n v="230"/>
    <s v="At Risk"/>
    <n v="0.39851215633890202"/>
    <x v="1"/>
    <n v="6.9954814419728784E-2"/>
    <n v="0.12667830664901936"/>
    <x v="3"/>
  </r>
  <r>
    <s v="SKU0117"/>
    <n v="2228"/>
    <n v="128.00710959091339"/>
    <n v="42.846153846153847"/>
    <n v="4.2491628134709876"/>
    <n v="0.3"/>
    <n v="2.1428571428571428"/>
    <n v="23.56159967729991"/>
    <n v="115.37478649048673"/>
    <n v="279"/>
    <s v="OK"/>
    <n v="-1.4182059918525185"/>
    <x v="4"/>
    <n v="5.0740724605096439E-2"/>
    <n v="9.917256117616309E-2"/>
    <x v="6"/>
  </r>
  <r>
    <s v="SKU0118"/>
    <n v="4422"/>
    <n v="313.27678361833028"/>
    <n v="85.038461538461533"/>
    <n v="12.356312619000107"/>
    <n v="0.15714285714285717"/>
    <n v="2.4285714285714284"/>
    <n v="38.673596417851584"/>
    <n v="245.19557443982956"/>
    <n v="58"/>
    <s v="At Risk"/>
    <n v="0.763454131941386"/>
    <x v="3"/>
    <n v="0.12208176695768709"/>
    <n v="0.1453026359538683"/>
    <x v="6"/>
  </r>
  <r>
    <s v="SKU0119"/>
    <n v="1028"/>
    <n v="184.62868740363558"/>
    <n v="19.76923076923077"/>
    <n v="3.2778980131504074"/>
    <n v="0.52857142857142858"/>
    <n v="1"/>
    <n v="18.069996086964178"/>
    <n v="37.839226856194948"/>
    <n v="136"/>
    <s v="OK"/>
    <n v="-2.594153773724222"/>
    <x v="4"/>
    <n v="0.15391416020599274"/>
    <n v="0.16580807070410619"/>
    <x v="6"/>
  </r>
  <r>
    <s v="SKU0120"/>
    <n v="2776"/>
    <n v="144.56742041609641"/>
    <n v="53.384615384615387"/>
    <n v="8.4193915365751799"/>
    <n v="0.45714285714285718"/>
    <n v="1.8571428571428572"/>
    <n v="44.495585184982012"/>
    <n v="143.63844232783916"/>
    <n v="226"/>
    <s v="OK"/>
    <n v="-0.57339495150037567"/>
    <x v="0"/>
    <n v="0.12014283534650459"/>
    <n v="0.15771194520962151"/>
    <x v="7"/>
  </r>
  <r>
    <s v="SKU0121"/>
    <n v="1764"/>
    <n v="41.651430095007257"/>
    <n v="33.92307692307692"/>
    <n v="6.260498874198932"/>
    <n v="0.15714285714285717"/>
    <n v="1"/>
    <n v="13.567269530557457"/>
    <n v="47.490346453634373"/>
    <n v="109"/>
    <s v="OK"/>
    <n v="-1.2952033021367519"/>
    <x v="4"/>
    <n v="0.11835676576137219"/>
    <n v="0.18454985343443567"/>
    <x v="7"/>
  </r>
  <r>
    <s v="SKU0122"/>
    <n v="6792"/>
    <n v="157.78845616902905"/>
    <n v="130.61538461538461"/>
    <n v="17.68858823779204"/>
    <n v="0.48571428571428571"/>
    <n v="2.4285714285714284"/>
    <n v="114.13329285301168"/>
    <n v="431.34208406180289"/>
    <n v="283"/>
    <s v="At Risk"/>
    <n v="0.3439082100798409"/>
    <x v="1"/>
    <n v="8.4940338941254537E-2"/>
    <n v="0.13542499828698265"/>
    <x v="0"/>
  </r>
  <r>
    <s v="SKU0123"/>
    <n v="2180"/>
    <n v="44.996549510329515"/>
    <n v="41.92307692307692"/>
    <n v="5.2070957504012005"/>
    <n v="0.48571428571428571"/>
    <n v="0.7142857142857143"/>
    <n v="34.374059706980219"/>
    <n v="64.319114652035154"/>
    <n v="239"/>
    <s v="OK"/>
    <n v="-2.7158471675641711"/>
    <x v="4"/>
    <n v="0.10083368400407161"/>
    <n v="0.1242059536792947"/>
    <x v="4"/>
  </r>
  <r>
    <s v="SKU0124"/>
    <n v="1464"/>
    <n v="56.838785469363145"/>
    <n v="28.153846153846153"/>
    <n v="3.9465661802869443"/>
    <n v="0.51428571428571435"/>
    <n v="2.1428571428571428"/>
    <n v="25.72205346327992"/>
    <n v="86.051723792950241"/>
    <n v="167"/>
    <s v="OK"/>
    <n v="-0.94069325562634942"/>
    <x v="4"/>
    <n v="0.12482719094621872"/>
    <n v="0.14017858017412643"/>
    <x v="2"/>
  </r>
  <r>
    <s v="SKU0125"/>
    <n v="5764"/>
    <n v="107.41461222994897"/>
    <n v="110.84615384615384"/>
    <n v="13.436345657037295"/>
    <n v="0.47142857142857142"/>
    <n v="2.4285714285714284"/>
    <n v="92.886899214441598"/>
    <n v="362.08470141224376"/>
    <n v="113"/>
    <s v="At Risk"/>
    <n v="0.68791832529995167"/>
    <x v="3"/>
    <n v="6.9823929155899425E-2"/>
    <n v="0.12121616484488885"/>
    <x v="7"/>
  </r>
  <r>
    <s v="SKU0126"/>
    <n v="6504"/>
    <n v="208.79866764529729"/>
    <n v="125.07692307692308"/>
    <n v="21.983490308725887"/>
    <n v="0.21428571428571427"/>
    <n v="2.1428571428571428"/>
    <n v="69.102201329155889"/>
    <n v="337.12417935113393"/>
    <n v="159"/>
    <s v="At Risk"/>
    <n v="0.52836370174922254"/>
    <x v="1"/>
    <n v="0.11948601560366535"/>
    <n v="0.17575976261588963"/>
    <x v="4"/>
  </r>
  <r>
    <s v="SKU0127"/>
    <n v="5196"/>
    <n v="85.599534416848428"/>
    <n v="99.92307692307692"/>
    <n v="11.453988220434237"/>
    <n v="0.32857142857142857"/>
    <n v="1.1428571428571428"/>
    <n v="57.817548954521072"/>
    <n v="172.01535115232326"/>
    <n v="231"/>
    <s v="OK"/>
    <n v="-0.34290340049618345"/>
    <x v="0"/>
    <n v="6.0021210979993314E-2"/>
    <n v="0.11462805763329106"/>
    <x v="0"/>
  </r>
  <r>
    <s v="SKU0128"/>
    <n v="2690"/>
    <n v="104.32821451594972"/>
    <n v="51.730769230769234"/>
    <n v="6.3343993704703854"/>
    <n v="0.45714285714285718"/>
    <n v="1.7142857142857142"/>
    <n v="41.349855628379949"/>
    <n v="130.03117430969863"/>
    <n v="266"/>
    <s v="OK"/>
    <n v="-1.0456632912232331"/>
    <x v="4"/>
    <n v="9.9892253634584788E-2"/>
    <n v="0.12244935586039406"/>
    <x v="6"/>
  </r>
  <r>
    <s v="SKU0129"/>
    <n v="6608"/>
    <n v="102.16979721369015"/>
    <n v="127.07692307692308"/>
    <n v="23.753607013543125"/>
    <n v="0.3"/>
    <n v="1.8571428571428572"/>
    <n v="82.520323042035855"/>
    <n v="318.52032304203584"/>
    <n v="238"/>
    <s v="At Risk"/>
    <n v="0.25279493086351479"/>
    <x v="1"/>
    <n v="0.14629597853850515"/>
    <n v="0.18692305761262748"/>
    <x v="0"/>
  </r>
  <r>
    <s v="SKU0130"/>
    <n v="2840"/>
    <n v="122.87354006992338"/>
    <n v="54.615384615384613"/>
    <n v="24.845244089083806"/>
    <n v="1.1000000000000001"/>
    <n v="3.5714285714285716"/>
    <n v="125.80998540715586"/>
    <n v="320.86493046210092"/>
    <n v="17"/>
    <s v="At Risk"/>
    <n v="0.94701820490161681"/>
    <x v="3"/>
    <n v="0.98003629629277056"/>
    <n v="0.45491291994097111"/>
    <x v="2"/>
  </r>
  <r>
    <s v="SKU0131"/>
    <n v="3550"/>
    <n v="223.36924998549031"/>
    <n v="68.269230769230774"/>
    <n v="9.8206219448981749"/>
    <n v="0.41428571428571426"/>
    <n v="1.7142857142857142"/>
    <n v="51.263241637198057"/>
    <n v="168.2962086701651"/>
    <n v="75"/>
    <s v="At Risk"/>
    <n v="0.55435716233519816"/>
    <x v="1"/>
    <n v="0.10647298571854275"/>
    <n v="0.14385136369991691"/>
    <x v="7"/>
  </r>
  <r>
    <s v="SKU0132"/>
    <n v="3638"/>
    <n v="50.740814426604267"/>
    <n v="69.961538461538467"/>
    <n v="9.6642879478242616"/>
    <n v="0.5"/>
    <n v="1.7142857142857142"/>
    <n v="61.378355840091729"/>
    <n v="181.31242177415766"/>
    <n v="284"/>
    <s v="OK"/>
    <n v="-0.5663571046100182"/>
    <x v="0"/>
    <n v="0.10776627312571227"/>
    <n v="0.13813715593371675"/>
    <x v="6"/>
  </r>
  <r>
    <s v="SKU0133"/>
    <n v="6734"/>
    <n v="402.85348942360486"/>
    <n v="129.5"/>
    <n v="21.905707018948281"/>
    <n v="0.39999999999999997"/>
    <n v="1.5714285714285714"/>
    <n v="96.737091165399718"/>
    <n v="300.2370911653997"/>
    <n v="261"/>
    <s v="At Risk"/>
    <n v="0.13068702142395894"/>
    <x v="2"/>
    <n v="0.16495462096950322"/>
    <n v="0.16915603875635737"/>
    <x v="7"/>
  </r>
  <r>
    <s v="SKU0134"/>
    <n v="1210"/>
    <n v="35.279485920140139"/>
    <n v="23.26923076923077"/>
    <n v="4.8707920695319551"/>
    <n v="0.39999999999999997"/>
    <n v="2.7142857142857144"/>
    <n v="20.277454170411435"/>
    <n v="83.436794829752102"/>
    <n v="248"/>
    <s v="OK"/>
    <n v="-1.9723097646072034"/>
    <x v="4"/>
    <n v="0.13938543104660922"/>
    <n v="0.2093232955501336"/>
    <x v="3"/>
  </r>
  <r>
    <s v="SKU0135"/>
    <n v="4820"/>
    <n v="244.71789741469357"/>
    <n v="92.692307692307693"/>
    <n v="16.62713259890408"/>
    <n v="0.15714285714285717"/>
    <n v="1.5714285714285714"/>
    <n v="41.956940107263229"/>
    <n v="187.61628076660389"/>
    <n v="137"/>
    <s v="At Risk"/>
    <n v="0.26978618571791718"/>
    <x v="1"/>
    <n v="0.15515508854380433"/>
    <n v="0.17937985376411039"/>
    <x v="1"/>
  </r>
  <r>
    <s v="SKU0136"/>
    <n v="2732"/>
    <n v="386.01264699017781"/>
    <n v="52.53846153846154"/>
    <n v="6.0546231541245623"/>
    <n v="0.48571428571428571"/>
    <n v="1.5714285714285714"/>
    <n v="43.928728451567686"/>
    <n v="126.48916801200724"/>
    <n v="259"/>
    <s v="OK"/>
    <n v="-1.0476061632045355"/>
    <x v="4"/>
    <n v="5.7624711569057185E-2"/>
    <n v="0.11524172914146312"/>
    <x v="5"/>
  </r>
  <r>
    <s v="SKU0137"/>
    <n v="3382"/>
    <n v="94.893274855961138"/>
    <n v="65.038461538461533"/>
    <n v="10.879267509279348"/>
    <n v="0.22857142857142859"/>
    <n v="1"/>
    <n v="30.395600170138664"/>
    <n v="95.434061708600197"/>
    <n v="253"/>
    <s v="OK"/>
    <n v="-1.6510450825462506"/>
    <x v="4"/>
    <n v="0.10546528917552669"/>
    <n v="0.16727436738099533"/>
    <x v="7"/>
  </r>
  <r>
    <s v="SKU0138"/>
    <n v="5158"/>
    <n v="86.717711270817659"/>
    <n v="99.192307692307693"/>
    <n v="35.403976308623001"/>
    <n v="1.4285714285714286"/>
    <n v="4.7142857142857144"/>
    <n v="265.99773708794498"/>
    <n v="733.61861620882405"/>
    <n v="14"/>
    <s v="At Risk"/>
    <n v="0.98091651480663233"/>
    <x v="3"/>
    <n v="0.39271639143231596"/>
    <n v="0.35692259946653665"/>
    <x v="6"/>
  </r>
  <r>
    <s v="SKU0139"/>
    <n v="3594"/>
    <n v="89.487790143750473"/>
    <n v="69.115384615384613"/>
    <n v="8.7330495158423194"/>
    <n v="0.42857142857142855"/>
    <n v="2"/>
    <n v="52.952630946941561"/>
    <n v="191.18340017771078"/>
    <n v="156"/>
    <s v="At Risk"/>
    <n v="0.18402957654799915"/>
    <x v="2"/>
    <n v="7.5704212817837874E-2"/>
    <n v="0.12635463962821386"/>
    <x v="0"/>
  </r>
  <r>
    <s v="SKU0140"/>
    <n v="2350"/>
    <n v="112.61632883999008"/>
    <n v="45.192307692307693"/>
    <n v="6.7291558505906544"/>
    <n v="0.15714285714285717"/>
    <n v="2.5714285714285716"/>
    <n v="21.314503748259469"/>
    <n v="137.52329495705069"/>
    <n v="246"/>
    <s v="OK"/>
    <n v="-0.78878785646335192"/>
    <x v="4"/>
    <n v="8.0727353211081251E-2"/>
    <n v="0.14890046988541022"/>
    <x v="1"/>
  </r>
  <r>
    <s v="SKU0141"/>
    <n v="6370"/>
    <n v="113.43912804829611"/>
    <n v="122.5"/>
    <n v="20.294334184693028"/>
    <n v="0.32857142857142857"/>
    <n v="0.7142857142857143"/>
    <n v="72.191001955872977"/>
    <n v="159.69100195587299"/>
    <n v="90"/>
    <s v="At Risk"/>
    <n v="0.43641157674701375"/>
    <x v="1"/>
    <n v="0.1361322387015651"/>
    <n v="0.16566803416075943"/>
    <x v="7"/>
  </r>
  <r>
    <s v="SKU0142"/>
    <n v="6452"/>
    <n v="176.23375984436842"/>
    <n v="124.07692307692308"/>
    <n v="24.757904720590656"/>
    <n v="0.34285714285714286"/>
    <n v="2.2857142857142856"/>
    <n v="93.494670571313804"/>
    <n v="377.09906617570942"/>
    <n v="91"/>
    <s v="At Risk"/>
    <n v="0.7586841014408704"/>
    <x v="3"/>
    <n v="0.11046450012203714"/>
    <n v="0.19953673984357007"/>
    <x v="4"/>
  </r>
  <r>
    <s v="SKU0143"/>
    <n v="6822"/>
    <n v="538.63013059280081"/>
    <n v="131.19230769230768"/>
    <n v="16.326712420494751"/>
    <n v="0.18571428571428572"/>
    <n v="2.4285714285714284"/>
    <n v="58.125501425648942"/>
    <n v="376.73539153553901"/>
    <n v="209"/>
    <s v="At Risk"/>
    <n v="0.4452339634242084"/>
    <x v="1"/>
    <n v="6.7665594030492909E-2"/>
    <n v="0.12444870212045253"/>
    <x v="5"/>
  </r>
  <r>
    <s v="SKU0144"/>
    <n v="4812"/>
    <n v="77.163997188997513"/>
    <n v="92.538461538461533"/>
    <n v="21.164556729080374"/>
    <n v="0.37142857142857144"/>
    <n v="1.4285714285714286"/>
    <n v="70.416680017214532"/>
    <n v="202.61448221501672"/>
    <n v="286"/>
    <s v="OK"/>
    <n v="-0.41154766862367542"/>
    <x v="0"/>
    <n v="0.12681380702496203"/>
    <n v="0.22871092059687853"/>
    <x v="7"/>
  </r>
  <r>
    <s v="SKU0145"/>
    <n v="1170"/>
    <n v="105.19655126924644"/>
    <n v="22.5"/>
    <n v="3.0495901363953815"/>
    <n v="0.27142857142857141"/>
    <n v="1.5714285714285714"/>
    <n v="11.888187548519559"/>
    <n v="47.245330405662415"/>
    <n v="264"/>
    <s v="OK"/>
    <n v="-4.5878538203292845"/>
    <x v="4"/>
    <n v="6.84734861028857E-2"/>
    <n v="0.13553733939535029"/>
    <x v="0"/>
  </r>
  <r>
    <s v="SKU0146"/>
    <n v="4278"/>
    <n v="92.886154881159783"/>
    <n v="82.269230769230774"/>
    <n v="10.963786544101222"/>
    <n v="0.18571428571428572"/>
    <n v="2.4285714285714284"/>
    <n v="37.819218021739957"/>
    <n v="237.61592131844327"/>
    <n v="232"/>
    <s v="At Risk"/>
    <n v="2.3634448766238349E-2"/>
    <x v="2"/>
    <n v="0.10334681368346252"/>
    <n v="0.13326715761880867"/>
    <x v="1"/>
  </r>
  <r>
    <s v="SKU0147"/>
    <n v="1822"/>
    <n v="74.501850803828191"/>
    <n v="35.03846153846154"/>
    <n v="7.5231949023311611"/>
    <n v="0.5"/>
    <n v="1.5714285714285714"/>
    <n v="32.82894196388439"/>
    <n v="87.889381524323952"/>
    <n v="96"/>
    <s v="OK"/>
    <n v="-9.2282120263087561E-2"/>
    <x v="2"/>
    <n v="0.17087917112674159"/>
    <n v="0.21471247800286519"/>
    <x v="5"/>
  </r>
  <r>
    <s v="SKU0148"/>
    <n v="1414"/>
    <n v="268.14735170642928"/>
    <n v="27.192307692307693"/>
    <n v="4.233383807492352"/>
    <n v="0.19999999999999998"/>
    <n v="2.2857142857142856"/>
    <n v="13.858072939937284"/>
    <n v="76.011919093783433"/>
    <n v="113"/>
    <s v="OK"/>
    <n v="-0.48660896011033095"/>
    <x v="0"/>
    <n v="0.11041287178718827"/>
    <n v="0.15568313860650798"/>
    <x v="3"/>
  </r>
  <r>
    <s v="SKU0149"/>
    <n v="2632"/>
    <n v="246.38649695621095"/>
    <n v="50.615384615384613"/>
    <n v="6.2996947422993248"/>
    <n v="0.42857142857142855"/>
    <n v="0.8571428571428571"/>
    <n v="37.063455919086969"/>
    <n v="80.448071303702349"/>
    <n v="132"/>
    <s v="OK"/>
    <n v="-0.64081000154350687"/>
    <x v="0"/>
    <n v="8.3323712077063711E-2"/>
    <n v="0.12446205417916599"/>
    <x v="3"/>
  </r>
  <r>
    <s v="SKU0150"/>
    <n v="4086"/>
    <n v="105.13324030709224"/>
    <n v="78.57692307692308"/>
    <n v="22.597651341540921"/>
    <n v="1.1142857142857143"/>
    <n v="6.4285714285714288"/>
    <n v="172.65204517860877"/>
    <n v="677.78940781597146"/>
    <n v="31"/>
    <s v="At Risk"/>
    <n v="0.95426307988510661"/>
    <x v="3"/>
    <n v="0.29349431412170668"/>
    <n v="0.2875863606852980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29FF3-1E48-4135-B7EB-5D80469E7F8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J13" firstHeaderRow="1" firstDataRow="2" firstDataCol="1"/>
  <pivotFields count="16">
    <pivotField dataField="1" showAll="0"/>
    <pivotField showAll="0"/>
    <pivotField numFmtId="1" showAll="0"/>
    <pivotField numFmtId="2" showAll="0"/>
    <pivotField numFmtId="2" showAll="0"/>
    <pivotField numFmtId="2" showAll="0"/>
    <pivotField numFmtId="2" showAll="0"/>
    <pivotField numFmtId="1" showAll="0"/>
    <pivotField numFmtId="1" showAll="0"/>
    <pivotField showAll="0"/>
    <pivotField showAll="0"/>
    <pivotField numFmtId="164" showAll="0"/>
    <pivotField axis="axisCol" showAll="0">
      <items count="6">
        <item x="4"/>
        <item x="3"/>
        <item x="2"/>
        <item x="0"/>
        <item x="1"/>
        <item t="default"/>
      </items>
    </pivotField>
    <pivotField numFmtId="2" showAll="0"/>
    <pivotField numFmtId="2" showAll="0"/>
    <pivotField axis="axisRow" showAll="0">
      <items count="9">
        <item x="6"/>
        <item x="4"/>
        <item x="3"/>
        <item x="2"/>
        <item x="1"/>
        <item x="5"/>
        <item x="7"/>
        <item x="0"/>
        <item t="default"/>
      </items>
    </pivotField>
  </pivotFields>
  <rowFields count="1">
    <field x="1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KU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B5918-84C1-4271-83F9-C5F921D0ED8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16">
    <pivotField dataField="1" showAll="0"/>
    <pivotField showAll="0"/>
    <pivotField numFmtId="1" showAll="0"/>
    <pivotField numFmtId="2" showAll="0"/>
    <pivotField numFmtId="2" showAll="0"/>
    <pivotField numFmtId="2" showAll="0"/>
    <pivotField numFmtId="2" showAll="0"/>
    <pivotField numFmtId="1" showAll="0"/>
    <pivotField numFmtId="1" showAll="0"/>
    <pivotField showAll="0"/>
    <pivotField showAll="0"/>
    <pivotField numFmtId="164" showAll="0"/>
    <pivotField axis="axisRow" showAll="0">
      <items count="6">
        <item x="4"/>
        <item x="3"/>
        <item x="2"/>
        <item x="0"/>
        <item x="1"/>
        <item t="default"/>
      </items>
    </pivotField>
    <pivotField numFmtId="2" showAll="0"/>
    <pivotField numFmtId="2"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KUID" fld="0" subtotal="count" baseField="0" baseItem="0"/>
  </dataFields>
  <chartFormats count="1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31B11-B788-473D-96A5-5552A2572DF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8:F27" firstHeaderRow="0" firstDataRow="1" firstDataCol="1"/>
  <pivotFields count="16">
    <pivotField showAll="0"/>
    <pivotField showAll="0"/>
    <pivotField numFmtId="1" showAll="0"/>
    <pivotField numFmtId="2" showAll="0"/>
    <pivotField numFmtId="2" showAll="0"/>
    <pivotField numFmtId="2" showAll="0"/>
    <pivotField numFmtId="2" showAll="0"/>
    <pivotField dataField="1" numFmtId="1" showAll="0"/>
    <pivotField dataField="1" numFmtId="1" showAll="0"/>
    <pivotField showAll="0"/>
    <pivotField showAll="0"/>
    <pivotField numFmtId="164" showAll="0"/>
    <pivotField showAll="0"/>
    <pivotField numFmtId="2" showAll="0"/>
    <pivotField numFmtId="2" showAll="0"/>
    <pivotField axis="axisRow" showAll="0">
      <items count="9">
        <item x="6"/>
        <item x="4"/>
        <item x="3"/>
        <item x="2"/>
        <item x="1"/>
        <item x="5"/>
        <item x="7"/>
        <item x="0"/>
        <item t="default"/>
      </items>
    </pivotField>
  </pivotFields>
  <rowFields count="1">
    <field x="1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fetyStock" fld="7" baseField="0" baseItem="0" numFmtId="1"/>
    <dataField name="Sum of ReorderPoint" fld="8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A2B05-0263-4970-8D14-D488F89469B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8:B24" firstHeaderRow="1" firstDataRow="1" firstDataCol="1"/>
  <pivotFields count="16">
    <pivotField showAll="0"/>
    <pivotField showAll="0"/>
    <pivotField numFmtId="1" showAll="0"/>
    <pivotField numFmtId="2" showAll="0"/>
    <pivotField numFmtId="2" showAll="0"/>
    <pivotField numFmtId="2" showAll="0"/>
    <pivotField numFmtId="2" showAll="0"/>
    <pivotField numFmtId="1" showAll="0"/>
    <pivotField numFmtId="1" showAll="0"/>
    <pivotField showAll="0"/>
    <pivotField showAll="0"/>
    <pivotField numFmtId="164" showAll="0"/>
    <pivotField axis="axisRow" showAll="0">
      <items count="6">
        <item x="4"/>
        <item x="3"/>
        <item x="2"/>
        <item x="0"/>
        <item x="1"/>
        <item t="default"/>
      </items>
    </pivotField>
    <pivotField dataField="1" numFmtId="2" showAll="0"/>
    <pivotField numFmtId="2"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vgForecastError" fld="13" subtotal="average" baseField="12" baseItem="0" numFmtId="2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B896E-F431-46DC-9EDF-D6EA7739D6C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KUID">
  <location ref="A1:C152" firstHeaderRow="0" firstDataRow="1" firstDataCol="1"/>
  <pivotFields count="3">
    <pivotField axis="axisRow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umFmtId="14" showAll="0"/>
    <pivotField dataField="1" showAll="0"/>
  </pivotFields>
  <rowFields count="1">
    <field x="0"/>
  </rowFields>
  <rowItems count="1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 t="grand">
      <x/>
    </i>
  </rowItems>
  <colFields count="1">
    <field x="-2"/>
  </colFields>
  <colItems count="2">
    <i>
      <x/>
    </i>
    <i i="1">
      <x v="1"/>
    </i>
  </colItems>
  <dataFields count="2">
    <dataField name="AvgWeeklyDemand" fld="2" subtotal="average" baseField="0" baseItem="0" numFmtId="2"/>
    <dataField name="StdDevWeeklyDemand" fld="2" subtotal="stdDev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C45F944-1466-45B4-8515-6B0A4685B161}" autoFormatId="16" applyNumberFormats="0" applyBorderFormats="0" applyFontFormats="0" applyPatternFormats="0" applyAlignmentFormats="0" applyWidthHeightFormats="0">
  <queryTableRefresh nextId="10">
    <queryTableFields count="9">
      <queryTableField id="1" name="SKUID" tableColumnId="1"/>
      <queryTableField id="2" name="SKUName" tableColumnId="2"/>
      <queryTableField id="3" name="Category" tableColumnId="3"/>
      <queryTableField id="4" name="UnitCost" tableColumnId="4"/>
      <queryTableField id="5" name="OrderingCost" tableColumnId="5"/>
      <queryTableField id="6" name="HoldingCostPerUnitPerYear" tableColumnId="6"/>
      <queryTableField id="7" name="LeadTimeDaysAvg" tableColumnId="7"/>
      <queryTableField id="8" name="LeadTimeDaysStdDev" tableColumnId="8"/>
      <queryTableField id="9" name="CurrentStockLevel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3B5F80-EEB7-439A-AA62-F59AE226F2F2}" autoFormatId="16" applyNumberFormats="0" applyBorderFormats="0" applyFontFormats="0" applyPatternFormats="0" applyAlignmentFormats="0" applyWidthHeightFormats="0">
  <queryTableRefresh nextId="7" unboundColumnsRight="3">
    <queryTableFields count="6">
      <queryTableField id="1" name="SKUID" tableColumnId="1"/>
      <queryTableField id="2" name="WeekEndingDate" tableColumnId="2"/>
      <queryTableField id="3" name="ActualDemand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F13718-811D-4383-AC25-87FD1E1CEBED}" name="Table3" displayName="Table3" ref="B23:E33" totalsRowShown="0">
  <autoFilter ref="B23:E33" xr:uid="{DAF13718-811D-4383-AC25-87FD1E1CEBED}"/>
  <tableColumns count="4">
    <tableColumn id="1" xr3:uid="{E4982821-0D50-4334-AD8A-CF7788C17922}" name="SKUID"/>
    <tableColumn id="2" xr3:uid="{0D512E17-9A65-48DA-8D61-4254DA9B51BD}" name="Category" dataDxfId="26"/>
    <tableColumn id="3" xr3:uid="{C8103C9A-5FFE-4556-AE15-46229ADCD76D}" name="SeverityRisk" dataDxfId="25"/>
    <tableColumn id="4" xr3:uid="{7F619400-933D-4259-87CC-FA10B33D7553}" name="AvgForecastError" dataDxfId="24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FAA468-CD45-4A2C-8182-7076774DDD82}" name="InventoryModel" displayName="InventoryModel" ref="A1:P151" totalsRowShown="0">
  <autoFilter ref="A1:P151" xr:uid="{20FAA468-CD45-4A2C-8182-7076774DDD82}"/>
  <tableColumns count="16">
    <tableColumn id="1" xr3:uid="{C8EE161C-B96C-4EFC-AC65-091A5974B676}" name="SKUID" dataDxfId="23"/>
    <tableColumn id="2" xr3:uid="{F4A6941F-A603-42C0-94D1-057C1F51241D}" name="AnnualDemand">
      <calculatedColumnFormula>SUMIF(DemandHistory!A:A, A2, DemandHistory!C:C) * 2</calculatedColumnFormula>
    </tableColumn>
    <tableColumn id="3" xr3:uid="{A0DE09F7-4EE2-4703-8A42-804B6B1CF01E}" name="EOQ" dataDxfId="22">
      <calculatedColumnFormula>SQRT((2*B2*_xlfn.XLOOKUP(A2,SKU_Master!A:A,SKU_Master!E:E,,0))/_xlfn.XLOOKUP(A2,SKU_Master!A:A,SKU_Master!F:F,,0))</calculatedColumnFormula>
    </tableColumn>
    <tableColumn id="4" xr3:uid="{3B27BF5F-7E5C-44C0-AD59-9CE1F7E876E8}" name="AvgWeeklyDemand" dataDxfId="21">
      <calculatedColumnFormula>_xlfn.XLOOKUP(InventoryModel[[#This Row],[SKUID]], DemandSummary!$A:$A, DemandSummary!$B:$B)</calculatedColumnFormula>
    </tableColumn>
    <tableColumn id="5" xr3:uid="{21A3831E-2B41-43FE-A28A-B76963C63129}" name="StdDevWeeklyDemand" dataDxfId="20">
      <calculatedColumnFormula>_xlfn.XLOOKUP(InventoryModel[[#This Row],[SKUID]],DemandSummary!A:A,DemandSummary!C:C,,0)</calculatedColumnFormula>
    </tableColumn>
    <tableColumn id="11" xr3:uid="{91B46C82-519B-4489-B4FF-A75F118BA1B6}" name="LeadTimeWeeksStdDev" dataDxfId="19">
      <calculatedColumnFormula>_xlfn.XLOOKUP(A2, SKU_Master[SKUID], SKU_Master[LeadTimeDaysStdDev], "Not Found", 0) / 7</calculatedColumnFormula>
    </tableColumn>
    <tableColumn id="6" xr3:uid="{141AEE4D-AD6C-4207-9108-0C90D2BF0563}" name="LeadTimeWeeks" dataDxfId="18">
      <calculatedColumnFormula>_xlfn.XLOOKUP(A2, SKU_Master[SKUID], SKU_Master[LeadTimeDaysAvg], "Not Found", 0) / 7</calculatedColumnFormula>
    </tableColumn>
    <tableColumn id="7" xr3:uid="{FA669C0A-4BF8-4B72-A37C-C3BCE45EA073}" name="SafetyStock" dataDxfId="17">
      <calculatedColumnFormula xml:space="preserve"> 1.65 * SQRT(
    (InventoryModel[[#This Row],[LeadTimeWeeks]] * (InventoryModel[[#This Row],[StdDevWeeklyDemand]]^2)) +
    ((InventoryModel[[#This Row],[AvgWeeklyDemand]]^2) * (InventoryModel[[#This Row],[LeadTimeWeeksStdDev]]^2))
)</calculatedColumnFormula>
    </tableColumn>
    <tableColumn id="8" xr3:uid="{4B9600DA-5E52-4966-961E-23DC0DBA022C}" name="ReorderPoint" dataDxfId="16">
      <calculatedColumnFormula xml:space="preserve"> (InventoryModel[[#This Row],[AvgWeeklyDemand]] * InventoryModel[[#This Row],[LeadTimeWeeks]]) + InventoryModel[[#This Row],[SafetyStock]]</calculatedColumnFormula>
    </tableColumn>
    <tableColumn id="9" xr3:uid="{2A2B7656-4654-4FCD-9803-776A26C7ABE0}" name="CurrentStockLevel" dataDxfId="15">
      <calculatedColumnFormula>_xlfn.XLOOKUP(A2,SKU_Master[SKUID],SKU_Master[CurrentStockLevel],"Not Found", 0)</calculatedColumnFormula>
    </tableColumn>
    <tableColumn id="10" xr3:uid="{9A8E60F3-FC70-4996-8D4D-2082C9FB8E0F}" name="StockOutRisk" dataDxfId="14">
      <calculatedColumnFormula xml:space="preserve"> IF(InventoryModel[[#This Row],[CurrentStockLevel]] &lt; InventoryModel[[#This Row],[ReorderPoint]], "At Risk", "OK")</calculatedColumnFormula>
    </tableColumn>
    <tableColumn id="12" xr3:uid="{24DDE619-E3A7-42BF-AA56-844E81546561}" name="SeverityRisk" dataDxfId="13">
      <calculatedColumnFormula>(InventoryModel[[#This Row],[ReorderPoint]] - InventoryModel[[#This Row],[CurrentStockLevel]]) / InventoryModel[[#This Row],[ReorderPoint]]</calculatedColumnFormula>
    </tableColumn>
    <tableColumn id="13" xr3:uid="{412AB0A8-8AF7-416F-88DC-3F6C9793B1A8}" name="RiskTier" dataDxfId="12">
      <calculatedColumnFormula array="1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calculatedColumnFormula>
    </tableColumn>
    <tableColumn id="14" xr3:uid="{E4E14B85-7E09-4C53-824D-37872885A11D}" name="AvgForecastError" dataDxfId="11">
      <calculatedColumnFormula>AVERAGEIFS(DemandHistory[AbsPctError],DemandHistory[SKUID],A2)</calculatedColumnFormula>
    </tableColumn>
    <tableColumn id="15" xr3:uid="{CC243354-F4B0-4092-8F2F-42A53494C895}" name="DemandCV" dataDxfId="10">
      <calculatedColumnFormula>InventoryModel[[#This Row],[StdDevWeeklyDemand]] / InventoryModel[[#This Row],[AvgWeeklyDemand]]</calculatedColumnFormula>
    </tableColumn>
    <tableColumn id="16" xr3:uid="{C24F4AE1-AED3-449E-8544-E48554157310}" name="Category" dataDxfId="9">
      <calculatedColumnFormula>_xlfn.XLOOKUP(A2, SKU_Master[SKUID], SKU_Master[Category], "Not Found", 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580581-0EA2-4FD6-B5FF-C36EE6B8FB63}" name="SKU_Master" displayName="SKU_Master" ref="A1:I151" tableType="queryTable" totalsRowShown="0">
  <autoFilter ref="A1:I151" xr:uid="{6D580581-0EA2-4FD6-B5FF-C36EE6B8FB63}"/>
  <tableColumns count="9">
    <tableColumn id="1" xr3:uid="{458AAE6C-5007-49CF-8F15-C4794ED41029}" uniqueName="1" name="SKUID" queryTableFieldId="1" dataDxfId="8"/>
    <tableColumn id="2" xr3:uid="{6EEB5C25-FC0F-458B-8FD3-349AEBB22A60}" uniqueName="2" name="SKUName" queryTableFieldId="2" dataDxfId="7"/>
    <tableColumn id="3" xr3:uid="{C907AE23-FDF1-4F43-9F85-EE1BBF566E27}" uniqueName="3" name="Category" queryTableFieldId="3" dataDxfId="6"/>
    <tableColumn id="4" xr3:uid="{14E75DB7-C16B-4886-8C9A-FAA7E1752BD3}" uniqueName="4" name="UnitCost" queryTableFieldId="4"/>
    <tableColumn id="5" xr3:uid="{FAB46092-3EFF-499D-8EC2-517B8A86D822}" uniqueName="5" name="OrderingCost" queryTableFieldId="5"/>
    <tableColumn id="6" xr3:uid="{400FC2DD-885F-4078-8DE6-CC01C8B8BCB2}" uniqueName="6" name="HoldingCostPerUnitPerYear" queryTableFieldId="6"/>
    <tableColumn id="7" xr3:uid="{6B964555-F6E3-44A5-9B5B-8D7BDBE1FFC1}" uniqueName="7" name="LeadTimeDaysAvg" queryTableFieldId="7" dataDxfId="5"/>
    <tableColumn id="8" xr3:uid="{29914847-2D33-406D-8B95-2E54AD0E960A}" uniqueName="8" name="LeadTimeDaysStdDev" queryTableFieldId="8"/>
    <tableColumn id="9" xr3:uid="{73837EE2-F1D6-4B86-BD32-39BC9135FBC3}" uniqueName="9" name="CurrentStockLevel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363375-7188-4672-B43D-06015F105B35}" name="DemandHistory" displayName="DemandHistory" ref="A1:F3901" tableType="queryTable" totalsRowShown="0">
  <autoFilter ref="A1:F3901" xr:uid="{3F363375-7188-4672-B43D-06015F105B35}"/>
  <tableColumns count="6">
    <tableColumn id="1" xr3:uid="{C85F1131-49E8-4BE4-8D2F-E879E00FAD41}" uniqueName="1" name="SKUID" queryTableFieldId="1" dataDxfId="4"/>
    <tableColumn id="2" xr3:uid="{AD608AC9-75DD-4951-9479-6E36E3E4F5E9}" uniqueName="2" name="WeekEndingDate" queryTableFieldId="2" dataDxfId="3"/>
    <tableColumn id="3" xr3:uid="{30C6196A-1DBF-4113-B41F-A7AAEC820E9E}" uniqueName="3" name="ActualDemand" queryTableFieldId="3"/>
    <tableColumn id="4" xr3:uid="{01DBB9B4-BB7F-4514-B66F-C930BCF77222}" uniqueName="4" name="MovingAvgDemand" queryTableFieldId="4" dataDxfId="2">
      <calculatedColumnFormula>IF(E2 &lt; 5, "", AVERAGEIFS(C:C, A:A, A2, B:B, "&gt;=" &amp; (B2-35), B:B, "&lt;=" &amp; (B2-7)))</calculatedColumnFormula>
    </tableColumn>
    <tableColumn id="5" xr3:uid="{CD60272A-9734-43EA-B3AD-74A1B25717A1}" uniqueName="5" name="PriorWeekCount" queryTableFieldId="5" dataDxfId="1">
      <calculatedColumnFormula>COUNTIFS(A:A, A2, B:B, "&gt;=" &amp; (B2-35), B:B, "&lt;=" &amp; (B2-7))</calculatedColumnFormula>
    </tableColumn>
    <tableColumn id="6" xr3:uid="{D4F323EF-3824-41B5-BEC9-0511DE0832C1}" uniqueName="6" name="AbsPctError" queryTableFieldId="6" dataDxfId="0">
      <calculatedColumnFormula>IF(OR(C2=0, D2=""), "", ABS(C2 - D2) / C2)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4716-09FC-40BC-A1A7-01153A0F628D}">
  <dimension ref="B2:R33"/>
  <sheetViews>
    <sheetView showGridLines="0" showRowColHeaders="0" tabSelected="1" workbookViewId="0">
      <selection activeCell="O20" sqref="O2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3" max="3" width="13.42578125" customWidth="1"/>
    <col min="4" max="4" width="7" customWidth="1"/>
    <col min="5" max="5" width="19.85546875" customWidth="1"/>
    <col min="6" max="6" width="7.7109375" customWidth="1"/>
    <col min="7" max="7" width="19.85546875" customWidth="1"/>
    <col min="9" max="9" width="22.140625" customWidth="1"/>
    <col min="10" max="10" width="8.28515625" customWidth="1"/>
    <col min="11" max="11" width="25.28515625" customWidth="1"/>
  </cols>
  <sheetData>
    <row r="2" spans="2:11" ht="35.25" customHeight="1" x14ac:dyDescent="0.55000000000000004">
      <c r="B2" s="17" t="s">
        <v>352</v>
      </c>
      <c r="C2" s="17"/>
      <c r="D2" s="17"/>
      <c r="E2" s="17"/>
      <c r="F2" s="17"/>
      <c r="G2" s="17"/>
      <c r="H2" s="17"/>
      <c r="I2" s="17"/>
      <c r="J2" s="17"/>
      <c r="K2" s="17"/>
    </row>
    <row r="3" spans="2:11" x14ac:dyDescent="0.25">
      <c r="B3" s="18" t="s">
        <v>353</v>
      </c>
      <c r="C3" s="18"/>
      <c r="D3" s="18"/>
      <c r="E3" s="18"/>
      <c r="F3" s="18"/>
      <c r="G3" s="18"/>
      <c r="H3" s="18"/>
      <c r="I3" s="18"/>
      <c r="J3" s="18"/>
      <c r="K3" s="18"/>
    </row>
    <row r="5" spans="2:11" x14ac:dyDescent="0.25">
      <c r="C5" s="9" t="s">
        <v>348</v>
      </c>
      <c r="E5" s="9" t="s">
        <v>349</v>
      </c>
      <c r="F5" s="9"/>
      <c r="G5" s="9" t="s">
        <v>356</v>
      </c>
      <c r="I5" s="9" t="s">
        <v>350</v>
      </c>
      <c r="K5" s="9" t="s">
        <v>351</v>
      </c>
    </row>
    <row r="6" spans="2:11" ht="34.5" x14ac:dyDescent="0.55000000000000004">
      <c r="C6" s="10">
        <f>COUNTA(InventoryModel[SKUID])</f>
        <v>150</v>
      </c>
      <c r="E6" s="16">
        <f>COUNTIF(InventoryModel[RiskTier],"CriticalUnderstock")</f>
        <v>32</v>
      </c>
      <c r="F6" s="10"/>
      <c r="G6" s="16">
        <f>COUNTIF(InventoryModel[RiskTier],"CriticalOverstock")</f>
        <v>30</v>
      </c>
      <c r="I6" s="15">
        <f>AVERAGE(InventoryModel[AvgForecastError])</f>
        <v>0.15601625204856628</v>
      </c>
      <c r="K6" s="11">
        <f>InventoryModel!Q2</f>
        <v>0.77466263873332319</v>
      </c>
    </row>
    <row r="23" spans="2:18" x14ac:dyDescent="0.25">
      <c r="B23" t="s">
        <v>0</v>
      </c>
      <c r="C23" t="s">
        <v>2</v>
      </c>
      <c r="D23" t="s">
        <v>330</v>
      </c>
      <c r="E23" t="s">
        <v>335</v>
      </c>
    </row>
    <row r="24" spans="2:18" x14ac:dyDescent="0.25">
      <c r="B24" t="s">
        <v>125</v>
      </c>
      <c r="C24" s="3" t="s">
        <v>29</v>
      </c>
      <c r="D24" s="7">
        <v>0.98861495052910298</v>
      </c>
      <c r="E24" s="12">
        <v>0.36637342871707229</v>
      </c>
      <c r="F24" s="12"/>
      <c r="G24" s="12"/>
      <c r="H24" s="3"/>
      <c r="I24" s="3"/>
      <c r="J24" s="3"/>
      <c r="K24" s="4"/>
      <c r="L24" s="4"/>
      <c r="P24" s="3"/>
      <c r="R24" s="3"/>
    </row>
    <row r="25" spans="2:18" x14ac:dyDescent="0.25">
      <c r="B25" t="s">
        <v>61</v>
      </c>
      <c r="C25" s="3" t="s">
        <v>14</v>
      </c>
      <c r="D25" s="7">
        <v>0.98769201196503131</v>
      </c>
      <c r="E25" s="12">
        <v>0.50134454848330923</v>
      </c>
      <c r="F25" s="12"/>
      <c r="G25" s="12"/>
      <c r="H25" s="3"/>
      <c r="I25" s="3"/>
      <c r="J25" s="3"/>
      <c r="K25" s="4"/>
      <c r="L25" s="4"/>
      <c r="P25" s="3"/>
      <c r="R25" s="3"/>
    </row>
    <row r="26" spans="2:18" x14ac:dyDescent="0.25">
      <c r="B26" t="s">
        <v>51</v>
      </c>
      <c r="C26" s="3" t="s">
        <v>11</v>
      </c>
      <c r="D26" s="7">
        <v>0.98531383113373039</v>
      </c>
      <c r="E26" s="12">
        <v>0.34739808866042293</v>
      </c>
      <c r="F26" s="12"/>
      <c r="G26" s="12"/>
      <c r="H26" s="3"/>
      <c r="I26" s="3"/>
      <c r="J26" s="3"/>
      <c r="K26" s="4"/>
      <c r="L26" s="4"/>
      <c r="P26" s="3"/>
      <c r="R26" s="3"/>
    </row>
    <row r="27" spans="2:18" x14ac:dyDescent="0.25">
      <c r="B27" t="s">
        <v>291</v>
      </c>
      <c r="C27" s="3" t="s">
        <v>29</v>
      </c>
      <c r="D27" s="7">
        <v>0.98091651480663233</v>
      </c>
      <c r="E27" s="12">
        <v>0.39271639143231596</v>
      </c>
      <c r="F27" s="12"/>
      <c r="G27" s="12"/>
      <c r="H27" s="3"/>
      <c r="I27" s="3"/>
      <c r="J27" s="3"/>
      <c r="K27" s="4"/>
      <c r="L27" s="4"/>
      <c r="P27" s="3"/>
      <c r="R27" s="3"/>
    </row>
    <row r="28" spans="2:18" x14ac:dyDescent="0.25">
      <c r="B28" t="s">
        <v>45</v>
      </c>
      <c r="C28" s="3" t="s">
        <v>11</v>
      </c>
      <c r="D28" s="7">
        <v>0.97646148221562612</v>
      </c>
      <c r="E28" s="12">
        <v>0.51021044000642113</v>
      </c>
      <c r="F28" s="12"/>
      <c r="G28" s="12"/>
      <c r="H28" s="3"/>
      <c r="I28" s="3"/>
      <c r="J28" s="3"/>
      <c r="K28" s="4"/>
      <c r="L28" s="4"/>
      <c r="P28" s="3"/>
      <c r="R28" s="3"/>
    </row>
    <row r="29" spans="2:18" x14ac:dyDescent="0.25">
      <c r="B29" t="s">
        <v>65</v>
      </c>
      <c r="C29" s="3" t="s">
        <v>26</v>
      </c>
      <c r="D29" s="7">
        <v>0.97321602962129083</v>
      </c>
      <c r="E29" s="12">
        <v>0.43666456870020764</v>
      </c>
      <c r="F29" s="12"/>
      <c r="G29" s="12"/>
      <c r="H29" s="3"/>
      <c r="I29" s="3"/>
      <c r="J29" s="3"/>
      <c r="K29" s="4"/>
      <c r="L29" s="4"/>
      <c r="P29" s="3"/>
      <c r="R29" s="3"/>
    </row>
    <row r="30" spans="2:18" x14ac:dyDescent="0.25">
      <c r="B30" t="s">
        <v>203</v>
      </c>
      <c r="C30" s="3" t="s">
        <v>20</v>
      </c>
      <c r="D30" s="7">
        <v>0.9672379019471804</v>
      </c>
      <c r="E30" s="12">
        <v>0.51593348703581643</v>
      </c>
      <c r="F30" s="12"/>
      <c r="G30" s="12"/>
      <c r="H30" s="3"/>
      <c r="I30" s="3"/>
      <c r="J30" s="3"/>
      <c r="K30" s="4"/>
      <c r="L30" s="4"/>
      <c r="P30" s="3"/>
      <c r="R30" s="3"/>
    </row>
    <row r="31" spans="2:18" x14ac:dyDescent="0.25">
      <c r="B31" t="s">
        <v>53</v>
      </c>
      <c r="C31" s="3" t="s">
        <v>34</v>
      </c>
      <c r="D31" s="7">
        <v>0.96663982922028069</v>
      </c>
      <c r="E31" s="12">
        <v>1.9597676827154482</v>
      </c>
      <c r="F31" s="12"/>
      <c r="G31" s="12"/>
      <c r="H31" s="3"/>
      <c r="I31" s="3"/>
      <c r="J31" s="3"/>
      <c r="K31" s="4"/>
      <c r="L31" s="4"/>
      <c r="P31" s="3"/>
      <c r="R31" s="3"/>
    </row>
    <row r="32" spans="2:18" x14ac:dyDescent="0.25">
      <c r="B32" t="s">
        <v>231</v>
      </c>
      <c r="C32" s="3" t="s">
        <v>23</v>
      </c>
      <c r="D32" s="7">
        <v>0.95678227747125744</v>
      </c>
      <c r="E32" s="12">
        <v>0.47316915775835611</v>
      </c>
      <c r="F32" s="12"/>
      <c r="G32" s="12"/>
      <c r="H32" s="3"/>
      <c r="I32" s="3"/>
      <c r="J32" s="3"/>
      <c r="K32" s="4"/>
      <c r="L32" s="4"/>
      <c r="P32" s="3"/>
      <c r="R32" s="3"/>
    </row>
    <row r="33" spans="2:18" x14ac:dyDescent="0.25">
      <c r="B33" t="s">
        <v>315</v>
      </c>
      <c r="C33" s="3" t="s">
        <v>11</v>
      </c>
      <c r="D33" s="7">
        <v>0.95426307988510661</v>
      </c>
      <c r="E33" s="12">
        <v>0.29349431412170668</v>
      </c>
      <c r="F33" s="12"/>
      <c r="G33" s="12"/>
      <c r="H33" s="3"/>
      <c r="I33" s="3"/>
      <c r="J33" s="3"/>
      <c r="K33" s="4"/>
      <c r="L33" s="4"/>
      <c r="P33" s="3"/>
      <c r="R33" s="3"/>
    </row>
  </sheetData>
  <mergeCells count="2">
    <mergeCell ref="B2:K2"/>
    <mergeCell ref="B3:K3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FD8F-24C9-493E-9EF4-34BBFC69D90C}">
  <dimension ref="A1:T300"/>
  <sheetViews>
    <sheetView topLeftCell="H1" workbookViewId="0">
      <selection activeCell="Q6" sqref="Q6"/>
    </sheetView>
  </sheetViews>
  <sheetFormatPr defaultRowHeight="15" x14ac:dyDescent="0.25"/>
  <cols>
    <col min="2" max="2" width="17.42578125" customWidth="1"/>
    <col min="3" max="3" width="14.7109375" style="4" customWidth="1"/>
    <col min="4" max="4" width="21.28515625" customWidth="1"/>
    <col min="5" max="5" width="23.7109375" customWidth="1"/>
    <col min="6" max="6" width="24.28515625" customWidth="1"/>
    <col min="7" max="7" width="18" customWidth="1"/>
    <col min="8" max="8" width="14" customWidth="1"/>
    <col min="9" max="9" width="16" customWidth="1"/>
    <col min="10" max="10" width="19.7109375" customWidth="1"/>
    <col min="11" max="11" width="15.42578125" customWidth="1"/>
    <col min="12" max="12" width="15" customWidth="1"/>
    <col min="13" max="13" width="17.85546875" customWidth="1"/>
    <col min="14" max="14" width="18.28515625" customWidth="1"/>
    <col min="15" max="15" width="14.5703125" customWidth="1"/>
    <col min="16" max="16" width="21.7109375" customWidth="1"/>
    <col min="17" max="17" width="44.140625" customWidth="1"/>
  </cols>
  <sheetData>
    <row r="1" spans="1:20" x14ac:dyDescent="0.25">
      <c r="A1" t="s">
        <v>0</v>
      </c>
      <c r="B1" t="s">
        <v>319</v>
      </c>
      <c r="C1" s="4" t="s">
        <v>320</v>
      </c>
      <c r="D1" t="s">
        <v>321</v>
      </c>
      <c r="E1" t="s">
        <v>322</v>
      </c>
      <c r="F1" t="s">
        <v>329</v>
      </c>
      <c r="G1" t="s">
        <v>323</v>
      </c>
      <c r="H1" t="s">
        <v>326</v>
      </c>
      <c r="I1" t="s">
        <v>328</v>
      </c>
      <c r="J1" t="s">
        <v>8</v>
      </c>
      <c r="K1" t="s">
        <v>327</v>
      </c>
      <c r="L1" t="s">
        <v>330</v>
      </c>
      <c r="M1" t="s">
        <v>331</v>
      </c>
      <c r="N1" t="s">
        <v>335</v>
      </c>
      <c r="O1" t="s">
        <v>336</v>
      </c>
      <c r="P1" t="s">
        <v>2</v>
      </c>
      <c r="Q1" s="8" t="s">
        <v>337</v>
      </c>
    </row>
    <row r="2" spans="1:20" x14ac:dyDescent="0.25">
      <c r="A2" s="2" t="s">
        <v>9</v>
      </c>
      <c r="B2">
        <f>SUMIF(DemandHistory!A:A, A2, DemandHistory!C:C) * 2</f>
        <v>3230</v>
      </c>
      <c r="C2" s="4">
        <f>SQRT((2*B2*_xlfn.XLOOKUP(A2,SKU_Master!A:A,SKU_Master!E:E,,0))/_xlfn.XLOOKUP(A2,SKU_Master!A:A,SKU_Master!F:F,,0))</f>
        <v>58.46953467078427</v>
      </c>
      <c r="D2" s="3">
        <f>_xlfn.XLOOKUP(InventoryModel[[#This Row],[SKUID]], DemandSummary!$A:$A, DemandSummary!$B:$B)</f>
        <v>62.115384615384613</v>
      </c>
      <c r="E2" s="3">
        <f>_xlfn.XLOOKUP(InventoryModel[[#This Row],[SKUID]],DemandSummary!A:A,DemandSummary!C:C,,0)</f>
        <v>8.2089069824279139</v>
      </c>
      <c r="F2" s="3">
        <f>_xlfn.XLOOKUP(A2, SKU_Master[SKUID], SKU_Master[LeadTimeDaysStdDev], "Not Found", 0) / 7</f>
        <v>0.41428571428571426</v>
      </c>
      <c r="G2" s="3">
        <f>_xlfn.XLOOKUP(A2, SKU_Master[SKUID], SKU_Master[LeadTimeDaysAvg], "Not Found", 0) / 7</f>
        <v>1.7142857142857142</v>
      </c>
      <c r="H2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46.01497657635057</v>
      </c>
      <c r="I2" s="4">
        <f xml:space="preserve"> (InventoryModel[[#This Row],[AvgWeeklyDemand]] * InventoryModel[[#This Row],[LeadTimeWeeks]]) + InventoryModel[[#This Row],[SafetyStock]]</f>
        <v>152.49849305986703</v>
      </c>
      <c r="J2">
        <f>_xlfn.XLOOKUP(A2,SKU_Master[SKUID],SKU_Master[CurrentStockLevel],"Not Found", 0)</f>
        <v>199</v>
      </c>
      <c r="K2" t="str">
        <f xml:space="preserve"> IF(InventoryModel[[#This Row],[CurrentStockLevel]] &lt; InventoryModel[[#This Row],[ReorderPoint]], "At Risk", "OK")</f>
        <v>OK</v>
      </c>
      <c r="L2" s="7">
        <f>(InventoryModel[[#This Row],[ReorderPoint]] - InventoryModel[[#This Row],[CurrentStockLevel]]) / InventoryModel[[#This Row],[ReorderPoint]]</f>
        <v>-0.30493092755924911</v>
      </c>
      <c r="M2" s="3" t="str" cm="1">
        <f t="array" ref="M2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WatchOverstock</v>
      </c>
      <c r="N2" s="3">
        <f>AVERAGEIFS(DemandHistory[AbsPctError],DemandHistory[SKUID],A2)</f>
        <v>8.3947323198460586E-2</v>
      </c>
      <c r="O2" s="3">
        <f>InventoryModel[[#This Row],[StdDevWeeklyDemand]] / InventoryModel[[#This Row],[AvgWeeklyDemand]]</f>
        <v>0.13215577804527912</v>
      </c>
      <c r="P2" s="3" t="str">
        <f>_xlfn.XLOOKUP(A2, SKU_Master[SKUID], SKU_Master[Category], "Not Found", 0)</f>
        <v>Trimmers</v>
      </c>
      <c r="Q2" s="14">
        <f>CORREL(InventoryModel[DemandCV], InventoryModel[AvgForecastError])</f>
        <v>0.77466263873332319</v>
      </c>
    </row>
    <row r="3" spans="1:20" x14ac:dyDescent="0.25">
      <c r="A3" s="2" t="s">
        <v>12</v>
      </c>
      <c r="B3">
        <f>SUMIF(DemandHistory!A:A, A3, DemandHistory!C:C) * 2</f>
        <v>4708</v>
      </c>
      <c r="C3" s="4">
        <f>SQRT((2*B3*_xlfn.XLOOKUP(A3,SKU_Master!A:A,SKU_Master!E:E,,0))/_xlfn.XLOOKUP(A3,SKU_Master!A:A,SKU_Master!F:F,,0))</f>
        <v>86.477709979886924</v>
      </c>
      <c r="D3" s="3">
        <f>_xlfn.XLOOKUP(InventoryModel[[#This Row],[SKUID]], DemandSummary!$A:$A, DemandSummary!$B:$B)</f>
        <v>90.538461538461533</v>
      </c>
      <c r="E3" s="3">
        <f>_xlfn.XLOOKUP(InventoryModel[[#This Row],[SKUID]],DemandSummary!A:A,DemandSummary!C:C,,0)</f>
        <v>19.561657944521503</v>
      </c>
      <c r="F3" s="3">
        <f>_xlfn.XLOOKUP(A3, SKU_Master[SKUID], SKU_Master[LeadTimeDaysStdDev], "Not Found", 0) / 7</f>
        <v>0.38571428571428573</v>
      </c>
      <c r="G3" s="3">
        <f>_xlfn.XLOOKUP(A3, SKU_Master[SKUID], SKU_Master[LeadTimeDaysAvg], "Not Found", 0) / 7</f>
        <v>0.8571428571428571</v>
      </c>
      <c r="H3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64.9089430457107</v>
      </c>
      <c r="I3" s="4">
        <f xml:space="preserve"> (InventoryModel[[#This Row],[AvgWeeklyDemand]] * InventoryModel[[#This Row],[LeadTimeWeeks]]) + InventoryModel[[#This Row],[SafetyStock]]</f>
        <v>142.51333865010628</v>
      </c>
      <c r="J3">
        <f>_xlfn.XLOOKUP(A3,SKU_Master[SKUID],SKU_Master[CurrentStockLevel],"Not Found", 0)</f>
        <v>84</v>
      </c>
      <c r="K3" t="str">
        <f xml:space="preserve"> IF(InventoryModel[[#This Row],[CurrentStockLevel]] &lt; InventoryModel[[#This Row],[ReorderPoint]], "At Risk", "OK")</f>
        <v>At Risk</v>
      </c>
      <c r="L3" s="7">
        <f>(InventoryModel[[#This Row],[ReorderPoint]] - InventoryModel[[#This Row],[CurrentStockLevel]]) / InventoryModel[[#This Row],[ReorderPoint]]</f>
        <v>0.41058148805120737</v>
      </c>
      <c r="M3" s="3" t="str" cm="1">
        <f t="array" ref="M3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3" s="3">
        <f>AVERAGEIFS(DemandHistory[AbsPctError],DemandHistory[SKUID],A3)</f>
        <v>0.13980805781395705</v>
      </c>
      <c r="O3" s="3">
        <f>InventoryModel[[#This Row],[StdDevWeeklyDemand]] / InventoryModel[[#This Row],[AvgWeeklyDemand]]</f>
        <v>0.21605909369479998</v>
      </c>
      <c r="P3" s="3" t="str">
        <f>_xlfn.XLOOKUP(A3, SKU_Master[SKUID], SKU_Master[Category], "Not Found", 0)</f>
        <v>Chainsaws</v>
      </c>
      <c r="Q3" s="9" t="s">
        <v>354</v>
      </c>
    </row>
    <row r="4" spans="1:20" x14ac:dyDescent="0.25">
      <c r="A4" s="2" t="s">
        <v>15</v>
      </c>
      <c r="B4">
        <f>SUMIF(DemandHistory!A:A, A4, DemandHistory!C:C) * 2</f>
        <v>5678</v>
      </c>
      <c r="C4" s="4">
        <f>SQRT((2*B4*_xlfn.XLOOKUP(A4,SKU_Master!A:A,SKU_Master!E:E,,0))/_xlfn.XLOOKUP(A4,SKU_Master!A:A,SKU_Master!F:F,,0))</f>
        <v>136.74413711039463</v>
      </c>
      <c r="D4" s="3">
        <f>_xlfn.XLOOKUP(InventoryModel[[#This Row],[SKUID]], DemandSummary!$A:$A, DemandSummary!$B:$B)</f>
        <v>109.19230769230769</v>
      </c>
      <c r="E4" s="3">
        <f>_xlfn.XLOOKUP(InventoryModel[[#This Row],[SKUID]],DemandSummary!A:A,DemandSummary!C:C,,0)</f>
        <v>16.928128616640929</v>
      </c>
      <c r="F4" s="3">
        <f>_xlfn.XLOOKUP(A4, SKU_Master[SKUID], SKU_Master[LeadTimeDaysStdDev], "Not Found", 0) / 7</f>
        <v>0.18571428571428572</v>
      </c>
      <c r="G4" s="3">
        <f>_xlfn.XLOOKUP(A4, SKU_Master[SKUID], SKU_Master[LeadTimeDaysAvg], "Not Found", 0) / 7</f>
        <v>1.4285714285714286</v>
      </c>
      <c r="H4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47.265922163116052</v>
      </c>
      <c r="I4" s="4">
        <f xml:space="preserve"> (InventoryModel[[#This Row],[AvgWeeklyDemand]] * InventoryModel[[#This Row],[LeadTimeWeeks]]) + InventoryModel[[#This Row],[SafetyStock]]</f>
        <v>203.25493315212705</v>
      </c>
      <c r="J4">
        <f>_xlfn.XLOOKUP(A4,SKU_Master[SKUID],SKU_Master[CurrentStockLevel],"Not Found", 0)</f>
        <v>196</v>
      </c>
      <c r="K4" t="str">
        <f xml:space="preserve"> IF(InventoryModel[[#This Row],[CurrentStockLevel]] &lt; InventoryModel[[#This Row],[ReorderPoint]], "At Risk", "OK")</f>
        <v>At Risk</v>
      </c>
      <c r="L4" s="7">
        <f>(InventoryModel[[#This Row],[ReorderPoint]] - InventoryModel[[#This Row],[CurrentStockLevel]]) / InventoryModel[[#This Row],[ReorderPoint]]</f>
        <v>3.5693761718920074E-2</v>
      </c>
      <c r="M4" s="3" t="str" cm="1">
        <f t="array" ref="M4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4" s="3">
        <f>AVERAGEIFS(DemandHistory[AbsPctError],DemandHistory[SKUID],A4)</f>
        <v>9.5881138448024594E-2</v>
      </c>
      <c r="O4" s="3">
        <f>InventoryModel[[#This Row],[StdDevWeeklyDemand]] / InventoryModel[[#This Row],[AvgWeeklyDemand]]</f>
        <v>0.15503041353739491</v>
      </c>
      <c r="P4" s="3" t="str">
        <f>_xlfn.XLOOKUP(A4, SKU_Master[SKUID], SKU_Master[Category], "Not Found", 0)</f>
        <v>Chains &amp; Bars</v>
      </c>
      <c r="Q4" s="13">
        <f>MEDIAN(InventoryModel[AvgForecastError])</f>
        <v>0.10832397345273527</v>
      </c>
    </row>
    <row r="5" spans="1:20" x14ac:dyDescent="0.25">
      <c r="A5" s="2" t="s">
        <v>18</v>
      </c>
      <c r="B5">
        <f>SUMIF(DemandHistory!A:A, A5, DemandHistory!C:C) * 2</f>
        <v>6762</v>
      </c>
      <c r="C5" s="4">
        <f>SQRT((2*B5*_xlfn.XLOOKUP(A5,SKU_Master!A:A,SKU_Master!E:E,,0))/_xlfn.XLOOKUP(A5,SKU_Master!A:A,SKU_Master!F:F,,0))</f>
        <v>194.22220528390659</v>
      </c>
      <c r="D5" s="3">
        <f>_xlfn.XLOOKUP(InventoryModel[[#This Row],[SKUID]], DemandSummary!$A:$A, DemandSummary!$B:$B)</f>
        <v>130.03846153846155</v>
      </c>
      <c r="E5" s="3">
        <f>_xlfn.XLOOKUP(InventoryModel[[#This Row],[SKUID]],DemandSummary!A:A,DemandSummary!C:C,,0)</f>
        <v>11.921344787332613</v>
      </c>
      <c r="F5" s="3">
        <f>_xlfn.XLOOKUP(A5, SKU_Master[SKUID], SKU_Master[LeadTimeDaysStdDev], "Not Found", 0) / 7</f>
        <v>0.41428571428571426</v>
      </c>
      <c r="G5" s="3">
        <f>_xlfn.XLOOKUP(A5, SKU_Master[SKUID], SKU_Master[LeadTimeDaysAvg], "Not Found", 0) / 7</f>
        <v>0.8571428571428571</v>
      </c>
      <c r="H5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90.736862669127689</v>
      </c>
      <c r="I5" s="4">
        <f xml:space="preserve"> (InventoryModel[[#This Row],[AvgWeeklyDemand]] * InventoryModel[[#This Row],[LeadTimeWeeks]]) + InventoryModel[[#This Row],[SafetyStock]]</f>
        <v>202.19840113066616</v>
      </c>
      <c r="J5">
        <f>_xlfn.XLOOKUP(A5,SKU_Master[SKUID],SKU_Master[CurrentStockLevel],"Not Found", 0)</f>
        <v>177</v>
      </c>
      <c r="K5" t="str">
        <f xml:space="preserve"> IF(InventoryModel[[#This Row],[CurrentStockLevel]] &lt; InventoryModel[[#This Row],[ReorderPoint]], "At Risk", "OK")</f>
        <v>At Risk</v>
      </c>
      <c r="L5" s="7">
        <f>(InventoryModel[[#This Row],[ReorderPoint]] - InventoryModel[[#This Row],[CurrentStockLevel]]) / InventoryModel[[#This Row],[ReorderPoint]]</f>
        <v>0.12462215818601977</v>
      </c>
      <c r="M5" s="3" t="str" cm="1">
        <f t="array" ref="M5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5" s="3">
        <f>AVERAGEIFS(DemandHistory[AbsPctError],DemandHistory[SKUID],A5)</f>
        <v>6.3020133963995695E-2</v>
      </c>
      <c r="O5" s="3">
        <f>InventoryModel[[#This Row],[StdDevWeeklyDemand]] / InventoryModel[[#This Row],[AvgWeeklyDemand]]</f>
        <v>9.1675529272596243E-2</v>
      </c>
      <c r="P5" s="3" t="str">
        <f>_xlfn.XLOOKUP(A5, SKU_Master[SKUID], SKU_Master[Category], "Not Found", 0)</f>
        <v>Blowers</v>
      </c>
      <c r="Q5" s="8" t="s">
        <v>355</v>
      </c>
    </row>
    <row r="6" spans="1:20" x14ac:dyDescent="0.25">
      <c r="A6" s="2" t="s">
        <v>21</v>
      </c>
      <c r="B6">
        <f>SUMIF(DemandHistory!A:A, A6, DemandHistory!C:C) * 2</f>
        <v>4202</v>
      </c>
      <c r="C6" s="4">
        <f>SQRT((2*B6*_xlfn.XLOOKUP(A6,SKU_Master!A:A,SKU_Master!E:E,,0))/_xlfn.XLOOKUP(A6,SKU_Master!A:A,SKU_Master!F:F,,0))</f>
        <v>75.543407877601396</v>
      </c>
      <c r="D6" s="3">
        <f>_xlfn.XLOOKUP(InventoryModel[[#This Row],[SKUID]], DemandSummary!$A:$A, DemandSummary!$B:$B)</f>
        <v>80.807692307692307</v>
      </c>
      <c r="E6" s="3">
        <f>_xlfn.XLOOKUP(InventoryModel[[#This Row],[SKUID]],DemandSummary!A:A,DemandSummary!C:C,,0)</f>
        <v>12.778166474950103</v>
      </c>
      <c r="F6" s="3">
        <f>_xlfn.XLOOKUP(A6, SKU_Master[SKUID], SKU_Master[LeadTimeDaysStdDev], "Not Found", 0) / 7</f>
        <v>0.27142857142857141</v>
      </c>
      <c r="G6" s="3">
        <f>_xlfn.XLOOKUP(A6, SKU_Master[SKUID], SKU_Master[LeadTimeDaysAvg], "Not Found", 0) / 7</f>
        <v>2.2857142857142856</v>
      </c>
      <c r="H6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48.226711074676615</v>
      </c>
      <c r="I6" s="4">
        <f xml:space="preserve"> (InventoryModel[[#This Row],[AvgWeeklyDemand]] * InventoryModel[[#This Row],[LeadTimeWeeks]]) + InventoryModel[[#This Row],[SafetyStock]]</f>
        <v>232.93000777797332</v>
      </c>
      <c r="J6">
        <f>_xlfn.XLOOKUP(A6,SKU_Master[SKUID],SKU_Master[CurrentStockLevel],"Not Found", 0)</f>
        <v>253</v>
      </c>
      <c r="K6" t="str">
        <f xml:space="preserve"> IF(InventoryModel[[#This Row],[CurrentStockLevel]] &lt; InventoryModel[[#This Row],[ReorderPoint]], "At Risk", "OK")</f>
        <v>OK</v>
      </c>
      <c r="L6" s="7">
        <f>(InventoryModel[[#This Row],[ReorderPoint]] - InventoryModel[[#This Row],[CurrentStockLevel]]) / InventoryModel[[#This Row],[ReorderPoint]]</f>
        <v>-8.6163188734176374E-2</v>
      </c>
      <c r="M6" s="3" t="str" cm="1">
        <f t="array" ref="M6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6" s="3">
        <f>AVERAGEIFS(DemandHistory[AbsPctError],DemandHistory[SKUID],A6)</f>
        <v>9.6586675936930669E-2</v>
      </c>
      <c r="O6" s="3">
        <f>InventoryModel[[#This Row],[StdDevWeeklyDemand]] / InventoryModel[[#This Row],[AvgWeeklyDemand]]</f>
        <v>0.1581305703706343</v>
      </c>
      <c r="P6" s="3" t="str">
        <f>_xlfn.XLOOKUP(A6, SKU_Master[SKUID], SKU_Master[Category], "Not Found", 0)</f>
        <v>Batteries</v>
      </c>
      <c r="Q6" s="14">
        <f>CORREL(InventoryModel[CurrentStockLevel], InventoryModel[ReorderPoint])</f>
        <v>-0.41892253064840651</v>
      </c>
    </row>
    <row r="7" spans="1:20" x14ac:dyDescent="0.25">
      <c r="A7" s="2" t="s">
        <v>24</v>
      </c>
      <c r="B7">
        <f>SUMIF(DemandHistory!A:A, A7, DemandHistory!C:C) * 2</f>
        <v>3992</v>
      </c>
      <c r="C7" s="4">
        <f>SQRT((2*B7*_xlfn.XLOOKUP(A7,SKU_Master!A:A,SKU_Master!E:E,,0))/_xlfn.XLOOKUP(A7,SKU_Master!A:A,SKU_Master!F:F,,0))</f>
        <v>71.118406831095726</v>
      </c>
      <c r="D7" s="3">
        <f>_xlfn.XLOOKUP(InventoryModel[[#This Row],[SKUID]], DemandSummary!$A:$A, DemandSummary!$B:$B)</f>
        <v>76.769230769230774</v>
      </c>
      <c r="E7" s="3">
        <f>_xlfn.XLOOKUP(InventoryModel[[#This Row],[SKUID]],DemandSummary!A:A,DemandSummary!C:C,,0)</f>
        <v>11.483231922443046</v>
      </c>
      <c r="F7" s="3">
        <f>_xlfn.XLOOKUP(A7, SKU_Master[SKUID], SKU_Master[LeadTimeDaysStdDev], "Not Found", 0) / 7</f>
        <v>0.51428571428571435</v>
      </c>
      <c r="G7" s="3">
        <f>_xlfn.XLOOKUP(A7, SKU_Master[SKUID], SKU_Master[LeadTimeDaysAvg], "Not Found", 0) / 7</f>
        <v>2.8571428571428572</v>
      </c>
      <c r="H7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72.591197630852335</v>
      </c>
      <c r="I7" s="4">
        <f xml:space="preserve"> (InventoryModel[[#This Row],[AvgWeeklyDemand]] * InventoryModel[[#This Row],[LeadTimeWeeks]]) + InventoryModel[[#This Row],[SafetyStock]]</f>
        <v>291.93185697151171</v>
      </c>
      <c r="J7">
        <f>_xlfn.XLOOKUP(A7,SKU_Master[SKUID],SKU_Master[CurrentStockLevel],"Not Found", 0)</f>
        <v>236</v>
      </c>
      <c r="K7" t="str">
        <f xml:space="preserve"> IF(InventoryModel[[#This Row],[CurrentStockLevel]] &lt; InventoryModel[[#This Row],[ReorderPoint]], "At Risk", "OK")</f>
        <v>At Risk</v>
      </c>
      <c r="L7" s="7">
        <f>(InventoryModel[[#This Row],[ReorderPoint]] - InventoryModel[[#This Row],[CurrentStockLevel]]) / InventoryModel[[#This Row],[ReorderPoint]]</f>
        <v>0.19159216658211387</v>
      </c>
      <c r="M7" s="3" t="str" cm="1">
        <f t="array" ref="M7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7" s="3">
        <f>AVERAGEIFS(DemandHistory[AbsPctError],DemandHistory[SKUID],A7)</f>
        <v>9.8842418087709341E-2</v>
      </c>
      <c r="O7" s="3">
        <f>InventoryModel[[#This Row],[StdDevWeeklyDemand]] / InventoryModel[[#This Row],[AvgWeeklyDemand]]</f>
        <v>0.14958117734645249</v>
      </c>
      <c r="P7" s="3" t="str">
        <f>_xlfn.XLOOKUP(A7, SKU_Master[SKUID], SKU_Master[Category], "Not Found", 0)</f>
        <v>Mowers</v>
      </c>
    </row>
    <row r="8" spans="1:20" x14ac:dyDescent="0.25">
      <c r="A8" s="2" t="s">
        <v>27</v>
      </c>
      <c r="B8">
        <f>SUMIF(DemandHistory!A:A, A8, DemandHistory!C:C) * 2</f>
        <v>2934</v>
      </c>
      <c r="C8" s="4">
        <f>SQRT((2*B8*_xlfn.XLOOKUP(A8,SKU_Master!A:A,SKU_Master!E:E,,0))/_xlfn.XLOOKUP(A8,SKU_Master!A:A,SKU_Master!F:F,,0))</f>
        <v>173.59725503740472</v>
      </c>
      <c r="D8" s="3">
        <f>_xlfn.XLOOKUP(InventoryModel[[#This Row],[SKUID]], DemandSummary!$A:$A, DemandSummary!$B:$B)</f>
        <v>56.42307692307692</v>
      </c>
      <c r="E8" s="3">
        <f>_xlfn.XLOOKUP(InventoryModel[[#This Row],[SKUID]],DemandSummary!A:A,DemandSummary!C:C,,0)</f>
        <v>8.4908095111035351</v>
      </c>
      <c r="F8" s="3">
        <f>_xlfn.XLOOKUP(A8, SKU_Master[SKUID], SKU_Master[LeadTimeDaysStdDev], "Not Found", 0) / 7</f>
        <v>0.21428571428571427</v>
      </c>
      <c r="G8" s="3">
        <f>_xlfn.XLOOKUP(A8, SKU_Master[SKUID], SKU_Master[LeadTimeDaysAvg], "Not Found", 0) / 7</f>
        <v>2.5714285714285716</v>
      </c>
      <c r="H8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30.044874380556884</v>
      </c>
      <c r="I8" s="4">
        <f xml:space="preserve"> (InventoryModel[[#This Row],[AvgWeeklyDemand]] * InventoryModel[[#This Row],[LeadTimeWeeks]]) + InventoryModel[[#This Row],[SafetyStock]]</f>
        <v>175.13278646846896</v>
      </c>
      <c r="J8">
        <f>_xlfn.XLOOKUP(A8,SKU_Master[SKUID],SKU_Master[CurrentStockLevel],"Not Found", 0)</f>
        <v>137</v>
      </c>
      <c r="K8" t="str">
        <f xml:space="preserve"> IF(InventoryModel[[#This Row],[CurrentStockLevel]] &lt; InventoryModel[[#This Row],[ReorderPoint]], "At Risk", "OK")</f>
        <v>At Risk</v>
      </c>
      <c r="L8" s="7">
        <f>(InventoryModel[[#This Row],[ReorderPoint]] - InventoryModel[[#This Row],[CurrentStockLevel]]) / InventoryModel[[#This Row],[ReorderPoint]]</f>
        <v>0.21773642295889822</v>
      </c>
      <c r="M8" s="3" t="str" cm="1">
        <f t="array" ref="M8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8" s="3">
        <f>AVERAGEIFS(DemandHistory[AbsPctError],DemandHistory[SKUID],A8)</f>
        <v>9.9001327435691594E-2</v>
      </c>
      <c r="O8" s="3">
        <f>InventoryModel[[#This Row],[StdDevWeeklyDemand]] / InventoryModel[[#This Row],[AvgWeeklyDemand]]</f>
        <v>0.15048469481165094</v>
      </c>
      <c r="P8" s="3" t="str">
        <f>_xlfn.XLOOKUP(A8, SKU_Master[SKUID], SKU_Master[Category], "Not Found", 0)</f>
        <v>Accessories</v>
      </c>
    </row>
    <row r="9" spans="1:20" x14ac:dyDescent="0.25">
      <c r="A9" s="2" t="s">
        <v>30</v>
      </c>
      <c r="B9">
        <f>SUMIF(DemandHistory!A:A, A9, DemandHistory!C:C) * 2</f>
        <v>6174</v>
      </c>
      <c r="C9" s="4">
        <f>SQRT((2*B9*_xlfn.XLOOKUP(A9,SKU_Master!A:A,SKU_Master!E:E,,0))/_xlfn.XLOOKUP(A9,SKU_Master!A:A,SKU_Master!F:F,,0))</f>
        <v>81.164186019764429</v>
      </c>
      <c r="D9" s="3">
        <f>_xlfn.XLOOKUP(InventoryModel[[#This Row],[SKUID]], DemandSummary!$A:$A, DemandSummary!$B:$B)</f>
        <v>118.73076923076923</v>
      </c>
      <c r="E9" s="3">
        <f>_xlfn.XLOOKUP(InventoryModel[[#This Row],[SKUID]],DemandSummary!A:A,DemandSummary!C:C,,0)</f>
        <v>21.680512341377337</v>
      </c>
      <c r="F9" s="3">
        <f>_xlfn.XLOOKUP(A9, SKU_Master[SKUID], SKU_Master[LeadTimeDaysStdDev], "Not Found", 0) / 7</f>
        <v>0.47142857142857142</v>
      </c>
      <c r="G9" s="3">
        <f>_xlfn.XLOOKUP(A9, SKU_Master[SKUID], SKU_Master[LeadTimeDaysAvg], "Not Found", 0) / 7</f>
        <v>1</v>
      </c>
      <c r="H9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99.041653127252431</v>
      </c>
      <c r="I9" s="4">
        <f xml:space="preserve"> (InventoryModel[[#This Row],[AvgWeeklyDemand]] * InventoryModel[[#This Row],[LeadTimeWeeks]]) + InventoryModel[[#This Row],[SafetyStock]]</f>
        <v>217.77242235802166</v>
      </c>
      <c r="J9">
        <f>_xlfn.XLOOKUP(A9,SKU_Master[SKUID],SKU_Master[CurrentStockLevel],"Not Found", 0)</f>
        <v>196</v>
      </c>
      <c r="K9" t="str">
        <f xml:space="preserve"> IF(InventoryModel[[#This Row],[CurrentStockLevel]] &lt; InventoryModel[[#This Row],[ReorderPoint]], "At Risk", "OK")</f>
        <v>At Risk</v>
      </c>
      <c r="L9" s="7">
        <f>(InventoryModel[[#This Row],[ReorderPoint]] - InventoryModel[[#This Row],[CurrentStockLevel]]) / InventoryModel[[#This Row],[ReorderPoint]]</f>
        <v>9.9977867363882353E-2</v>
      </c>
      <c r="M9" s="3" t="str" cm="1">
        <f t="array" ref="M9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9" s="3">
        <f>AVERAGEIFS(DemandHistory[AbsPctError],DemandHistory[SKUID],A9)</f>
        <v>0.1395184251623173</v>
      </c>
      <c r="O9" s="3">
        <f>InventoryModel[[#This Row],[StdDevWeeklyDemand]] / InventoryModel[[#This Row],[AvgWeeklyDemand]]</f>
        <v>0.18260230673009745</v>
      </c>
      <c r="P9" s="3" t="str">
        <f>_xlfn.XLOOKUP(A9, SKU_Master[SKUID], SKU_Master[Category], "Not Found", 0)</f>
        <v>Mowers</v>
      </c>
    </row>
    <row r="10" spans="1:20" x14ac:dyDescent="0.25">
      <c r="A10" s="2" t="s">
        <v>32</v>
      </c>
      <c r="B10">
        <f>SUMIF(DemandHistory!A:A, A10, DemandHistory!C:C) * 2</f>
        <v>1228</v>
      </c>
      <c r="C10" s="4">
        <f>SQRT((2*B10*_xlfn.XLOOKUP(A10,SKU_Master!A:A,SKU_Master!E:E,,0))/_xlfn.XLOOKUP(A10,SKU_Master!A:A,SKU_Master!F:F,,0))</f>
        <v>64.100283905645711</v>
      </c>
      <c r="D10" s="3">
        <f>_xlfn.XLOOKUP(InventoryModel[[#This Row],[SKUID]], DemandSummary!$A:$A, DemandSummary!$B:$B)</f>
        <v>23.615384615384617</v>
      </c>
      <c r="E10" s="3">
        <f>_xlfn.XLOOKUP(InventoryModel[[#This Row],[SKUID]],DemandSummary!A:A,DemandSummary!C:C,,0)</f>
        <v>2.9131003838099758</v>
      </c>
      <c r="F10" s="3">
        <f>_xlfn.XLOOKUP(A10, SKU_Master[SKUID], SKU_Master[LeadTimeDaysStdDev], "Not Found", 0) / 7</f>
        <v>0.17142857142857143</v>
      </c>
      <c r="G10" s="3">
        <f>_xlfn.XLOOKUP(A10, SKU_Master[SKUID], SKU_Master[LeadTimeDaysAvg], "Not Found", 0) / 7</f>
        <v>2.7142857142857144</v>
      </c>
      <c r="H10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10.359976348352014</v>
      </c>
      <c r="I10" s="4">
        <f xml:space="preserve"> (InventoryModel[[#This Row],[AvgWeeklyDemand]] * InventoryModel[[#This Row],[LeadTimeWeeks]]) + InventoryModel[[#This Row],[SafetyStock]]</f>
        <v>74.458877447253116</v>
      </c>
      <c r="J10">
        <f>_xlfn.XLOOKUP(A10,SKU_Master[SKUID],SKU_Master[CurrentStockLevel],"Not Found", 0)</f>
        <v>73</v>
      </c>
      <c r="K10" t="str">
        <f xml:space="preserve"> IF(InventoryModel[[#This Row],[CurrentStockLevel]] &lt; InventoryModel[[#This Row],[ReorderPoint]], "At Risk", "OK")</f>
        <v>At Risk</v>
      </c>
      <c r="L10" s="7">
        <f>(InventoryModel[[#This Row],[ReorderPoint]] - InventoryModel[[#This Row],[CurrentStockLevel]]) / InventoryModel[[#This Row],[ReorderPoint]]</f>
        <v>1.9593062604074157E-2</v>
      </c>
      <c r="M10" s="3" t="str" cm="1">
        <f t="array" ref="M10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10" s="3">
        <f>AVERAGEIFS(DemandHistory[AbsPctError],DemandHistory[SKUID],A10)</f>
        <v>7.1593085035386445E-2</v>
      </c>
      <c r="O10" s="3">
        <f>InventoryModel[[#This Row],[StdDevWeeklyDemand]] / InventoryModel[[#This Row],[AvgWeeklyDemand]]</f>
        <v>0.1233560423111716</v>
      </c>
      <c r="P10" s="3" t="str">
        <f>_xlfn.XLOOKUP(A10, SKU_Master[SKUID], SKU_Master[Category], "Not Found", 0)</f>
        <v>Small Parts</v>
      </c>
    </row>
    <row r="11" spans="1:20" x14ac:dyDescent="0.25">
      <c r="A11" s="2" t="s">
        <v>35</v>
      </c>
      <c r="B11">
        <f>SUMIF(DemandHistory!A:A, A11, DemandHistory!C:C) * 2</f>
        <v>2776</v>
      </c>
      <c r="C11" s="4">
        <f>SQRT((2*B11*_xlfn.XLOOKUP(A11,SKU_Master!A:A,SKU_Master!E:E,,0))/_xlfn.XLOOKUP(A11,SKU_Master!A:A,SKU_Master!F:F,,0))</f>
        <v>118.53211182646642</v>
      </c>
      <c r="D11" s="3">
        <f>_xlfn.XLOOKUP(InventoryModel[[#This Row],[SKUID]], DemandSummary!$A:$A, DemandSummary!$B:$B)</f>
        <v>53.384615384615387</v>
      </c>
      <c r="E11" s="3">
        <f>_xlfn.XLOOKUP(InventoryModel[[#This Row],[SKUID]],DemandSummary!A:A,DemandSummary!C:C,,0)</f>
        <v>19.946081165135013</v>
      </c>
      <c r="F11" s="3">
        <f>_xlfn.XLOOKUP(A11, SKU_Master[SKUID], SKU_Master[LeadTimeDaysStdDev], "Not Found", 0) / 7</f>
        <v>1.1285714285714286</v>
      </c>
      <c r="G11" s="3">
        <f>_xlfn.XLOOKUP(A11, SKU_Master[SKUID], SKU_Master[LeadTimeDaysAvg], "Not Found", 0) / 7</f>
        <v>6.1428571428571432</v>
      </c>
      <c r="H11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128.59181569091271</v>
      </c>
      <c r="I11" s="4">
        <f xml:space="preserve"> (InventoryModel[[#This Row],[AvgWeeklyDemand]] * InventoryModel[[#This Row],[LeadTimeWeeks]]) + InventoryModel[[#This Row],[SafetyStock]]</f>
        <v>456.52588162497869</v>
      </c>
      <c r="J11">
        <f>_xlfn.XLOOKUP(A11,SKU_Master[SKUID],SKU_Master[CurrentStockLevel],"Not Found", 0)</f>
        <v>33</v>
      </c>
      <c r="K11" t="str">
        <f xml:space="preserve"> IF(InventoryModel[[#This Row],[CurrentStockLevel]] &lt; InventoryModel[[#This Row],[ReorderPoint]], "At Risk", "OK")</f>
        <v>At Risk</v>
      </c>
      <c r="L11" s="7">
        <f>(InventoryModel[[#This Row],[ReorderPoint]] - InventoryModel[[#This Row],[CurrentStockLevel]]) / InventoryModel[[#This Row],[ReorderPoint]]</f>
        <v>0.9277149416314836</v>
      </c>
      <c r="M11" s="3" t="str" cm="1">
        <f t="array" ref="M11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11" s="3">
        <f>AVERAGEIFS(DemandHistory[AbsPctError],DemandHistory[SKUID],A11)</f>
        <v>0.32005504282587621</v>
      </c>
      <c r="O11" s="3">
        <f>InventoryModel[[#This Row],[StdDevWeeklyDemand]] / InventoryModel[[#This Row],[AvgWeeklyDemand]]</f>
        <v>0.37362976245930135</v>
      </c>
      <c r="P11" s="3" t="str">
        <f>_xlfn.XLOOKUP(A11, SKU_Master[SKUID], SKU_Master[Category], "Not Found", 0)</f>
        <v>Chains &amp; Bars</v>
      </c>
    </row>
    <row r="12" spans="1:20" x14ac:dyDescent="0.25">
      <c r="A12" s="2" t="s">
        <v>37</v>
      </c>
      <c r="B12">
        <f>SUMIF(DemandHistory!A:A, A12, DemandHistory!C:C) * 2</f>
        <v>6434</v>
      </c>
      <c r="C12" s="4">
        <f>SQRT((2*B12*_xlfn.XLOOKUP(A12,SKU_Master!A:A,SKU_Master!E:E,,0))/_xlfn.XLOOKUP(A12,SKU_Master!A:A,SKU_Master!F:F,,0))</f>
        <v>147.1351444466338</v>
      </c>
      <c r="D12" s="3">
        <f>_xlfn.XLOOKUP(InventoryModel[[#This Row],[SKUID]], DemandSummary!$A:$A, DemandSummary!$B:$B)</f>
        <v>123.73076923076923</v>
      </c>
      <c r="E12" s="3">
        <f>_xlfn.XLOOKUP(InventoryModel[[#This Row],[SKUID]],DemandSummary!A:A,DemandSummary!C:C,,0)</f>
        <v>18.197928876237953</v>
      </c>
      <c r="F12" s="3">
        <f>_xlfn.XLOOKUP(A12, SKU_Master[SKUID], SKU_Master[LeadTimeDaysStdDev], "Not Found", 0) / 7</f>
        <v>0.3</v>
      </c>
      <c r="G12" s="3">
        <f>_xlfn.XLOOKUP(A12, SKU_Master[SKUID], SKU_Master[LeadTimeDaysAvg], "Not Found", 0) / 7</f>
        <v>2.7142857142857144</v>
      </c>
      <c r="H12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78.729602212471647</v>
      </c>
      <c r="I12" s="4">
        <f xml:space="preserve"> (InventoryModel[[#This Row],[AvgWeeklyDemand]] * InventoryModel[[#This Row],[LeadTimeWeeks]]) + InventoryModel[[#This Row],[SafetyStock]]</f>
        <v>414.57026155313099</v>
      </c>
      <c r="J12">
        <f>_xlfn.XLOOKUP(A12,SKU_Master[SKUID],SKU_Master[CurrentStockLevel],"Not Found", 0)</f>
        <v>206</v>
      </c>
      <c r="K12" t="str">
        <f xml:space="preserve"> IF(InventoryModel[[#This Row],[CurrentStockLevel]] &lt; InventoryModel[[#This Row],[ReorderPoint]], "At Risk", "OK")</f>
        <v>At Risk</v>
      </c>
      <c r="L12" s="7">
        <f>(InventoryModel[[#This Row],[ReorderPoint]] - InventoryModel[[#This Row],[CurrentStockLevel]]) / InventoryModel[[#This Row],[ReorderPoint]]</f>
        <v>0.50309991066834103</v>
      </c>
      <c r="M12" s="3" t="str" cm="1">
        <f t="array" ref="M12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12" s="3">
        <f>AVERAGEIFS(DemandHistory[AbsPctError],DemandHistory[SKUID],A12)</f>
        <v>0.13524463590522903</v>
      </c>
      <c r="O12" s="3">
        <f>InventoryModel[[#This Row],[StdDevWeeklyDemand]] / InventoryModel[[#This Row],[AvgWeeklyDemand]]</f>
        <v>0.14707682647876494</v>
      </c>
      <c r="P12" s="3" t="str">
        <f>_xlfn.XLOOKUP(A12, SKU_Master[SKUID], SKU_Master[Category], "Not Found", 0)</f>
        <v>Chains &amp; Bars</v>
      </c>
    </row>
    <row r="13" spans="1:20" x14ac:dyDescent="0.25">
      <c r="A13" s="2" t="s">
        <v>39</v>
      </c>
      <c r="B13">
        <f>SUMIF(DemandHistory!A:A, A13, DemandHistory!C:C) * 2</f>
        <v>5080</v>
      </c>
      <c r="C13" s="4">
        <f>SQRT((2*B13*_xlfn.XLOOKUP(A13,SKU_Master!A:A,SKU_Master!E:E,,0))/_xlfn.XLOOKUP(A13,SKU_Master!A:A,SKU_Master!F:F,,0))</f>
        <v>103.97148551361057</v>
      </c>
      <c r="D13" s="3">
        <f>_xlfn.XLOOKUP(InventoryModel[[#This Row],[SKUID]], DemandSummary!$A:$A, DemandSummary!$B:$B)</f>
        <v>97.692307692307693</v>
      </c>
      <c r="E13" s="3">
        <f>_xlfn.XLOOKUP(InventoryModel[[#This Row],[SKUID]],DemandSummary!A:A,DemandSummary!C:C,,0)</f>
        <v>14.877551494165253</v>
      </c>
      <c r="F13" s="3">
        <f>_xlfn.XLOOKUP(A13, SKU_Master[SKUID], SKU_Master[LeadTimeDaysStdDev], "Not Found", 0) / 7</f>
        <v>0.31428571428571433</v>
      </c>
      <c r="G13" s="3">
        <f>_xlfn.XLOOKUP(A13, SKU_Master[SKUID], SKU_Master[LeadTimeDaysAvg], "Not Found", 0) / 7</f>
        <v>1.7142857142857142</v>
      </c>
      <c r="H13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59.995939168219799</v>
      </c>
      <c r="I13" s="4">
        <f xml:space="preserve"> (InventoryModel[[#This Row],[AvgWeeklyDemand]] * InventoryModel[[#This Row],[LeadTimeWeeks]]) + InventoryModel[[#This Row],[SafetyStock]]</f>
        <v>227.46846664074727</v>
      </c>
      <c r="J13">
        <f>_xlfn.XLOOKUP(A13,SKU_Master[SKUID],SKU_Master[CurrentStockLevel],"Not Found", 0)</f>
        <v>284</v>
      </c>
      <c r="K13" t="str">
        <f xml:space="preserve"> IF(InventoryModel[[#This Row],[CurrentStockLevel]] &lt; InventoryModel[[#This Row],[ReorderPoint]], "At Risk", "OK")</f>
        <v>OK</v>
      </c>
      <c r="L13" s="7">
        <f>(InventoryModel[[#This Row],[ReorderPoint]] - InventoryModel[[#This Row],[CurrentStockLevel]]) / InventoryModel[[#This Row],[ReorderPoint]]</f>
        <v>-0.24852470407925117</v>
      </c>
      <c r="M13" s="3" t="str" cm="1">
        <f t="array" ref="M13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WatchOverstock</v>
      </c>
      <c r="N13" s="3">
        <f>AVERAGEIFS(DemandHistory[AbsPctError],DemandHistory[SKUID],A13)</f>
        <v>0.10468491905681614</v>
      </c>
      <c r="O13" s="3">
        <f>InventoryModel[[#This Row],[StdDevWeeklyDemand]] / InventoryModel[[#This Row],[AvgWeeklyDemand]]</f>
        <v>0.15228989718436872</v>
      </c>
      <c r="P13" s="3" t="str">
        <f>_xlfn.XLOOKUP(A13, SKU_Master[SKUID], SKU_Master[Category], "Not Found", 0)</f>
        <v>Trimmers</v>
      </c>
      <c r="T13">
        <v>0</v>
      </c>
    </row>
    <row r="14" spans="1:20" x14ac:dyDescent="0.25">
      <c r="A14" s="2" t="s">
        <v>41</v>
      </c>
      <c r="B14">
        <f>SUMIF(DemandHistory!A:A, A14, DemandHistory!C:C) * 2</f>
        <v>2352</v>
      </c>
      <c r="C14" s="4">
        <f>SQRT((2*B14*_xlfn.XLOOKUP(A14,SKU_Master!A:A,SKU_Master!E:E,,0))/_xlfn.XLOOKUP(A14,SKU_Master!A:A,SKU_Master!F:F,,0))</f>
        <v>178.14813422211174</v>
      </c>
      <c r="D14" s="3">
        <f>_xlfn.XLOOKUP(InventoryModel[[#This Row],[SKUID]], DemandSummary!$A:$A, DemandSummary!$B:$B)</f>
        <v>45.230769230769234</v>
      </c>
      <c r="E14" s="3">
        <f>_xlfn.XLOOKUP(InventoryModel[[#This Row],[SKUID]],DemandSummary!A:A,DemandSummary!C:C,,0)</f>
        <v>15.639201238701908</v>
      </c>
      <c r="F14" s="3">
        <f>_xlfn.XLOOKUP(A14, SKU_Master[SKUID], SKU_Master[LeadTimeDaysStdDev], "Not Found", 0) / 7</f>
        <v>1.5571428571428572</v>
      </c>
      <c r="G14" s="3">
        <f>_xlfn.XLOOKUP(A14, SKU_Master[SKUID], SKU_Master[LeadTimeDaysAvg], "Not Found", 0) / 7</f>
        <v>3.5714285714285716</v>
      </c>
      <c r="H14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126.02813777716754</v>
      </c>
      <c r="I14" s="4">
        <f xml:space="preserve"> (InventoryModel[[#This Row],[AvgWeeklyDemand]] * InventoryModel[[#This Row],[LeadTimeWeeks]]) + InventoryModel[[#This Row],[SafetyStock]]</f>
        <v>287.56659931562911</v>
      </c>
      <c r="J14">
        <f>_xlfn.XLOOKUP(A14,SKU_Master[SKUID],SKU_Master[CurrentStockLevel],"Not Found", 0)</f>
        <v>40</v>
      </c>
      <c r="K14" t="str">
        <f xml:space="preserve"> IF(InventoryModel[[#This Row],[CurrentStockLevel]] &lt; InventoryModel[[#This Row],[ReorderPoint]], "At Risk", "OK")</f>
        <v>At Risk</v>
      </c>
      <c r="L14" s="7">
        <f>(InventoryModel[[#This Row],[ReorderPoint]] - InventoryModel[[#This Row],[CurrentStockLevel]]) / InventoryModel[[#This Row],[ReorderPoint]]</f>
        <v>0.86090178728964084</v>
      </c>
      <c r="M14" s="3" t="str" cm="1">
        <f t="array" ref="M14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14" s="3">
        <f>AVERAGEIFS(DemandHistory[AbsPctError],DemandHistory[SKUID],A14)</f>
        <v>0.27831971053285764</v>
      </c>
      <c r="O14" s="3">
        <f>InventoryModel[[#This Row],[StdDevWeeklyDemand]] / InventoryModel[[#This Row],[AvgWeeklyDemand]]</f>
        <v>0.34576465323660677</v>
      </c>
      <c r="P14" s="3" t="str">
        <f>_xlfn.XLOOKUP(A14, SKU_Master[SKUID], SKU_Master[Category], "Not Found", 0)</f>
        <v>Accessories</v>
      </c>
    </row>
    <row r="15" spans="1:20" x14ac:dyDescent="0.25">
      <c r="A15" s="2" t="s">
        <v>43</v>
      </c>
      <c r="B15">
        <f>SUMIF(DemandHistory!A:A, A15, DemandHistory!C:C) * 2</f>
        <v>5626</v>
      </c>
      <c r="C15" s="4">
        <f>SQRT((2*B15*_xlfn.XLOOKUP(A15,SKU_Master!A:A,SKU_Master!E:E,,0))/_xlfn.XLOOKUP(A15,SKU_Master!A:A,SKU_Master!F:F,,0))</f>
        <v>129.16674674099468</v>
      </c>
      <c r="D15" s="3">
        <f>_xlfn.XLOOKUP(InventoryModel[[#This Row],[SKUID]], DemandSummary!$A:$A, DemandSummary!$B:$B)</f>
        <v>108.19230769230769</v>
      </c>
      <c r="E15" s="3">
        <f>_xlfn.XLOOKUP(InventoryModel[[#This Row],[SKUID]],DemandSummary!A:A,DemandSummary!C:C,,0)</f>
        <v>12.890366110453867</v>
      </c>
      <c r="F15" s="3">
        <f>_xlfn.XLOOKUP(A15, SKU_Master[SKUID], SKU_Master[LeadTimeDaysStdDev], "Not Found", 0) / 7</f>
        <v>0.55714285714285716</v>
      </c>
      <c r="G15" s="3">
        <f>_xlfn.XLOOKUP(A15, SKU_Master[SKUID], SKU_Master[LeadTimeDaysAvg], "Not Found", 0) / 7</f>
        <v>2.4285714285714284</v>
      </c>
      <c r="H15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104.83723118975499</v>
      </c>
      <c r="I15" s="4">
        <f xml:space="preserve"> (InventoryModel[[#This Row],[AvgWeeklyDemand]] * InventoryModel[[#This Row],[LeadTimeWeeks]]) + InventoryModel[[#This Row],[SafetyStock]]</f>
        <v>367.58997844250223</v>
      </c>
      <c r="J15">
        <f>_xlfn.XLOOKUP(A15,SKU_Master[SKUID],SKU_Master[CurrentStockLevel],"Not Found", 0)</f>
        <v>88</v>
      </c>
      <c r="K15" t="str">
        <f xml:space="preserve"> IF(InventoryModel[[#This Row],[CurrentStockLevel]] &lt; InventoryModel[[#This Row],[ReorderPoint]], "At Risk", "OK")</f>
        <v>At Risk</v>
      </c>
      <c r="L15" s="7">
        <f>(InventoryModel[[#This Row],[ReorderPoint]] - InventoryModel[[#This Row],[CurrentStockLevel]]) / InventoryModel[[#This Row],[ReorderPoint]]</f>
        <v>0.76060283152206554</v>
      </c>
      <c r="M15" s="3" t="str" cm="1">
        <f t="array" ref="M15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15" s="3">
        <f>AVERAGEIFS(DemandHistory[AbsPctError],DemandHistory[SKUID],A15)</f>
        <v>8.3640176612273257E-2</v>
      </c>
      <c r="O15" s="3">
        <f>InventoryModel[[#This Row],[StdDevWeeklyDemand]] / InventoryModel[[#This Row],[AvgWeeklyDemand]]</f>
        <v>0.11914309238243886</v>
      </c>
      <c r="P15" s="3" t="str">
        <f>_xlfn.XLOOKUP(A15, SKU_Master[SKUID], SKU_Master[Category], "Not Found", 0)</f>
        <v>Chains &amp; Bars</v>
      </c>
    </row>
    <row r="16" spans="1:20" x14ac:dyDescent="0.25">
      <c r="A16" s="2" t="s">
        <v>45</v>
      </c>
      <c r="B16">
        <f>SUMIF(DemandHistory!A:A, A16, DemandHistory!C:C) * 2</f>
        <v>4362</v>
      </c>
      <c r="C16" s="4">
        <f>SQRT((2*B16*_xlfn.XLOOKUP(A16,SKU_Master!A:A,SKU_Master!E:E,,0))/_xlfn.XLOOKUP(A16,SKU_Master!A:A,SKU_Master!F:F,,0))</f>
        <v>158.57379057972832</v>
      </c>
      <c r="D16" s="3">
        <f>_xlfn.XLOOKUP(InventoryModel[[#This Row],[SKUID]], DemandSummary!$A:$A, DemandSummary!$B:$B)</f>
        <v>83.884615384615387</v>
      </c>
      <c r="E16" s="3">
        <f>_xlfn.XLOOKUP(InventoryModel[[#This Row],[SKUID]],DemandSummary!A:A,DemandSummary!C:C,,0)</f>
        <v>32.026647558652684</v>
      </c>
      <c r="F16" s="3">
        <f>_xlfn.XLOOKUP(A16, SKU_Master[SKUID], SKU_Master[LeadTimeDaysStdDev], "Not Found", 0) / 7</f>
        <v>1.5714285714285714</v>
      </c>
      <c r="G16" s="3">
        <f>_xlfn.XLOOKUP(A16, SKU_Master[SKUID], SKU_Master[LeadTimeDaysAvg], "Not Found", 0) / 7</f>
        <v>5.1428571428571432</v>
      </c>
      <c r="H16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248.33034443159465</v>
      </c>
      <c r="I16" s="4">
        <f xml:space="preserve"> (InventoryModel[[#This Row],[AvgWeeklyDemand]] * InventoryModel[[#This Row],[LeadTimeWeeks]]) + InventoryModel[[#This Row],[SafetyStock]]</f>
        <v>679.73693783818817</v>
      </c>
      <c r="J16">
        <f>_xlfn.XLOOKUP(A16,SKU_Master[SKUID],SKU_Master[CurrentStockLevel],"Not Found", 0)</f>
        <v>16</v>
      </c>
      <c r="K16" t="str">
        <f xml:space="preserve"> IF(InventoryModel[[#This Row],[CurrentStockLevel]] &lt; InventoryModel[[#This Row],[ReorderPoint]], "At Risk", "OK")</f>
        <v>At Risk</v>
      </c>
      <c r="L16" s="7">
        <f>(InventoryModel[[#This Row],[ReorderPoint]] - InventoryModel[[#This Row],[CurrentStockLevel]]) / InventoryModel[[#This Row],[ReorderPoint]]</f>
        <v>0.97646148221562612</v>
      </c>
      <c r="M16" s="3" t="str" cm="1">
        <f t="array" ref="M16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16" s="3">
        <f>AVERAGEIFS(DemandHistory[AbsPctError],DemandHistory[SKUID],A16)</f>
        <v>0.51021044000642113</v>
      </c>
      <c r="O16" s="3">
        <f>InventoryModel[[#This Row],[StdDevWeeklyDemand]] / InventoryModel[[#This Row],[AvgWeeklyDemand]]</f>
        <v>0.38179405617834467</v>
      </c>
      <c r="P16" s="3" t="str">
        <f>_xlfn.XLOOKUP(A16, SKU_Master[SKUID], SKU_Master[Category], "Not Found", 0)</f>
        <v>Trimmers</v>
      </c>
    </row>
    <row r="17" spans="1:16" x14ac:dyDescent="0.25">
      <c r="A17" s="2" t="s">
        <v>47</v>
      </c>
      <c r="B17">
        <f>SUMIF(DemandHistory!A:A, A17, DemandHistory!C:C) * 2</f>
        <v>4352</v>
      </c>
      <c r="C17" s="4">
        <f>SQRT((2*B17*_xlfn.XLOOKUP(A17,SKU_Master!A:A,SKU_Master!E:E,,0))/_xlfn.XLOOKUP(A17,SKU_Master!A:A,SKU_Master!F:F,,0))</f>
        <v>105.28078927403583</v>
      </c>
      <c r="D17" s="3">
        <f>_xlfn.XLOOKUP(InventoryModel[[#This Row],[SKUID]], DemandSummary!$A:$A, DemandSummary!$B:$B)</f>
        <v>83.692307692307693</v>
      </c>
      <c r="E17" s="3">
        <f>_xlfn.XLOOKUP(InventoryModel[[#This Row],[SKUID]],DemandSummary!A:A,DemandSummary!C:C,,0)</f>
        <v>8.7853024115017657</v>
      </c>
      <c r="F17" s="3">
        <f>_xlfn.XLOOKUP(A17, SKU_Master[SKUID], SKU_Master[LeadTimeDaysStdDev], "Not Found", 0) / 7</f>
        <v>0.55714285714285716</v>
      </c>
      <c r="G17" s="3">
        <f>_xlfn.XLOOKUP(A17, SKU_Master[SKUID], SKU_Master[LeadTimeDaysAvg], "Not Found", 0) / 7</f>
        <v>2.1428571428571428</v>
      </c>
      <c r="H17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79.809745854989373</v>
      </c>
      <c r="I17" s="4">
        <f xml:space="preserve"> (InventoryModel[[#This Row],[AvgWeeklyDemand]] * InventoryModel[[#This Row],[LeadTimeWeeks]]) + InventoryModel[[#This Row],[SafetyStock]]</f>
        <v>259.15040519564872</v>
      </c>
      <c r="J17">
        <f>_xlfn.XLOOKUP(A17,SKU_Master[SKUID],SKU_Master[CurrentStockLevel],"Not Found", 0)</f>
        <v>226</v>
      </c>
      <c r="K17" t="str">
        <f xml:space="preserve"> IF(InventoryModel[[#This Row],[CurrentStockLevel]] &lt; InventoryModel[[#This Row],[ReorderPoint]], "At Risk", "OK")</f>
        <v>At Risk</v>
      </c>
      <c r="L17" s="7">
        <f>(InventoryModel[[#This Row],[ReorderPoint]] - InventoryModel[[#This Row],[CurrentStockLevel]]) / InventoryModel[[#This Row],[ReorderPoint]]</f>
        <v>0.12791955764306606</v>
      </c>
      <c r="M17" s="3" t="str" cm="1">
        <f t="array" ref="M17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17" s="3">
        <f>AVERAGEIFS(DemandHistory[AbsPctError],DemandHistory[SKUID],A17)</f>
        <v>6.5346331557686835E-2</v>
      </c>
      <c r="O17" s="3">
        <f>InventoryModel[[#This Row],[StdDevWeeklyDemand]] / InventoryModel[[#This Row],[AvgWeeklyDemand]]</f>
        <v>0.10497144425507625</v>
      </c>
      <c r="P17" s="3" t="str">
        <f>_xlfn.XLOOKUP(A17, SKU_Master[SKUID], SKU_Master[Category], "Not Found", 0)</f>
        <v>Chains &amp; Bars</v>
      </c>
    </row>
    <row r="18" spans="1:16" x14ac:dyDescent="0.25">
      <c r="A18" s="2" t="s">
        <v>49</v>
      </c>
      <c r="B18">
        <f>SUMIF(DemandHistory!A:A, A18, DemandHistory!C:C) * 2</f>
        <v>5596</v>
      </c>
      <c r="C18" s="4">
        <f>SQRT((2*B18*_xlfn.XLOOKUP(A18,SKU_Master!A:A,SKU_Master!E:E,,0))/_xlfn.XLOOKUP(A18,SKU_Master!A:A,SKU_Master!F:F,,0))</f>
        <v>140.7706270250724</v>
      </c>
      <c r="D18" s="3">
        <f>_xlfn.XLOOKUP(InventoryModel[[#This Row],[SKUID]], DemandSummary!$A:$A, DemandSummary!$B:$B)</f>
        <v>107.61538461538461</v>
      </c>
      <c r="E18" s="3">
        <f>_xlfn.XLOOKUP(InventoryModel[[#This Row],[SKUID]],DemandSummary!A:A,DemandSummary!C:C,,0)</f>
        <v>15.738047968098043</v>
      </c>
      <c r="F18" s="3">
        <f>_xlfn.XLOOKUP(A18, SKU_Master[SKUID], SKU_Master[LeadTimeDaysStdDev], "Not Found", 0) / 7</f>
        <v>0.31428571428571433</v>
      </c>
      <c r="G18" s="3">
        <f>_xlfn.XLOOKUP(A18, SKU_Master[SKUID], SKU_Master[LeadTimeDaysAvg], "Not Found", 0) / 7</f>
        <v>2.4285714285714284</v>
      </c>
      <c r="H18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68.934656348079415</v>
      </c>
      <c r="I18" s="4">
        <f xml:space="preserve"> (InventoryModel[[#This Row],[AvgWeeklyDemand]] * InventoryModel[[#This Row],[LeadTimeWeeks]]) + InventoryModel[[#This Row],[SafetyStock]]</f>
        <v>330.28630469972779</v>
      </c>
      <c r="J18">
        <f>_xlfn.XLOOKUP(A18,SKU_Master[SKUID],SKU_Master[CurrentStockLevel],"Not Found", 0)</f>
        <v>150</v>
      </c>
      <c r="K18" t="str">
        <f xml:space="preserve"> IF(InventoryModel[[#This Row],[CurrentStockLevel]] &lt; InventoryModel[[#This Row],[ReorderPoint]], "At Risk", "OK")</f>
        <v>At Risk</v>
      </c>
      <c r="L18" s="7">
        <f>(InventoryModel[[#This Row],[ReorderPoint]] - InventoryModel[[#This Row],[CurrentStockLevel]]) / InventoryModel[[#This Row],[ReorderPoint]]</f>
        <v>0.5458485626996582</v>
      </c>
      <c r="M18" s="3" t="str" cm="1">
        <f t="array" ref="M18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18" s="3">
        <f>AVERAGEIFS(DemandHistory[AbsPctError],DemandHistory[SKUID],A18)</f>
        <v>9.6377369569840721E-2</v>
      </c>
      <c r="O18" s="3">
        <f>InventoryModel[[#This Row],[StdDevWeeklyDemand]] / InventoryModel[[#This Row],[AvgWeeklyDemand]]</f>
        <v>0.1462434764726766</v>
      </c>
      <c r="P18" s="3" t="str">
        <f>_xlfn.XLOOKUP(A18, SKU_Master[SKUID], SKU_Master[Category], "Not Found", 0)</f>
        <v>Chainsaws</v>
      </c>
    </row>
    <row r="19" spans="1:16" x14ac:dyDescent="0.25">
      <c r="A19" s="2" t="s">
        <v>51</v>
      </c>
      <c r="B19">
        <f>SUMIF(DemandHistory!A:A, A19, DemandHistory!C:C) * 2</f>
        <v>6844</v>
      </c>
      <c r="C19" s="4">
        <f>SQRT((2*B19*_xlfn.XLOOKUP(A19,SKU_Master!A:A,SKU_Master!E:E,,0))/_xlfn.XLOOKUP(A19,SKU_Master!A:A,SKU_Master!F:F,,0))</f>
        <v>147.33622354090522</v>
      </c>
      <c r="D19" s="3">
        <f>_xlfn.XLOOKUP(InventoryModel[[#This Row],[SKUID]], DemandSummary!$A:$A, DemandSummary!$B:$B)</f>
        <v>131.61538461538461</v>
      </c>
      <c r="E19" s="3">
        <f>_xlfn.XLOOKUP(InventoryModel[[#This Row],[SKUID]],DemandSummary!A:A,DemandSummary!C:C,,0)</f>
        <v>48.367821470954787</v>
      </c>
      <c r="F19" s="3">
        <f>_xlfn.XLOOKUP(A19, SKU_Master[SKUID], SKU_Master[LeadTimeDaysStdDev], "Not Found", 0) / 7</f>
        <v>1.2285714285714284</v>
      </c>
      <c r="G19" s="3">
        <f>_xlfn.XLOOKUP(A19, SKU_Master[SKUID], SKU_Master[LeadTimeDaysAvg], "Not Found", 0) / 7</f>
        <v>3.8571428571428572</v>
      </c>
      <c r="H19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309.43598959802239</v>
      </c>
      <c r="I19" s="4">
        <f xml:space="preserve"> (InventoryModel[[#This Row],[AvgWeeklyDemand]] * InventoryModel[[#This Row],[LeadTimeWeeks]]) + InventoryModel[[#This Row],[SafetyStock]]</f>
        <v>817.095330257363</v>
      </c>
      <c r="J19">
        <f>_xlfn.XLOOKUP(A19,SKU_Master[SKUID],SKU_Master[CurrentStockLevel],"Not Found", 0)</f>
        <v>12</v>
      </c>
      <c r="K19" t="str">
        <f xml:space="preserve"> IF(InventoryModel[[#This Row],[CurrentStockLevel]] &lt; InventoryModel[[#This Row],[ReorderPoint]], "At Risk", "OK")</f>
        <v>At Risk</v>
      </c>
      <c r="L19" s="7">
        <f>(InventoryModel[[#This Row],[ReorderPoint]] - InventoryModel[[#This Row],[CurrentStockLevel]]) / InventoryModel[[#This Row],[ReorderPoint]]</f>
        <v>0.98531383113373039</v>
      </c>
      <c r="M19" s="3" t="str" cm="1">
        <f t="array" ref="M19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19" s="3">
        <f>AVERAGEIFS(DemandHistory[AbsPctError],DemandHistory[SKUID],A19)</f>
        <v>0.34739808866042293</v>
      </c>
      <c r="O19" s="3">
        <f>InventoryModel[[#This Row],[StdDevWeeklyDemand]] / InventoryModel[[#This Row],[AvgWeeklyDemand]]</f>
        <v>0.36749367569983182</v>
      </c>
      <c r="P19" s="3" t="str">
        <f>_xlfn.XLOOKUP(A19, SKU_Master[SKUID], SKU_Master[Category], "Not Found", 0)</f>
        <v>Trimmers</v>
      </c>
    </row>
    <row r="20" spans="1:16" x14ac:dyDescent="0.25">
      <c r="A20" s="2" t="s">
        <v>53</v>
      </c>
      <c r="B20">
        <f>SUMIF(DemandHistory!A:A, A20, DemandHistory!C:C) * 2</f>
        <v>5582</v>
      </c>
      <c r="C20" s="4">
        <f>SQRT((2*B20*_xlfn.XLOOKUP(A20,SKU_Master!A:A,SKU_Master!E:E,,0))/_xlfn.XLOOKUP(A20,SKU_Master!A:A,SKU_Master!F:F,,0))</f>
        <v>76.856042769431738</v>
      </c>
      <c r="D20" s="3">
        <f>_xlfn.XLOOKUP(InventoryModel[[#This Row],[SKUID]], DemandSummary!$A:$A, DemandSummary!$B:$B)</f>
        <v>107.34615384615384</v>
      </c>
      <c r="E20" s="3">
        <f>_xlfn.XLOOKUP(InventoryModel[[#This Row],[SKUID]],DemandSummary!A:A,DemandSummary!C:C,,0)</f>
        <v>50.67223484922868</v>
      </c>
      <c r="F20" s="3">
        <f>_xlfn.XLOOKUP(A20, SKU_Master[SKUID], SKU_Master[LeadTimeDaysStdDev], "Not Found", 0) / 7</f>
        <v>0.94285714285714284</v>
      </c>
      <c r="G20" s="3">
        <f>_xlfn.XLOOKUP(A20, SKU_Master[SKUID], SKU_Master[LeadTimeDaysAvg], "Not Found", 0) / 7</f>
        <v>5.4285714285714288</v>
      </c>
      <c r="H20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256.58797668465274</v>
      </c>
      <c r="I20" s="4">
        <f xml:space="preserve"> (InventoryModel[[#This Row],[AvgWeeklyDemand]] * InventoryModel[[#This Row],[LeadTimeWeeks]]) + InventoryModel[[#This Row],[SafetyStock]]</f>
        <v>839.32424042091645</v>
      </c>
      <c r="J20">
        <f>_xlfn.XLOOKUP(A20,SKU_Master[SKUID],SKU_Master[CurrentStockLevel],"Not Found", 0)</f>
        <v>28</v>
      </c>
      <c r="K20" t="str">
        <f xml:space="preserve"> IF(InventoryModel[[#This Row],[CurrentStockLevel]] &lt; InventoryModel[[#This Row],[ReorderPoint]], "At Risk", "OK")</f>
        <v>At Risk</v>
      </c>
      <c r="L20" s="7">
        <f>(InventoryModel[[#This Row],[ReorderPoint]] - InventoryModel[[#This Row],[CurrentStockLevel]]) / InventoryModel[[#This Row],[ReorderPoint]]</f>
        <v>0.96663982922028069</v>
      </c>
      <c r="M20" s="3" t="str" cm="1">
        <f t="array" ref="M20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20" s="3">
        <f>AVERAGEIFS(DemandHistory[AbsPctError],DemandHistory[SKUID],A20)</f>
        <v>1.9597676827154482</v>
      </c>
      <c r="O20" s="3">
        <f>InventoryModel[[#This Row],[StdDevWeeklyDemand]] / InventoryModel[[#This Row],[AvgWeeklyDemand]]</f>
        <v>0.47204518311714289</v>
      </c>
      <c r="P20" s="3" t="str">
        <f>_xlfn.XLOOKUP(A20, SKU_Master[SKUID], SKU_Master[Category], "Not Found", 0)</f>
        <v>Small Parts</v>
      </c>
    </row>
    <row r="21" spans="1:16" x14ac:dyDescent="0.25">
      <c r="A21" s="2" t="s">
        <v>55</v>
      </c>
      <c r="B21">
        <f>SUMIF(DemandHistory!A:A, A21, DemandHistory!C:C) * 2</f>
        <v>4654</v>
      </c>
      <c r="C21" s="4">
        <f>SQRT((2*B21*_xlfn.XLOOKUP(A21,SKU_Master!A:A,SKU_Master!E:E,,0))/_xlfn.XLOOKUP(A21,SKU_Master!A:A,SKU_Master!F:F,,0))</f>
        <v>225.26911230749124</v>
      </c>
      <c r="D21" s="3">
        <f>_xlfn.XLOOKUP(InventoryModel[[#This Row],[SKUID]], DemandSummary!$A:$A, DemandSummary!$B:$B)</f>
        <v>89.5</v>
      </c>
      <c r="E21" s="3">
        <f>_xlfn.XLOOKUP(InventoryModel[[#This Row],[SKUID]],DemandSummary!A:A,DemandSummary!C:C,,0)</f>
        <v>14.230249470757707</v>
      </c>
      <c r="F21" s="3">
        <f>_xlfn.XLOOKUP(A21, SKU_Master[SKUID], SKU_Master[LeadTimeDaysStdDev], "Not Found", 0) / 7</f>
        <v>0.55714285714285716</v>
      </c>
      <c r="G21" s="3">
        <f>_xlfn.XLOOKUP(A21, SKU_Master[SKUID], SKU_Master[LeadTimeDaysAvg], "Not Found", 0) / 7</f>
        <v>1.8571428571428572</v>
      </c>
      <c r="H21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88.279139064702605</v>
      </c>
      <c r="I21" s="4">
        <f xml:space="preserve"> (InventoryModel[[#This Row],[AvgWeeklyDemand]] * InventoryModel[[#This Row],[LeadTimeWeeks]]) + InventoryModel[[#This Row],[SafetyStock]]</f>
        <v>254.49342477898833</v>
      </c>
      <c r="J21">
        <f>_xlfn.XLOOKUP(A21,SKU_Master[SKUID],SKU_Master[CurrentStockLevel],"Not Found", 0)</f>
        <v>204</v>
      </c>
      <c r="K21" t="str">
        <f xml:space="preserve"> IF(InventoryModel[[#This Row],[CurrentStockLevel]] &lt; InventoryModel[[#This Row],[ReorderPoint]], "At Risk", "OK")</f>
        <v>At Risk</v>
      </c>
      <c r="L21" s="7">
        <f>(InventoryModel[[#This Row],[ReorderPoint]] - InventoryModel[[#This Row],[CurrentStockLevel]]) / InventoryModel[[#This Row],[ReorderPoint]]</f>
        <v>0.1984075809535697</v>
      </c>
      <c r="M21" s="3" t="str" cm="1">
        <f t="array" ref="M21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21" s="3">
        <f>AVERAGEIFS(DemandHistory[AbsPctError],DemandHistory[SKUID],A21)</f>
        <v>0.1103872979019289</v>
      </c>
      <c r="O21" s="3">
        <f>InventoryModel[[#This Row],[StdDevWeeklyDemand]] / InventoryModel[[#This Row],[AvgWeeklyDemand]]</f>
        <v>0.15899720079058891</v>
      </c>
      <c r="P21" s="3" t="str">
        <f>_xlfn.XLOOKUP(A21, SKU_Master[SKUID], SKU_Master[Category], "Not Found", 0)</f>
        <v>Chainsaws</v>
      </c>
    </row>
    <row r="22" spans="1:16" x14ac:dyDescent="0.25">
      <c r="A22" s="2" t="s">
        <v>57</v>
      </c>
      <c r="B22">
        <f>SUMIF(DemandHistory!A:A, A22, DemandHistory!C:C) * 2</f>
        <v>4484</v>
      </c>
      <c r="C22" s="4">
        <f>SQRT((2*B22*_xlfn.XLOOKUP(A22,SKU_Master!A:A,SKU_Master!E:E,,0))/_xlfn.XLOOKUP(A22,SKU_Master!A:A,SKU_Master!F:F,,0))</f>
        <v>82.077841657051437</v>
      </c>
      <c r="D22" s="3">
        <f>_xlfn.XLOOKUP(InventoryModel[[#This Row],[SKUID]], DemandSummary!$A:$A, DemandSummary!$B:$B)</f>
        <v>86.230769230769226</v>
      </c>
      <c r="E22" s="3">
        <f>_xlfn.XLOOKUP(InventoryModel[[#This Row],[SKUID]],DemandSummary!A:A,DemandSummary!C:C,,0)</f>
        <v>12.37192852325841</v>
      </c>
      <c r="F22" s="3">
        <f>_xlfn.XLOOKUP(A22, SKU_Master[SKUID], SKU_Master[LeadTimeDaysStdDev], "Not Found", 0) / 7</f>
        <v>0.34285714285714286</v>
      </c>
      <c r="G22" s="3">
        <f>_xlfn.XLOOKUP(A22, SKU_Master[SKUID], SKU_Master[LeadTimeDaysAvg], "Not Found", 0) / 7</f>
        <v>2.7142857142857144</v>
      </c>
      <c r="H22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59.251786652344798</v>
      </c>
      <c r="I22" s="4">
        <f xml:space="preserve"> (InventoryModel[[#This Row],[AvgWeeklyDemand]] * InventoryModel[[#This Row],[LeadTimeWeeks]]) + InventoryModel[[#This Row],[SafetyStock]]</f>
        <v>293.30673170728983</v>
      </c>
      <c r="J22">
        <f>_xlfn.XLOOKUP(A22,SKU_Master[SKUID],SKU_Master[CurrentStockLevel],"Not Found", 0)</f>
        <v>129</v>
      </c>
      <c r="K22" t="str">
        <f xml:space="preserve"> IF(InventoryModel[[#This Row],[CurrentStockLevel]] &lt; InventoryModel[[#This Row],[ReorderPoint]], "At Risk", "OK")</f>
        <v>At Risk</v>
      </c>
      <c r="L22" s="7">
        <f>(InventoryModel[[#This Row],[ReorderPoint]] - InventoryModel[[#This Row],[CurrentStockLevel]]) / InventoryModel[[#This Row],[ReorderPoint]]</f>
        <v>0.56018738728186568</v>
      </c>
      <c r="M22" s="3" t="str" cm="1">
        <f t="array" ref="M22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22" s="3">
        <f>AVERAGEIFS(DemandHistory[AbsPctError],DemandHistory[SKUID],A22)</f>
        <v>0.10016877901343593</v>
      </c>
      <c r="O22" s="3">
        <f>InventoryModel[[#This Row],[StdDevWeeklyDemand]] / InventoryModel[[#This Row],[AvgWeeklyDemand]]</f>
        <v>0.14347463943118585</v>
      </c>
      <c r="P22" s="3" t="str">
        <f>_xlfn.XLOOKUP(A22, SKU_Master[SKUID], SKU_Master[Category], "Not Found", 0)</f>
        <v>Small Parts</v>
      </c>
    </row>
    <row r="23" spans="1:16" x14ac:dyDescent="0.25">
      <c r="A23" s="2" t="s">
        <v>59</v>
      </c>
      <c r="B23">
        <f>SUMIF(DemandHistory!A:A, A23, DemandHistory!C:C) * 2</f>
        <v>4268</v>
      </c>
      <c r="C23" s="4">
        <f>SQRT((2*B23*_xlfn.XLOOKUP(A23,SKU_Master!A:A,SKU_Master!E:E,,0))/_xlfn.XLOOKUP(A23,SKU_Master!A:A,SKU_Master!F:F,,0))</f>
        <v>209.91183516127083</v>
      </c>
      <c r="D23" s="3">
        <f>_xlfn.XLOOKUP(InventoryModel[[#This Row],[SKUID]], DemandSummary!$A:$A, DemandSummary!$B:$B)</f>
        <v>82.07692307692308</v>
      </c>
      <c r="E23" s="3">
        <f>_xlfn.XLOOKUP(InventoryModel[[#This Row],[SKUID]],DemandSummary!A:A,DemandSummary!C:C,,0)</f>
        <v>13.022820207383893</v>
      </c>
      <c r="F23" s="3">
        <f>_xlfn.XLOOKUP(A23, SKU_Master[SKUID], SKU_Master[LeadTimeDaysStdDev], "Not Found", 0) / 7</f>
        <v>0.5</v>
      </c>
      <c r="G23" s="3">
        <f>_xlfn.XLOOKUP(A23, SKU_Master[SKUID], SKU_Master[LeadTimeDaysAvg], "Not Found", 0) / 7</f>
        <v>2.8571428571428572</v>
      </c>
      <c r="H23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76.839512750111552</v>
      </c>
      <c r="I23" s="4">
        <f xml:space="preserve"> (InventoryModel[[#This Row],[AvgWeeklyDemand]] * InventoryModel[[#This Row],[LeadTimeWeeks]]) + InventoryModel[[#This Row],[SafetyStock]]</f>
        <v>311.34500725560605</v>
      </c>
      <c r="J23">
        <f>_xlfn.XLOOKUP(A23,SKU_Master[SKUID],SKU_Master[CurrentStockLevel],"Not Found", 0)</f>
        <v>91</v>
      </c>
      <c r="K23" t="str">
        <f xml:space="preserve"> IF(InventoryModel[[#This Row],[CurrentStockLevel]] &lt; InventoryModel[[#This Row],[ReorderPoint]], "At Risk", "OK")</f>
        <v>At Risk</v>
      </c>
      <c r="L23" s="7">
        <f>(InventoryModel[[#This Row],[ReorderPoint]] - InventoryModel[[#This Row],[CurrentStockLevel]]) / InventoryModel[[#This Row],[ReorderPoint]]</f>
        <v>0.70771973894127227</v>
      </c>
      <c r="M23" s="3" t="str" cm="1">
        <f t="array" ref="M23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23" s="3">
        <f>AVERAGEIFS(DemandHistory[AbsPctError],DemandHistory[SKUID],A23)</f>
        <v>9.4102287189477815E-2</v>
      </c>
      <c r="O23" s="3">
        <f>InventoryModel[[#This Row],[StdDevWeeklyDemand]] / InventoryModel[[#This Row],[AvgWeeklyDemand]]</f>
        <v>0.15866603814057226</v>
      </c>
      <c r="P23" s="3" t="str">
        <f>_xlfn.XLOOKUP(A23, SKU_Master[SKUID], SKU_Master[Category], "Not Found", 0)</f>
        <v>Trimmers</v>
      </c>
    </row>
    <row r="24" spans="1:16" x14ac:dyDescent="0.25">
      <c r="A24" s="2" t="s">
        <v>61</v>
      </c>
      <c r="B24">
        <f>SUMIF(DemandHistory!A:A, A24, DemandHistory!C:C) * 2</f>
        <v>2862</v>
      </c>
      <c r="C24" s="4">
        <f>SQRT((2*B24*_xlfn.XLOOKUP(A24,SKU_Master!A:A,SKU_Master!E:E,,0))/_xlfn.XLOOKUP(A24,SKU_Master!A:A,SKU_Master!F:F,,0))</f>
        <v>182.95926099930097</v>
      </c>
      <c r="D24" s="3">
        <f>_xlfn.XLOOKUP(InventoryModel[[#This Row],[SKUID]], DemandSummary!$A:$A, DemandSummary!$B:$B)</f>
        <v>55.03846153846154</v>
      </c>
      <c r="E24" s="3">
        <f>_xlfn.XLOOKUP(InventoryModel[[#This Row],[SKUID]],DemandSummary!A:A,DemandSummary!C:C,,0)</f>
        <v>21.543408772486799</v>
      </c>
      <c r="F24" s="3">
        <f>_xlfn.XLOOKUP(A24, SKU_Master[SKUID], SKU_Master[LeadTimeDaysStdDev], "Not Found", 0) / 7</f>
        <v>1.3285714285714287</v>
      </c>
      <c r="G24" s="3">
        <f>_xlfn.XLOOKUP(A24, SKU_Master[SKUID], SKU_Master[LeadTimeDaysAvg], "Not Found", 0) / 7</f>
        <v>6.1428571428571432</v>
      </c>
      <c r="H24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149.39488011545217</v>
      </c>
      <c r="I24" s="4">
        <f xml:space="preserve"> (InventoryModel[[#This Row],[AvgWeeklyDemand]] * InventoryModel[[#This Row],[LeadTimeWeeks]]) + InventoryModel[[#This Row],[SafetyStock]]</f>
        <v>487.48828670885877</v>
      </c>
      <c r="J24">
        <f>_xlfn.XLOOKUP(A24,SKU_Master[SKUID],SKU_Master[CurrentStockLevel],"Not Found", 0)</f>
        <v>6</v>
      </c>
      <c r="K24" t="str">
        <f xml:space="preserve"> IF(InventoryModel[[#This Row],[CurrentStockLevel]] &lt; InventoryModel[[#This Row],[ReorderPoint]], "At Risk", "OK")</f>
        <v>At Risk</v>
      </c>
      <c r="L24" s="7">
        <f>(InventoryModel[[#This Row],[ReorderPoint]] - InventoryModel[[#This Row],[CurrentStockLevel]]) / InventoryModel[[#This Row],[ReorderPoint]]</f>
        <v>0.98769201196503131</v>
      </c>
      <c r="M24" s="3" t="str" cm="1">
        <f t="array" ref="M24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24" s="3">
        <f>AVERAGEIFS(DemandHistory[AbsPctError],DemandHistory[SKUID],A24)</f>
        <v>0.50134454848330923</v>
      </c>
      <c r="O24" s="3">
        <f>InventoryModel[[#This Row],[StdDevWeeklyDemand]] / InventoryModel[[#This Row],[AvgWeeklyDemand]]</f>
        <v>0.39142461780898447</v>
      </c>
      <c r="P24" s="3" t="str">
        <f>_xlfn.XLOOKUP(A24, SKU_Master[SKUID], SKU_Master[Category], "Not Found", 0)</f>
        <v>Chainsaws</v>
      </c>
    </row>
    <row r="25" spans="1:16" x14ac:dyDescent="0.25">
      <c r="A25" s="2" t="s">
        <v>63</v>
      </c>
      <c r="B25">
        <f>SUMIF(DemandHistory!A:A, A25, DemandHistory!C:C) * 2</f>
        <v>1598</v>
      </c>
      <c r="C25" s="4">
        <f>SQRT((2*B25*_xlfn.XLOOKUP(A25,SKU_Master!A:A,SKU_Master!E:E,,0))/_xlfn.XLOOKUP(A25,SKU_Master!A:A,SKU_Master!F:F,,0))</f>
        <v>55.731759878978671</v>
      </c>
      <c r="D25" s="3">
        <f>_xlfn.XLOOKUP(InventoryModel[[#This Row],[SKUID]], DemandSummary!$A:$A, DemandSummary!$B:$B)</f>
        <v>30.73076923076923</v>
      </c>
      <c r="E25" s="3">
        <f>_xlfn.XLOOKUP(InventoryModel[[#This Row],[SKUID]],DemandSummary!A:A,DemandSummary!C:C,,0)</f>
        <v>3.6721404363960968</v>
      </c>
      <c r="F25" s="3">
        <f>_xlfn.XLOOKUP(A25, SKU_Master[SKUID], SKU_Master[LeadTimeDaysStdDev], "Not Found", 0) / 7</f>
        <v>0.37142857142857144</v>
      </c>
      <c r="G25" s="3">
        <f>_xlfn.XLOOKUP(A25, SKU_Master[SKUID], SKU_Master[LeadTimeDaysAvg], "Not Found", 0) / 7</f>
        <v>1.8571428571428572</v>
      </c>
      <c r="H25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20.564109300588008</v>
      </c>
      <c r="I25" s="4">
        <f xml:space="preserve"> (InventoryModel[[#This Row],[AvgWeeklyDemand]] * InventoryModel[[#This Row],[LeadTimeWeeks]]) + InventoryModel[[#This Row],[SafetyStock]]</f>
        <v>77.635537872016585</v>
      </c>
      <c r="J25">
        <f>_xlfn.XLOOKUP(A25,SKU_Master[SKUID],SKU_Master[CurrentStockLevel],"Not Found", 0)</f>
        <v>282</v>
      </c>
      <c r="K25" t="str">
        <f xml:space="preserve"> IF(InventoryModel[[#This Row],[CurrentStockLevel]] &lt; InventoryModel[[#This Row],[ReorderPoint]], "At Risk", "OK")</f>
        <v>OK</v>
      </c>
      <c r="L25" s="7">
        <f>(InventoryModel[[#This Row],[ReorderPoint]] - InventoryModel[[#This Row],[CurrentStockLevel]]) / InventoryModel[[#This Row],[ReorderPoint]]</f>
        <v>-2.6323571360435665</v>
      </c>
      <c r="M25" s="3" t="str" cm="1">
        <f t="array" ref="M25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25" s="3">
        <f>AVERAGEIFS(DemandHistory[AbsPctError],DemandHistory[SKUID],A25)</f>
        <v>7.962157602541084E-2</v>
      </c>
      <c r="O25" s="3">
        <f>InventoryModel[[#This Row],[StdDevWeeklyDemand]] / InventoryModel[[#This Row],[AvgWeeklyDemand]]</f>
        <v>0.11949393159736986</v>
      </c>
      <c r="P25" s="3" t="str">
        <f>_xlfn.XLOOKUP(A25, SKU_Master[SKUID], SKU_Master[Category], "Not Found", 0)</f>
        <v>Chains &amp; Bars</v>
      </c>
    </row>
    <row r="26" spans="1:16" x14ac:dyDescent="0.25">
      <c r="A26" s="2" t="s">
        <v>65</v>
      </c>
      <c r="B26">
        <f>SUMIF(DemandHistory!A:A, A26, DemandHistory!C:C) * 2</f>
        <v>4864</v>
      </c>
      <c r="C26" s="4">
        <f>SQRT((2*B26*_xlfn.XLOOKUP(A26,SKU_Master!A:A,SKU_Master!E:E,,0))/_xlfn.XLOOKUP(A26,SKU_Master!A:A,SKU_Master!F:F,,0))</f>
        <v>108.7176158678988</v>
      </c>
      <c r="D26" s="3">
        <f>_xlfn.XLOOKUP(InventoryModel[[#This Row],[SKUID]], DemandSummary!$A:$A, DemandSummary!$B:$B)</f>
        <v>93.538461538461533</v>
      </c>
      <c r="E26" s="3">
        <f>_xlfn.XLOOKUP(InventoryModel[[#This Row],[SKUID]],DemandSummary!A:A,DemandSummary!C:C,,0)</f>
        <v>32.389171979821612</v>
      </c>
      <c r="F26" s="3">
        <f>_xlfn.XLOOKUP(A26, SKU_Master[SKUID], SKU_Master[LeadTimeDaysStdDev], "Not Found", 0) / 7</f>
        <v>1.1428571428571428</v>
      </c>
      <c r="G26" s="3">
        <f>_xlfn.XLOOKUP(A26, SKU_Master[SKUID], SKU_Master[LeadTimeDaysAvg], "Not Found", 0) / 7</f>
        <v>5.2857142857142856</v>
      </c>
      <c r="H26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214.9619356804233</v>
      </c>
      <c r="I26" s="4">
        <f xml:space="preserve"> (InventoryModel[[#This Row],[AvgWeeklyDemand]] * InventoryModel[[#This Row],[LeadTimeWeeks]]) + InventoryModel[[#This Row],[SafetyStock]]</f>
        <v>709.37951809800563</v>
      </c>
      <c r="J26">
        <f>_xlfn.XLOOKUP(A26,SKU_Master[SKUID],SKU_Master[CurrentStockLevel],"Not Found", 0)</f>
        <v>19</v>
      </c>
      <c r="K26" t="str">
        <f xml:space="preserve"> IF(InventoryModel[[#This Row],[CurrentStockLevel]] &lt; InventoryModel[[#This Row],[ReorderPoint]], "At Risk", "OK")</f>
        <v>At Risk</v>
      </c>
      <c r="L26" s="7">
        <f>(InventoryModel[[#This Row],[ReorderPoint]] - InventoryModel[[#This Row],[CurrentStockLevel]]) / InventoryModel[[#This Row],[ReorderPoint]]</f>
        <v>0.97321602962129083</v>
      </c>
      <c r="M26" s="3" t="str" cm="1">
        <f t="array" ref="M26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26" s="3">
        <f>AVERAGEIFS(DemandHistory[AbsPctError],DemandHistory[SKUID],A26)</f>
        <v>0.43666456870020764</v>
      </c>
      <c r="O26" s="3">
        <f>InventoryModel[[#This Row],[StdDevWeeklyDemand]] / InventoryModel[[#This Row],[AvgWeeklyDemand]]</f>
        <v>0.34626581886322449</v>
      </c>
      <c r="P26" s="3" t="str">
        <f>_xlfn.XLOOKUP(A26, SKU_Master[SKUID], SKU_Master[Category], "Not Found", 0)</f>
        <v>Mowers</v>
      </c>
    </row>
    <row r="27" spans="1:16" x14ac:dyDescent="0.25">
      <c r="A27" s="2" t="s">
        <v>67</v>
      </c>
      <c r="B27">
        <f>SUMIF(DemandHistory!A:A, A27, DemandHistory!C:C) * 2</f>
        <v>2050</v>
      </c>
      <c r="C27" s="4">
        <f>SQRT((2*B27*_xlfn.XLOOKUP(A27,SKU_Master!A:A,SKU_Master!E:E,,0))/_xlfn.XLOOKUP(A27,SKU_Master!A:A,SKU_Master!F:F,,0))</f>
        <v>66.686951446615424</v>
      </c>
      <c r="D27" s="3">
        <f>_xlfn.XLOOKUP(InventoryModel[[#This Row],[SKUID]], DemandSummary!$A:$A, DemandSummary!$B:$B)</f>
        <v>39.42307692307692</v>
      </c>
      <c r="E27" s="3">
        <f>_xlfn.XLOOKUP(InventoryModel[[#This Row],[SKUID]],DemandSummary!A:A,DemandSummary!C:C,,0)</f>
        <v>6.1978904599747686</v>
      </c>
      <c r="F27" s="3">
        <f>_xlfn.XLOOKUP(A27, SKU_Master[SKUID], SKU_Master[LeadTimeDaysStdDev], "Not Found", 0) / 7</f>
        <v>0.22857142857142859</v>
      </c>
      <c r="G27" s="3">
        <f>_xlfn.XLOOKUP(A27, SKU_Master[SKUID], SKU_Master[LeadTimeDaysAvg], "Not Found", 0) / 7</f>
        <v>1.7142857142857142</v>
      </c>
      <c r="H27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20.008604472587951</v>
      </c>
      <c r="I27" s="4">
        <f xml:space="preserve"> (InventoryModel[[#This Row],[AvgWeeklyDemand]] * InventoryModel[[#This Row],[LeadTimeWeeks]]) + InventoryModel[[#This Row],[SafetyStock]]</f>
        <v>87.591022055005524</v>
      </c>
      <c r="J27">
        <f>_xlfn.XLOOKUP(A27,SKU_Master[SKUID],SKU_Master[CurrentStockLevel],"Not Found", 0)</f>
        <v>176</v>
      </c>
      <c r="K27" t="str">
        <f xml:space="preserve"> IF(InventoryModel[[#This Row],[CurrentStockLevel]] &lt; InventoryModel[[#This Row],[ReorderPoint]], "At Risk", "OK")</f>
        <v>OK</v>
      </c>
      <c r="L27" s="7">
        <f>(InventoryModel[[#This Row],[ReorderPoint]] - InventoryModel[[#This Row],[CurrentStockLevel]]) / InventoryModel[[#This Row],[ReorderPoint]]</f>
        <v>-1.0093383530731641</v>
      </c>
      <c r="M27" s="3" t="str" cm="1">
        <f t="array" ref="M27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27" s="3">
        <f>AVERAGEIFS(DemandHistory[AbsPctError],DemandHistory[SKUID],A27)</f>
        <v>0.12523830396593144</v>
      </c>
      <c r="O27" s="3">
        <f>InventoryModel[[#This Row],[StdDevWeeklyDemand]] / InventoryModel[[#This Row],[AvgWeeklyDemand]]</f>
        <v>0.15721478239935999</v>
      </c>
      <c r="P27" s="3" t="str">
        <f>_xlfn.XLOOKUP(A27, SKU_Master[SKUID], SKU_Master[Category], "Not Found", 0)</f>
        <v>Blowers</v>
      </c>
    </row>
    <row r="28" spans="1:16" x14ac:dyDescent="0.25">
      <c r="A28" s="2" t="s">
        <v>69</v>
      </c>
      <c r="B28">
        <f>SUMIF(DemandHistory!A:A, A28, DemandHistory!C:C) * 2</f>
        <v>1482</v>
      </c>
      <c r="C28" s="4">
        <f>SQRT((2*B28*_xlfn.XLOOKUP(A28,SKU_Master!A:A,SKU_Master!E:E,,0))/_xlfn.XLOOKUP(A28,SKU_Master!A:A,SKU_Master!F:F,,0))</f>
        <v>62.814812513776872</v>
      </c>
      <c r="D28" s="3">
        <f>_xlfn.XLOOKUP(InventoryModel[[#This Row],[SKUID]], DemandSummary!$A:$A, DemandSummary!$B:$B)</f>
        <v>28.5</v>
      </c>
      <c r="E28" s="3">
        <f>_xlfn.XLOOKUP(InventoryModel[[#This Row],[SKUID]],DemandSummary!A:A,DemandSummary!C:C,,0)</f>
        <v>4.0224370722237532</v>
      </c>
      <c r="F28" s="3">
        <f>_xlfn.XLOOKUP(A28, SKU_Master[SKUID], SKU_Master[LeadTimeDaysStdDev], "Not Found", 0) / 7</f>
        <v>0.25714285714285717</v>
      </c>
      <c r="G28" s="3">
        <f>_xlfn.XLOOKUP(A28, SKU_Master[SKUID], SKU_Master[LeadTimeDaysAvg], "Not Found", 0) / 7</f>
        <v>2.8571428571428572</v>
      </c>
      <c r="H28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16.494762944396527</v>
      </c>
      <c r="I28" s="4">
        <f xml:space="preserve"> (InventoryModel[[#This Row],[AvgWeeklyDemand]] * InventoryModel[[#This Row],[LeadTimeWeeks]]) + InventoryModel[[#This Row],[SafetyStock]]</f>
        <v>97.923334372967958</v>
      </c>
      <c r="J28">
        <f>_xlfn.XLOOKUP(A28,SKU_Master[SKUID],SKU_Master[CurrentStockLevel],"Not Found", 0)</f>
        <v>227</v>
      </c>
      <c r="K28" t="str">
        <f xml:space="preserve"> IF(InventoryModel[[#This Row],[CurrentStockLevel]] &lt; InventoryModel[[#This Row],[ReorderPoint]], "At Risk", "OK")</f>
        <v>OK</v>
      </c>
      <c r="L28" s="7">
        <f>(InventoryModel[[#This Row],[ReorderPoint]] - InventoryModel[[#This Row],[CurrentStockLevel]]) / InventoryModel[[#This Row],[ReorderPoint]]</f>
        <v>-1.3181400169178068</v>
      </c>
      <c r="M28" s="3" t="str" cm="1">
        <f t="array" ref="M28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28" s="3">
        <f>AVERAGEIFS(DemandHistory[AbsPctError],DemandHistory[SKUID],A28)</f>
        <v>9.0687186964364702E-2</v>
      </c>
      <c r="O28" s="3">
        <f>InventoryModel[[#This Row],[StdDevWeeklyDemand]] / InventoryModel[[#This Row],[AvgWeeklyDemand]]</f>
        <v>0.14113814288504398</v>
      </c>
      <c r="P28" s="3" t="str">
        <f>_xlfn.XLOOKUP(A28, SKU_Master[SKUID], SKU_Master[Category], "Not Found", 0)</f>
        <v>Small Parts</v>
      </c>
    </row>
    <row r="29" spans="1:16" x14ac:dyDescent="0.25">
      <c r="A29" s="2" t="s">
        <v>71</v>
      </c>
      <c r="B29">
        <f>SUMIF(DemandHistory!A:A, A29, DemandHistory!C:C) * 2</f>
        <v>7318</v>
      </c>
      <c r="C29" s="4">
        <f>SQRT((2*B29*_xlfn.XLOOKUP(A29,SKU_Master!A:A,SKU_Master!E:E,,0))/_xlfn.XLOOKUP(A29,SKU_Master!A:A,SKU_Master!F:F,,0))</f>
        <v>164.45956481850405</v>
      </c>
      <c r="D29" s="3">
        <f>_xlfn.XLOOKUP(InventoryModel[[#This Row],[SKUID]], DemandSummary!$A:$A, DemandSummary!$B:$B)</f>
        <v>140.73076923076923</v>
      </c>
      <c r="E29" s="3">
        <f>_xlfn.XLOOKUP(InventoryModel[[#This Row],[SKUID]],DemandSummary!A:A,DemandSummary!C:C,,0)</f>
        <v>21.342085544402988</v>
      </c>
      <c r="F29" s="3">
        <f>_xlfn.XLOOKUP(A29, SKU_Master[SKUID], SKU_Master[LeadTimeDaysStdDev], "Not Found", 0) / 7</f>
        <v>0.17142857142857143</v>
      </c>
      <c r="G29" s="3">
        <f>_xlfn.XLOOKUP(A29, SKU_Master[SKUID], SKU_Master[LeadTimeDaysAvg], "Not Found", 0) / 7</f>
        <v>2.2857142857142856</v>
      </c>
      <c r="H29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66.475479085595595</v>
      </c>
      <c r="I29" s="4">
        <f xml:space="preserve"> (InventoryModel[[#This Row],[AvgWeeklyDemand]] * InventoryModel[[#This Row],[LeadTimeWeeks]]) + InventoryModel[[#This Row],[SafetyStock]]</f>
        <v>388.14580875592526</v>
      </c>
      <c r="J29">
        <f>_xlfn.XLOOKUP(A29,SKU_Master[SKUID],SKU_Master[CurrentStockLevel],"Not Found", 0)</f>
        <v>76</v>
      </c>
      <c r="K29" t="str">
        <f xml:space="preserve"> IF(InventoryModel[[#This Row],[CurrentStockLevel]] &lt; InventoryModel[[#This Row],[ReorderPoint]], "At Risk", "OK")</f>
        <v>At Risk</v>
      </c>
      <c r="L29" s="7">
        <f>(InventoryModel[[#This Row],[ReorderPoint]] - InventoryModel[[#This Row],[CurrentStockLevel]]) / InventoryModel[[#This Row],[ReorderPoint]]</f>
        <v>0.80419729316775779</v>
      </c>
      <c r="M29" s="3" t="str" cm="1">
        <f t="array" ref="M29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29" s="3">
        <f>AVERAGEIFS(DemandHistory[AbsPctError],DemandHistory[SKUID],A29)</f>
        <v>0.10814073095799118</v>
      </c>
      <c r="O29" s="3">
        <f>InventoryModel[[#This Row],[StdDevWeeklyDemand]] / InventoryModel[[#This Row],[AvgWeeklyDemand]]</f>
        <v>0.15165187869758887</v>
      </c>
      <c r="P29" s="3" t="str">
        <f>_xlfn.XLOOKUP(A29, SKU_Master[SKUID], SKU_Master[Category], "Not Found", 0)</f>
        <v>Small Parts</v>
      </c>
    </row>
    <row r="30" spans="1:16" x14ac:dyDescent="0.25">
      <c r="A30" s="2" t="s">
        <v>73</v>
      </c>
      <c r="B30">
        <f>SUMIF(DemandHistory!A:A, A30, DemandHistory!C:C) * 2</f>
        <v>7528</v>
      </c>
      <c r="C30" s="4">
        <f>SQRT((2*B30*_xlfn.XLOOKUP(A30,SKU_Master!A:A,SKU_Master!E:E,,0))/_xlfn.XLOOKUP(A30,SKU_Master!A:A,SKU_Master!F:F,,0))</f>
        <v>134.56285988714328</v>
      </c>
      <c r="D30" s="3">
        <f>_xlfn.XLOOKUP(InventoryModel[[#This Row],[SKUID]], DemandSummary!$A:$A, DemandSummary!$B:$B)</f>
        <v>144.76923076923077</v>
      </c>
      <c r="E30" s="3">
        <f>_xlfn.XLOOKUP(InventoryModel[[#This Row],[SKUID]],DemandSummary!A:A,DemandSummary!C:C,,0)</f>
        <v>23.041367480785837</v>
      </c>
      <c r="F30" s="3">
        <f>_xlfn.XLOOKUP(A30, SKU_Master[SKUID], SKU_Master[LeadTimeDaysStdDev], "Not Found", 0) / 7</f>
        <v>0.34285714285714286</v>
      </c>
      <c r="G30" s="3">
        <f>_xlfn.XLOOKUP(A30, SKU_Master[SKUID], SKU_Master[LeadTimeDaysAvg], "Not Found", 0) / 7</f>
        <v>0.7142857142857143</v>
      </c>
      <c r="H30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87.975598162470249</v>
      </c>
      <c r="I30" s="4">
        <f xml:space="preserve"> (InventoryModel[[#This Row],[AvgWeeklyDemand]] * InventoryModel[[#This Row],[LeadTimeWeeks]]) + InventoryModel[[#This Row],[SafetyStock]]</f>
        <v>191.38219156906365</v>
      </c>
      <c r="J30">
        <f>_xlfn.XLOOKUP(A30,SKU_Master[SKUID],SKU_Master[CurrentStockLevel],"Not Found", 0)</f>
        <v>217</v>
      </c>
      <c r="K30" t="str">
        <f xml:space="preserve"> IF(InventoryModel[[#This Row],[CurrentStockLevel]] &lt; InventoryModel[[#This Row],[ReorderPoint]], "At Risk", "OK")</f>
        <v>OK</v>
      </c>
      <c r="L30" s="7">
        <f>(InventoryModel[[#This Row],[ReorderPoint]] - InventoryModel[[#This Row],[CurrentStockLevel]]) / InventoryModel[[#This Row],[ReorderPoint]]</f>
        <v>-0.13385680360803953</v>
      </c>
      <c r="M30" s="3" t="str" cm="1">
        <f t="array" ref="M30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30" s="3">
        <f>AVERAGEIFS(DemandHistory[AbsPctError],DemandHistory[SKUID],A30)</f>
        <v>0.11184377499678032</v>
      </c>
      <c r="O30" s="3">
        <f>InventoryModel[[#This Row],[StdDevWeeklyDemand]] / InventoryModel[[#This Row],[AvgWeeklyDemand]]</f>
        <v>0.15915928653040162</v>
      </c>
      <c r="P30" s="3" t="str">
        <f>_xlfn.XLOOKUP(A30, SKU_Master[SKUID], SKU_Master[Category], "Not Found", 0)</f>
        <v>Blowers</v>
      </c>
    </row>
    <row r="31" spans="1:16" x14ac:dyDescent="0.25">
      <c r="A31" s="2" t="s">
        <v>75</v>
      </c>
      <c r="B31">
        <f>SUMIF(DemandHistory!A:A, A31, DemandHistory!C:C) * 2</f>
        <v>6708</v>
      </c>
      <c r="C31" s="4">
        <f>SQRT((2*B31*_xlfn.XLOOKUP(A31,SKU_Master!A:A,SKU_Master!E:E,,0))/_xlfn.XLOOKUP(A31,SKU_Master!A:A,SKU_Master!F:F,,0))</f>
        <v>70.050162258225484</v>
      </c>
      <c r="D31" s="3">
        <f>_xlfn.XLOOKUP(InventoryModel[[#This Row],[SKUID]], DemandSummary!$A:$A, DemandSummary!$B:$B)</f>
        <v>129</v>
      </c>
      <c r="E31" s="3">
        <f>_xlfn.XLOOKUP(InventoryModel[[#This Row],[SKUID]],DemandSummary!A:A,DemandSummary!C:C,,0)</f>
        <v>15.346660874600703</v>
      </c>
      <c r="F31" s="3">
        <f>_xlfn.XLOOKUP(A31, SKU_Master[SKUID], SKU_Master[LeadTimeDaysStdDev], "Not Found", 0) / 7</f>
        <v>0.47142857142857142</v>
      </c>
      <c r="G31" s="3">
        <f>_xlfn.XLOOKUP(A31, SKU_Master[SKUID], SKU_Master[LeadTimeDaysAvg], "Not Found", 0) / 7</f>
        <v>2.4285714285714284</v>
      </c>
      <c r="H31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107.82411649751361</v>
      </c>
      <c r="I31" s="4">
        <f xml:space="preserve"> (InventoryModel[[#This Row],[AvgWeeklyDemand]] * InventoryModel[[#This Row],[LeadTimeWeeks]]) + InventoryModel[[#This Row],[SafetyStock]]</f>
        <v>421.10983078322789</v>
      </c>
      <c r="J31">
        <f>_xlfn.XLOOKUP(A31,SKU_Master[SKUID],SKU_Master[CurrentStockLevel],"Not Found", 0)</f>
        <v>242</v>
      </c>
      <c r="K31" t="str">
        <f xml:space="preserve"> IF(InventoryModel[[#This Row],[CurrentStockLevel]] &lt; InventoryModel[[#This Row],[ReorderPoint]], "At Risk", "OK")</f>
        <v>At Risk</v>
      </c>
      <c r="L31" s="7">
        <f>(InventoryModel[[#This Row],[ReorderPoint]] - InventoryModel[[#This Row],[CurrentStockLevel]]) / InventoryModel[[#This Row],[ReorderPoint]]</f>
        <v>0.42532806809591478</v>
      </c>
      <c r="M31" s="3" t="str" cm="1">
        <f t="array" ref="M31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31" s="3">
        <f>AVERAGEIFS(DemandHistory[AbsPctError],DemandHistory[SKUID],A31)</f>
        <v>8.0991884472780107E-2</v>
      </c>
      <c r="O31" s="3">
        <f>InventoryModel[[#This Row],[StdDevWeeklyDemand]] / InventoryModel[[#This Row],[AvgWeeklyDemand]]</f>
        <v>0.1189663633689977</v>
      </c>
      <c r="P31" s="3" t="str">
        <f>_xlfn.XLOOKUP(A31, SKU_Master[SKUID], SKU_Master[Category], "Not Found", 0)</f>
        <v>Small Parts</v>
      </c>
    </row>
    <row r="32" spans="1:16" x14ac:dyDescent="0.25">
      <c r="A32" s="2" t="s">
        <v>77</v>
      </c>
      <c r="B32">
        <f>SUMIF(DemandHistory!A:A, A32, DemandHistory!C:C) * 2</f>
        <v>2042</v>
      </c>
      <c r="C32" s="4">
        <f>SQRT((2*B32*_xlfn.XLOOKUP(A32,SKU_Master!A:A,SKU_Master!E:E,,0))/_xlfn.XLOOKUP(A32,SKU_Master!A:A,SKU_Master!F:F,,0))</f>
        <v>53.797621606584521</v>
      </c>
      <c r="D32" s="3">
        <f>_xlfn.XLOOKUP(InventoryModel[[#This Row],[SKUID]], DemandSummary!$A:$A, DemandSummary!$B:$B)</f>
        <v>39.269230769230766</v>
      </c>
      <c r="E32" s="3">
        <f>_xlfn.XLOOKUP(InventoryModel[[#This Row],[SKUID]],DemandSummary!A:A,DemandSummary!C:C,,0)</f>
        <v>6.514953214307476</v>
      </c>
      <c r="F32" s="3">
        <f>_xlfn.XLOOKUP(A32, SKU_Master[SKUID], SKU_Master[LeadTimeDaysStdDev], "Not Found", 0) / 7</f>
        <v>0.18571428571428572</v>
      </c>
      <c r="G32" s="3">
        <f>_xlfn.XLOOKUP(A32, SKU_Master[SKUID], SKU_Master[LeadTimeDaysAvg], "Not Found", 0) / 7</f>
        <v>2.1428571428571428</v>
      </c>
      <c r="H32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19.809520449559656</v>
      </c>
      <c r="I32" s="4">
        <f xml:space="preserve"> (InventoryModel[[#This Row],[AvgWeeklyDemand]] * InventoryModel[[#This Row],[LeadTimeWeeks]]) + InventoryModel[[#This Row],[SafetyStock]]</f>
        <v>103.95787209791129</v>
      </c>
      <c r="J32">
        <f>_xlfn.XLOOKUP(A32,SKU_Master[SKUID],SKU_Master[CurrentStockLevel],"Not Found", 0)</f>
        <v>292</v>
      </c>
      <c r="K32" t="str">
        <f xml:space="preserve"> IF(InventoryModel[[#This Row],[CurrentStockLevel]] &lt; InventoryModel[[#This Row],[ReorderPoint]], "At Risk", "OK")</f>
        <v>OK</v>
      </c>
      <c r="L32" s="7">
        <f>(InventoryModel[[#This Row],[ReorderPoint]] - InventoryModel[[#This Row],[CurrentStockLevel]]) / InventoryModel[[#This Row],[ReorderPoint]]</f>
        <v>-1.8088300973011819</v>
      </c>
      <c r="M32" s="3" t="str" cm="1">
        <f t="array" ref="M32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32" s="3">
        <f>AVERAGEIFS(DemandHistory[AbsPctError],DemandHistory[SKUID],A32)</f>
        <v>0.15070675999289898</v>
      </c>
      <c r="O32" s="3">
        <f>InventoryModel[[#This Row],[StdDevWeeklyDemand]] / InventoryModel[[#This Row],[AvgWeeklyDemand]]</f>
        <v>0.16590478312634122</v>
      </c>
      <c r="P32" s="3" t="str">
        <f>_xlfn.XLOOKUP(A32, SKU_Master[SKUID], SKU_Master[Category], "Not Found", 0)</f>
        <v>Blowers</v>
      </c>
    </row>
    <row r="33" spans="1:16" x14ac:dyDescent="0.25">
      <c r="A33" s="2" t="s">
        <v>79</v>
      </c>
      <c r="B33">
        <f>SUMIF(DemandHistory!A:A, A33, DemandHistory!C:C) * 2</f>
        <v>4676</v>
      </c>
      <c r="C33" s="4">
        <f>SQRT((2*B33*_xlfn.XLOOKUP(A33,SKU_Master!A:A,SKU_Master!E:E,,0))/_xlfn.XLOOKUP(A33,SKU_Master!A:A,SKU_Master!F:F,,0))</f>
        <v>162.08090130053102</v>
      </c>
      <c r="D33" s="3">
        <f>_xlfn.XLOOKUP(InventoryModel[[#This Row],[SKUID]], DemandSummary!$A:$A, DemandSummary!$B:$B)</f>
        <v>89.92307692307692</v>
      </c>
      <c r="E33" s="3">
        <f>_xlfn.XLOOKUP(InventoryModel[[#This Row],[SKUID]],DemandSummary!A:A,DemandSummary!C:C,,0)</f>
        <v>16.069656068312298</v>
      </c>
      <c r="F33" s="3">
        <f>_xlfn.XLOOKUP(A33, SKU_Master[SKUID], SKU_Master[LeadTimeDaysStdDev], "Not Found", 0) / 7</f>
        <v>0.21428571428571427</v>
      </c>
      <c r="G33" s="3">
        <f>_xlfn.XLOOKUP(A33, SKU_Master[SKUID], SKU_Master[LeadTimeDaysAvg], "Not Found", 0) / 7</f>
        <v>1.4285714285714286</v>
      </c>
      <c r="H33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44.891183087531893</v>
      </c>
      <c r="I33" s="4">
        <f xml:space="preserve"> (InventoryModel[[#This Row],[AvgWeeklyDemand]] * InventoryModel[[#This Row],[LeadTimeWeeks]]) + InventoryModel[[#This Row],[SafetyStock]]</f>
        <v>173.35272154907034</v>
      </c>
      <c r="J33">
        <f>_xlfn.XLOOKUP(A33,SKU_Master[SKUID],SKU_Master[CurrentStockLevel],"Not Found", 0)</f>
        <v>82</v>
      </c>
      <c r="K33" t="str">
        <f xml:space="preserve"> IF(InventoryModel[[#This Row],[CurrentStockLevel]] &lt; InventoryModel[[#This Row],[ReorderPoint]], "At Risk", "OK")</f>
        <v>At Risk</v>
      </c>
      <c r="L33" s="7">
        <f>(InventoryModel[[#This Row],[ReorderPoint]] - InventoryModel[[#This Row],[CurrentStockLevel]]) / InventoryModel[[#This Row],[ReorderPoint]]</f>
        <v>0.52697598706698956</v>
      </c>
      <c r="M33" s="3" t="str" cm="1">
        <f t="array" ref="M33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33" s="3">
        <f>AVERAGEIFS(DemandHistory[AbsPctError],DemandHistory[SKUID],A33)</f>
        <v>0.16541334579376657</v>
      </c>
      <c r="O33" s="3">
        <f>InventoryModel[[#This Row],[StdDevWeeklyDemand]] / InventoryModel[[#This Row],[AvgWeeklyDemand]]</f>
        <v>0.17870447295813505</v>
      </c>
      <c r="P33" s="3" t="str">
        <f>_xlfn.XLOOKUP(A33, SKU_Master[SKUID], SKU_Master[Category], "Not Found", 0)</f>
        <v>Batteries</v>
      </c>
    </row>
    <row r="34" spans="1:16" x14ac:dyDescent="0.25">
      <c r="A34" s="2" t="s">
        <v>81</v>
      </c>
      <c r="B34">
        <f>SUMIF(DemandHistory!A:A, A34, DemandHistory!C:C) * 2</f>
        <v>2130</v>
      </c>
      <c r="C34" s="4">
        <f>SQRT((2*B34*_xlfn.XLOOKUP(A34,SKU_Master!A:A,SKU_Master!E:E,,0))/_xlfn.XLOOKUP(A34,SKU_Master!A:A,SKU_Master!F:F,,0))</f>
        <v>152.97213879502618</v>
      </c>
      <c r="D34" s="3">
        <f>_xlfn.XLOOKUP(InventoryModel[[#This Row],[SKUID]], DemandSummary!$A:$A, DemandSummary!$B:$B)</f>
        <v>40.96153846153846</v>
      </c>
      <c r="E34" s="3">
        <f>_xlfn.XLOOKUP(InventoryModel[[#This Row],[SKUID]],DemandSummary!A:A,DemandSummary!C:C,,0)</f>
        <v>4.321858574555808</v>
      </c>
      <c r="F34" s="3">
        <f>_xlfn.XLOOKUP(A34, SKU_Master[SKUID], SKU_Master[LeadTimeDaysStdDev], "Not Found", 0) / 7</f>
        <v>0.39999999999999997</v>
      </c>
      <c r="G34" s="3">
        <f>_xlfn.XLOOKUP(A34, SKU_Master[SKUID], SKU_Master[LeadTimeDaysAvg], "Not Found", 0) / 7</f>
        <v>1.2857142857142858</v>
      </c>
      <c r="H34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28.217932512106888</v>
      </c>
      <c r="I34" s="4">
        <f xml:space="preserve"> (InventoryModel[[#This Row],[AvgWeeklyDemand]] * InventoryModel[[#This Row],[LeadTimeWeeks]]) + InventoryModel[[#This Row],[SafetyStock]]</f>
        <v>80.882767676942052</v>
      </c>
      <c r="J34">
        <f>_xlfn.XLOOKUP(A34,SKU_Master[SKUID],SKU_Master[CurrentStockLevel],"Not Found", 0)</f>
        <v>202</v>
      </c>
      <c r="K34" t="str">
        <f xml:space="preserve"> IF(InventoryModel[[#This Row],[CurrentStockLevel]] &lt; InventoryModel[[#This Row],[ReorderPoint]], "At Risk", "OK")</f>
        <v>OK</v>
      </c>
      <c r="L34" s="7">
        <f>(InventoryModel[[#This Row],[ReorderPoint]] - InventoryModel[[#This Row],[CurrentStockLevel]]) / InventoryModel[[#This Row],[ReorderPoint]]</f>
        <v>-1.4974417394669084</v>
      </c>
      <c r="M34" s="3" t="str" cm="1">
        <f t="array" ref="M34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34" s="3">
        <f>AVERAGEIFS(DemandHistory[AbsPctError],DemandHistory[SKUID],A34)</f>
        <v>4.905093668921108E-2</v>
      </c>
      <c r="O34" s="3">
        <f>InventoryModel[[#This Row],[StdDevWeeklyDemand]] / InventoryModel[[#This Row],[AvgWeeklyDemand]]</f>
        <v>0.10551016238352208</v>
      </c>
      <c r="P34" s="3" t="str">
        <f>_xlfn.XLOOKUP(A34, SKU_Master[SKUID], SKU_Master[Category], "Not Found", 0)</f>
        <v>Chainsaws</v>
      </c>
    </row>
    <row r="35" spans="1:16" x14ac:dyDescent="0.25">
      <c r="A35" s="2" t="s">
        <v>83</v>
      </c>
      <c r="B35">
        <f>SUMIF(DemandHistory!A:A, A35, DemandHistory!C:C) * 2</f>
        <v>5608</v>
      </c>
      <c r="C35" s="4">
        <f>SQRT((2*B35*_xlfn.XLOOKUP(A35,SKU_Master!A:A,SKU_Master!E:E,,0))/_xlfn.XLOOKUP(A35,SKU_Master!A:A,SKU_Master!F:F,,0))</f>
        <v>97.580744759109621</v>
      </c>
      <c r="D35" s="3">
        <f>_xlfn.XLOOKUP(InventoryModel[[#This Row],[SKUID]], DemandSummary!$A:$A, DemandSummary!$B:$B)</f>
        <v>107.84615384615384</v>
      </c>
      <c r="E35" s="3">
        <f>_xlfn.XLOOKUP(InventoryModel[[#This Row],[SKUID]],DemandSummary!A:A,DemandSummary!C:C,,0)</f>
        <v>17.496724968272918</v>
      </c>
      <c r="F35" s="3">
        <f>_xlfn.XLOOKUP(A35, SKU_Master[SKUID], SKU_Master[LeadTimeDaysStdDev], "Not Found", 0) / 7</f>
        <v>0.15714285714285717</v>
      </c>
      <c r="G35" s="3">
        <f>_xlfn.XLOOKUP(A35, SKU_Master[SKUID], SKU_Master[LeadTimeDaysAvg], "Not Found", 0) / 7</f>
        <v>1.2857142857142858</v>
      </c>
      <c r="H35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43.052418114509926</v>
      </c>
      <c r="I35" s="4">
        <f xml:space="preserve"> (InventoryModel[[#This Row],[AvgWeeklyDemand]] * InventoryModel[[#This Row],[LeadTimeWeeks]]) + InventoryModel[[#This Row],[SafetyStock]]</f>
        <v>181.71175877385059</v>
      </c>
      <c r="J35">
        <f>_xlfn.XLOOKUP(A35,SKU_Master[SKUID],SKU_Master[CurrentStockLevel],"Not Found", 0)</f>
        <v>254</v>
      </c>
      <c r="K35" t="str">
        <f xml:space="preserve"> IF(InventoryModel[[#This Row],[CurrentStockLevel]] &lt; InventoryModel[[#This Row],[ReorderPoint]], "At Risk", "OK")</f>
        <v>OK</v>
      </c>
      <c r="L35" s="7">
        <f>(InventoryModel[[#This Row],[ReorderPoint]] - InventoryModel[[#This Row],[CurrentStockLevel]]) / InventoryModel[[#This Row],[ReorderPoint]]</f>
        <v>-0.39781818036396727</v>
      </c>
      <c r="M35" s="3" t="str" cm="1">
        <f t="array" ref="M35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WatchOverstock</v>
      </c>
      <c r="N35" s="3">
        <f>AVERAGEIFS(DemandHistory[AbsPctError],DemandHistory[SKUID],A35)</f>
        <v>0.12218874984754835</v>
      </c>
      <c r="O35" s="3">
        <f>InventoryModel[[#This Row],[StdDevWeeklyDemand]] / InventoryModel[[#This Row],[AvgWeeklyDemand]]</f>
        <v>0.16223782067585446</v>
      </c>
      <c r="P35" s="3" t="str">
        <f>_xlfn.XLOOKUP(A35, SKU_Master[SKUID], SKU_Master[Category], "Not Found", 0)</f>
        <v>Accessories</v>
      </c>
    </row>
    <row r="36" spans="1:16" x14ac:dyDescent="0.25">
      <c r="A36" s="2" t="s">
        <v>85</v>
      </c>
      <c r="B36">
        <f>SUMIF(DemandHistory!A:A, A36, DemandHistory!C:C) * 2</f>
        <v>4572</v>
      </c>
      <c r="C36" s="4">
        <f>SQRT((2*B36*_xlfn.XLOOKUP(A36,SKU_Master!A:A,SKU_Master!E:E,,0))/_xlfn.XLOOKUP(A36,SKU_Master!A:A,SKU_Master!F:F,,0))</f>
        <v>140.09229676938415</v>
      </c>
      <c r="D36" s="3">
        <f>_xlfn.XLOOKUP(InventoryModel[[#This Row],[SKUID]], DemandSummary!$A:$A, DemandSummary!$B:$B)</f>
        <v>87.92307692307692</v>
      </c>
      <c r="E36" s="3">
        <f>_xlfn.XLOOKUP(InventoryModel[[#This Row],[SKUID]],DemandSummary!A:A,DemandSummary!C:C,,0)</f>
        <v>12.003076528700724</v>
      </c>
      <c r="F36" s="3">
        <f>_xlfn.XLOOKUP(A36, SKU_Master[SKUID], SKU_Master[LeadTimeDaysStdDev], "Not Found", 0) / 7</f>
        <v>0.5</v>
      </c>
      <c r="G36" s="3">
        <f>_xlfn.XLOOKUP(A36, SKU_Master[SKUID], SKU_Master[LeadTimeDaysAvg], "Not Found", 0) / 7</f>
        <v>1.5714285714285714</v>
      </c>
      <c r="H36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76.667647667027282</v>
      </c>
      <c r="I36" s="4">
        <f xml:space="preserve"> (InventoryModel[[#This Row],[AvgWeeklyDemand]] * InventoryModel[[#This Row],[LeadTimeWeeks]]) + InventoryModel[[#This Row],[SafetyStock]]</f>
        <v>214.83248283186242</v>
      </c>
      <c r="J36">
        <f>_xlfn.XLOOKUP(A36,SKU_Master[SKUID],SKU_Master[CurrentStockLevel],"Not Found", 0)</f>
        <v>104</v>
      </c>
      <c r="K36" t="str">
        <f xml:space="preserve"> IF(InventoryModel[[#This Row],[CurrentStockLevel]] &lt; InventoryModel[[#This Row],[ReorderPoint]], "At Risk", "OK")</f>
        <v>At Risk</v>
      </c>
      <c r="L36" s="7">
        <f>(InventoryModel[[#This Row],[ReorderPoint]] - InventoryModel[[#This Row],[CurrentStockLevel]]) / InventoryModel[[#This Row],[ReorderPoint]]</f>
        <v>0.51590188490538891</v>
      </c>
      <c r="M36" s="3" t="str" cm="1">
        <f t="array" ref="M36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36" s="3">
        <f>AVERAGEIFS(DemandHistory[AbsPctError],DemandHistory[SKUID],A36)</f>
        <v>0.1118199082359531</v>
      </c>
      <c r="O36" s="3">
        <f>InventoryModel[[#This Row],[StdDevWeeklyDemand]] / InventoryModel[[#This Row],[AvgWeeklyDemand]]</f>
        <v>0.13651793077262417</v>
      </c>
      <c r="P36" s="3" t="str">
        <f>_xlfn.XLOOKUP(A36, SKU_Master[SKUID], SKU_Master[Category], "Not Found", 0)</f>
        <v>Trimmers</v>
      </c>
    </row>
    <row r="37" spans="1:16" x14ac:dyDescent="0.25">
      <c r="A37" s="2" t="s">
        <v>87</v>
      </c>
      <c r="B37">
        <f>SUMIF(DemandHistory!A:A, A37, DemandHistory!C:C) * 2</f>
        <v>2940</v>
      </c>
      <c r="C37" s="4">
        <f>SQRT((2*B37*_xlfn.XLOOKUP(A37,SKU_Master!A:A,SKU_Master!E:E,,0))/_xlfn.XLOOKUP(A37,SKU_Master!A:A,SKU_Master!F:F,,0))</f>
        <v>117.0585683546129</v>
      </c>
      <c r="D37" s="3">
        <f>_xlfn.XLOOKUP(InventoryModel[[#This Row],[SKUID]], DemandSummary!$A:$A, DemandSummary!$B:$B)</f>
        <v>56.53846153846154</v>
      </c>
      <c r="E37" s="3">
        <f>_xlfn.XLOOKUP(InventoryModel[[#This Row],[SKUID]],DemandSummary!A:A,DemandSummary!C:C,,0)</f>
        <v>6.6647176638220218</v>
      </c>
      <c r="F37" s="3">
        <f>_xlfn.XLOOKUP(A37, SKU_Master[SKUID], SKU_Master[LeadTimeDaysStdDev], "Not Found", 0) / 7</f>
        <v>0.25714285714285717</v>
      </c>
      <c r="G37" s="3">
        <f>_xlfn.XLOOKUP(A37, SKU_Master[SKUID], SKU_Master[LeadTimeDaysAvg], "Not Found", 0) / 7</f>
        <v>2.1428571428571428</v>
      </c>
      <c r="H37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28.889105539119395</v>
      </c>
      <c r="I37" s="4">
        <f xml:space="preserve"> (InventoryModel[[#This Row],[AvgWeeklyDemand]] * InventoryModel[[#This Row],[LeadTimeWeeks]]) + InventoryModel[[#This Row],[SafetyStock]]</f>
        <v>150.04295169296554</v>
      </c>
      <c r="J37">
        <f>_xlfn.XLOOKUP(A37,SKU_Master[SKUID],SKU_Master[CurrentStockLevel],"Not Found", 0)</f>
        <v>157</v>
      </c>
      <c r="K37" t="str">
        <f xml:space="preserve"> IF(InventoryModel[[#This Row],[CurrentStockLevel]] &lt; InventoryModel[[#This Row],[ReorderPoint]], "At Risk", "OK")</f>
        <v>OK</v>
      </c>
      <c r="L37" s="7">
        <f>(InventoryModel[[#This Row],[ReorderPoint]] - InventoryModel[[#This Row],[CurrentStockLevel]]) / InventoryModel[[#This Row],[ReorderPoint]]</f>
        <v>-4.636704509299934E-2</v>
      </c>
      <c r="M37" s="3" t="str" cm="1">
        <f t="array" ref="M37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37" s="3">
        <f>AVERAGEIFS(DemandHistory[AbsPctError],DemandHistory[SKUID],A37)</f>
        <v>6.6886049180606033E-2</v>
      </c>
      <c r="O37" s="3">
        <f>InventoryModel[[#This Row],[StdDevWeeklyDemand]] / InventoryModel[[#This Row],[AvgWeeklyDemand]]</f>
        <v>0.1178793600403895</v>
      </c>
      <c r="P37" s="3" t="str">
        <f>_xlfn.XLOOKUP(A37, SKU_Master[SKUID], SKU_Master[Category], "Not Found", 0)</f>
        <v>Chainsaws</v>
      </c>
    </row>
    <row r="38" spans="1:16" x14ac:dyDescent="0.25">
      <c r="A38" s="2" t="s">
        <v>89</v>
      </c>
      <c r="B38">
        <f>SUMIF(DemandHistory!A:A, A38, DemandHistory!C:C) * 2</f>
        <v>5032</v>
      </c>
      <c r="C38" s="4">
        <f>SQRT((2*B38*_xlfn.XLOOKUP(A38,SKU_Master!A:A,SKU_Master!E:E,,0))/_xlfn.XLOOKUP(A38,SKU_Master!A:A,SKU_Master!F:F,,0))</f>
        <v>313.14072311731934</v>
      </c>
      <c r="D38" s="3">
        <f>_xlfn.XLOOKUP(InventoryModel[[#This Row],[SKUID]], DemandSummary!$A:$A, DemandSummary!$B:$B)</f>
        <v>96.769230769230774</v>
      </c>
      <c r="E38" s="3">
        <f>_xlfn.XLOOKUP(InventoryModel[[#This Row],[SKUID]],DemandSummary!A:A,DemandSummary!C:C,,0)</f>
        <v>11.172493695886118</v>
      </c>
      <c r="F38" s="3">
        <f>_xlfn.XLOOKUP(A38, SKU_Master[SKUID], SKU_Master[LeadTimeDaysStdDev], "Not Found", 0) / 7</f>
        <v>0.5</v>
      </c>
      <c r="G38" s="3">
        <f>_xlfn.XLOOKUP(A38, SKU_Master[SKUID], SKU_Master[LeadTimeDaysAvg], "Not Found", 0) / 7</f>
        <v>2.5714285714285716</v>
      </c>
      <c r="H38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85.131822967333051</v>
      </c>
      <c r="I38" s="4">
        <f xml:space="preserve"> (InventoryModel[[#This Row],[AvgWeeklyDemand]] * InventoryModel[[#This Row],[LeadTimeWeeks]]) + InventoryModel[[#This Row],[SafetyStock]]</f>
        <v>333.9669878024979</v>
      </c>
      <c r="J38">
        <f>_xlfn.XLOOKUP(A38,SKU_Master[SKUID],SKU_Master[CurrentStockLevel],"Not Found", 0)</f>
        <v>274</v>
      </c>
      <c r="K38" t="str">
        <f xml:space="preserve"> IF(InventoryModel[[#This Row],[CurrentStockLevel]] &lt; InventoryModel[[#This Row],[ReorderPoint]], "At Risk", "OK")</f>
        <v>At Risk</v>
      </c>
      <c r="L38" s="7">
        <f>(InventoryModel[[#This Row],[ReorderPoint]] - InventoryModel[[#This Row],[CurrentStockLevel]]) / InventoryModel[[#This Row],[ReorderPoint]]</f>
        <v>0.17955962712686233</v>
      </c>
      <c r="M38" s="3" t="str" cm="1">
        <f t="array" ref="M38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38" s="3">
        <f>AVERAGEIFS(DemandHistory[AbsPctError],DemandHistory[SKUID],A38)</f>
        <v>5.7983715469251552E-2</v>
      </c>
      <c r="O38" s="3">
        <f>InventoryModel[[#This Row],[StdDevWeeklyDemand]] / InventoryModel[[#This Row],[AvgWeeklyDemand]]</f>
        <v>0.11545502229453063</v>
      </c>
      <c r="P38" s="3" t="str">
        <f>_xlfn.XLOOKUP(A38, SKU_Master[SKUID], SKU_Master[Category], "Not Found", 0)</f>
        <v>Mowers</v>
      </c>
    </row>
    <row r="39" spans="1:16" x14ac:dyDescent="0.25">
      <c r="A39" s="2" t="s">
        <v>91</v>
      </c>
      <c r="B39">
        <f>SUMIF(DemandHistory!A:A, A39, DemandHistory!C:C) * 2</f>
        <v>3890</v>
      </c>
      <c r="C39" s="4">
        <f>SQRT((2*B39*_xlfn.XLOOKUP(A39,SKU_Master!A:A,SKU_Master!E:E,,0))/_xlfn.XLOOKUP(A39,SKU_Master!A:A,SKU_Master!F:F,,0))</f>
        <v>126.27836711447092</v>
      </c>
      <c r="D39" s="3">
        <f>_xlfn.XLOOKUP(InventoryModel[[#This Row],[SKUID]], DemandSummary!$A:$A, DemandSummary!$B:$B)</f>
        <v>74.807692307692307</v>
      </c>
      <c r="E39" s="3">
        <f>_xlfn.XLOOKUP(InventoryModel[[#This Row],[SKUID]],DemandSummary!A:A,DemandSummary!C:C,,0)</f>
        <v>14.096862716985603</v>
      </c>
      <c r="F39" s="3">
        <f>_xlfn.XLOOKUP(A39, SKU_Master[SKUID], SKU_Master[LeadTimeDaysStdDev], "Not Found", 0) / 7</f>
        <v>0.47142857142857142</v>
      </c>
      <c r="G39" s="3">
        <f>_xlfn.XLOOKUP(A39, SKU_Master[SKUID], SKU_Master[LeadTimeDaysAvg], "Not Found", 0) / 7</f>
        <v>2.7142857142857144</v>
      </c>
      <c r="H39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69.674400805201415</v>
      </c>
      <c r="I39" s="4">
        <f xml:space="preserve"> (InventoryModel[[#This Row],[AvgWeeklyDemand]] * InventoryModel[[#This Row],[LeadTimeWeeks]]) + InventoryModel[[#This Row],[SafetyStock]]</f>
        <v>272.72385135465197</v>
      </c>
      <c r="J39">
        <f>_xlfn.XLOOKUP(A39,SKU_Master[SKUID],SKU_Master[CurrentStockLevel],"Not Found", 0)</f>
        <v>205</v>
      </c>
      <c r="K39" t="str">
        <f xml:space="preserve"> IF(InventoryModel[[#This Row],[CurrentStockLevel]] &lt; InventoryModel[[#This Row],[ReorderPoint]], "At Risk", "OK")</f>
        <v>At Risk</v>
      </c>
      <c r="L39" s="7">
        <f>(InventoryModel[[#This Row],[ReorderPoint]] - InventoryModel[[#This Row],[CurrentStockLevel]]) / InventoryModel[[#This Row],[ReorderPoint]]</f>
        <v>0.24832390353194084</v>
      </c>
      <c r="M39" s="3" t="str" cm="1">
        <f t="array" ref="M39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39" s="3">
        <f>AVERAGEIFS(DemandHistory[AbsPctError],DemandHistory[SKUID],A39)</f>
        <v>9.5286030436272498E-2</v>
      </c>
      <c r="O39" s="3">
        <f>InventoryModel[[#This Row],[StdDevWeeklyDemand]] / InventoryModel[[#This Row],[AvgWeeklyDemand]]</f>
        <v>0.18844135251497465</v>
      </c>
      <c r="P39" s="3" t="str">
        <f>_xlfn.XLOOKUP(A39, SKU_Master[SKUID], SKU_Master[Category], "Not Found", 0)</f>
        <v>Mowers</v>
      </c>
    </row>
    <row r="40" spans="1:16" x14ac:dyDescent="0.25">
      <c r="A40" s="2" t="s">
        <v>93</v>
      </c>
      <c r="B40">
        <f>SUMIF(DemandHistory!A:A, A40, DemandHistory!C:C) * 2</f>
        <v>4490</v>
      </c>
      <c r="C40" s="4">
        <f>SQRT((2*B40*_xlfn.XLOOKUP(A40,SKU_Master!A:A,SKU_Master!E:E,,0))/_xlfn.XLOOKUP(A40,SKU_Master!A:A,SKU_Master!F:F,,0))</f>
        <v>76.836805988295666</v>
      </c>
      <c r="D40" s="3">
        <f>_xlfn.XLOOKUP(InventoryModel[[#This Row],[SKUID]], DemandSummary!$A:$A, DemandSummary!$B:$B)</f>
        <v>86.34615384615384</v>
      </c>
      <c r="E40" s="3">
        <f>_xlfn.XLOOKUP(InventoryModel[[#This Row],[SKUID]],DemandSummary!A:A,DemandSummary!C:C,,0)</f>
        <v>48.824536706612847</v>
      </c>
      <c r="F40" s="3">
        <f>_xlfn.XLOOKUP(A40, SKU_Master[SKUID], SKU_Master[LeadTimeDaysStdDev], "Not Found", 0) / 7</f>
        <v>1.4857142857142858</v>
      </c>
      <c r="G40" s="3">
        <f>_xlfn.XLOOKUP(A40, SKU_Master[SKUID], SKU_Master[LeadTimeDaysAvg], "Not Found", 0) / 7</f>
        <v>5.7142857142857144</v>
      </c>
      <c r="H40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286.16509448191442</v>
      </c>
      <c r="I40" s="4">
        <f xml:space="preserve"> (InventoryModel[[#This Row],[AvgWeeklyDemand]] * InventoryModel[[#This Row],[LeadTimeWeeks]]) + InventoryModel[[#This Row],[SafetyStock]]</f>
        <v>779.57168788850777</v>
      </c>
      <c r="J40">
        <f>_xlfn.XLOOKUP(A40,SKU_Master[SKUID],SKU_Master[CurrentStockLevel],"Not Found", 0)</f>
        <v>40</v>
      </c>
      <c r="K40" t="str">
        <f xml:space="preserve"> IF(InventoryModel[[#This Row],[CurrentStockLevel]] &lt; InventoryModel[[#This Row],[ReorderPoint]], "At Risk", "OK")</f>
        <v>At Risk</v>
      </c>
      <c r="L40" s="7">
        <f>(InventoryModel[[#This Row],[ReorderPoint]] - InventoryModel[[#This Row],[CurrentStockLevel]]) / InventoryModel[[#This Row],[ReorderPoint]]</f>
        <v>0.94868977334420501</v>
      </c>
      <c r="M40" s="3" t="str" cm="1">
        <f t="array" ref="M40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40" s="3">
        <f>AVERAGEIFS(DemandHistory[AbsPctError],DemandHistory[SKUID],A40)</f>
        <v>0.56481719607869896</v>
      </c>
      <c r="O40" s="3">
        <f>InventoryModel[[#This Row],[StdDevWeeklyDemand]] / InventoryModel[[#This Row],[AvgWeeklyDemand]]</f>
        <v>0.56545120462001519</v>
      </c>
      <c r="P40" s="3" t="str">
        <f>_xlfn.XLOOKUP(A40, SKU_Master[SKUID], SKU_Master[Category], "Not Found", 0)</f>
        <v>Chainsaws</v>
      </c>
    </row>
    <row r="41" spans="1:16" x14ac:dyDescent="0.25">
      <c r="A41" s="2" t="s">
        <v>95</v>
      </c>
      <c r="B41">
        <f>SUMIF(DemandHistory!A:A, A41, DemandHistory!C:C) * 2</f>
        <v>2166</v>
      </c>
      <c r="C41" s="4">
        <f>SQRT((2*B41*_xlfn.XLOOKUP(A41,SKU_Master!A:A,SKU_Master!E:E,,0))/_xlfn.XLOOKUP(A41,SKU_Master!A:A,SKU_Master!F:F,,0))</f>
        <v>95.885580755985004</v>
      </c>
      <c r="D41" s="3">
        <f>_xlfn.XLOOKUP(InventoryModel[[#This Row],[SKUID]], DemandSummary!$A:$A, DemandSummary!$B:$B)</f>
        <v>41.653846153846153</v>
      </c>
      <c r="E41" s="3">
        <f>_xlfn.XLOOKUP(InventoryModel[[#This Row],[SKUID]],DemandSummary!A:A,DemandSummary!C:C,,0)</f>
        <v>6.2797599170179019</v>
      </c>
      <c r="F41" s="3">
        <f>_xlfn.XLOOKUP(A41, SKU_Master[SKUID], SKU_Master[LeadTimeDaysStdDev], "Not Found", 0) / 7</f>
        <v>0.51428571428571435</v>
      </c>
      <c r="G41" s="3">
        <f>_xlfn.XLOOKUP(A41, SKU_Master[SKUID], SKU_Master[LeadTimeDaysAvg], "Not Found", 0) / 7</f>
        <v>1.1428571428571428</v>
      </c>
      <c r="H41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37.041311296052896</v>
      </c>
      <c r="I41" s="4">
        <f xml:space="preserve"> (InventoryModel[[#This Row],[AvgWeeklyDemand]] * InventoryModel[[#This Row],[LeadTimeWeeks]]) + InventoryModel[[#This Row],[SafetyStock]]</f>
        <v>84.645706900448488</v>
      </c>
      <c r="J41">
        <f>_xlfn.XLOOKUP(A41,SKU_Master[SKUID],SKU_Master[CurrentStockLevel],"Not Found", 0)</f>
        <v>64</v>
      </c>
      <c r="K41" t="str">
        <f xml:space="preserve"> IF(InventoryModel[[#This Row],[CurrentStockLevel]] &lt; InventoryModel[[#This Row],[ReorderPoint]], "At Risk", "OK")</f>
        <v>At Risk</v>
      </c>
      <c r="L41" s="7">
        <f>(InventoryModel[[#This Row],[ReorderPoint]] - InventoryModel[[#This Row],[CurrentStockLevel]]) / InventoryModel[[#This Row],[ReorderPoint]]</f>
        <v>0.24390731268544819</v>
      </c>
      <c r="M41" s="3" t="str" cm="1">
        <f t="array" ref="M41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41" s="3">
        <f>AVERAGEIFS(DemandHistory[AbsPctError],DemandHistory[SKUID],A41)</f>
        <v>0.11133177227644116</v>
      </c>
      <c r="O41" s="3">
        <f>InventoryModel[[#This Row],[StdDevWeeklyDemand]] / InventoryModel[[#This Row],[AvgWeeklyDemand]]</f>
        <v>0.1507606258933199</v>
      </c>
      <c r="P41" s="3" t="str">
        <f>_xlfn.XLOOKUP(A41, SKU_Master[SKUID], SKU_Master[Category], "Not Found", 0)</f>
        <v>Chainsaws</v>
      </c>
    </row>
    <row r="42" spans="1:16" x14ac:dyDescent="0.25">
      <c r="A42" s="2" t="s">
        <v>97</v>
      </c>
      <c r="B42">
        <f>SUMIF(DemandHistory!A:A, A42, DemandHistory!C:C) * 2</f>
        <v>4942</v>
      </c>
      <c r="C42" s="4">
        <f>SQRT((2*B42*_xlfn.XLOOKUP(A42,SKU_Master!A:A,SKU_Master!E:E,,0))/_xlfn.XLOOKUP(A42,SKU_Master!A:A,SKU_Master!F:F,,0))</f>
        <v>139.14342956297625</v>
      </c>
      <c r="D42" s="3">
        <f>_xlfn.XLOOKUP(InventoryModel[[#This Row],[SKUID]], DemandSummary!$A:$A, DemandSummary!$B:$B)</f>
        <v>95.038461538461533</v>
      </c>
      <c r="E42" s="3">
        <f>_xlfn.XLOOKUP(InventoryModel[[#This Row],[SKUID]],DemandSummary!A:A,DemandSummary!C:C,,0)</f>
        <v>12.542665647240273</v>
      </c>
      <c r="F42" s="3">
        <f>_xlfn.XLOOKUP(A42, SKU_Master[SKUID], SKU_Master[LeadTimeDaysStdDev], "Not Found", 0) / 7</f>
        <v>0.38571428571428573</v>
      </c>
      <c r="G42" s="3">
        <f>_xlfn.XLOOKUP(A42, SKU_Master[SKUID], SKU_Master[LeadTimeDaysAvg], "Not Found", 0) / 7</f>
        <v>2.7142857142857144</v>
      </c>
      <c r="H42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69.433318616518065</v>
      </c>
      <c r="I42" s="4">
        <f xml:space="preserve"> (InventoryModel[[#This Row],[AvgWeeklyDemand]] * InventoryModel[[#This Row],[LeadTimeWeeks]]) + InventoryModel[[#This Row],[SafetyStock]]</f>
        <v>327.39485707805653</v>
      </c>
      <c r="J42">
        <f>_xlfn.XLOOKUP(A42,SKU_Master[SKUID],SKU_Master[CurrentStockLevel],"Not Found", 0)</f>
        <v>244</v>
      </c>
      <c r="K42" t="str">
        <f xml:space="preserve"> IF(InventoryModel[[#This Row],[CurrentStockLevel]] &lt; InventoryModel[[#This Row],[ReorderPoint]], "At Risk", "OK")</f>
        <v>At Risk</v>
      </c>
      <c r="L42" s="7">
        <f>(InventoryModel[[#This Row],[ReorderPoint]] - InventoryModel[[#This Row],[CurrentStockLevel]]) / InventoryModel[[#This Row],[ReorderPoint]]</f>
        <v>0.25472256290871964</v>
      </c>
      <c r="M42" s="3" t="str" cm="1">
        <f t="array" ref="M42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42" s="3">
        <f>AVERAGEIFS(DemandHistory[AbsPctError],DemandHistory[SKUID],A42)</f>
        <v>8.0533635197995793E-2</v>
      </c>
      <c r="O42" s="3">
        <f>InventoryModel[[#This Row],[StdDevWeeklyDemand]] / InventoryModel[[#This Row],[AvgWeeklyDemand]]</f>
        <v>0.13197462842098223</v>
      </c>
      <c r="P42" s="3" t="str">
        <f>_xlfn.XLOOKUP(A42, SKU_Master[SKUID], SKU_Master[Category], "Not Found", 0)</f>
        <v>Blowers</v>
      </c>
    </row>
    <row r="43" spans="1:16" x14ac:dyDescent="0.25">
      <c r="A43" s="2" t="s">
        <v>99</v>
      </c>
      <c r="B43">
        <f>SUMIF(DemandHistory!A:A, A43, DemandHistory!C:C) * 2</f>
        <v>5762</v>
      </c>
      <c r="C43" s="4">
        <f>SQRT((2*B43*_xlfn.XLOOKUP(A43,SKU_Master!A:A,SKU_Master!E:E,,0))/_xlfn.XLOOKUP(A43,SKU_Master!A:A,SKU_Master!F:F,,0))</f>
        <v>142.97192531602639</v>
      </c>
      <c r="D43" s="3">
        <f>_xlfn.XLOOKUP(InventoryModel[[#This Row],[SKUID]], DemandSummary!$A:$A, DemandSummary!$B:$B)</f>
        <v>110.80769230769231</v>
      </c>
      <c r="E43" s="3">
        <f>_xlfn.XLOOKUP(InventoryModel[[#This Row],[SKUID]],DemandSummary!A:A,DemandSummary!C:C,,0)</f>
        <v>14.713311607572836</v>
      </c>
      <c r="F43" s="3">
        <f>_xlfn.XLOOKUP(A43, SKU_Master[SKUID], SKU_Master[LeadTimeDaysStdDev], "Not Found", 0) / 7</f>
        <v>0.44285714285714289</v>
      </c>
      <c r="G43" s="3">
        <f>_xlfn.XLOOKUP(A43, SKU_Master[SKUID], SKU_Master[LeadTimeDaysAvg], "Not Found", 0) / 7</f>
        <v>1.5714285714285714</v>
      </c>
      <c r="H43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86.499104685646628</v>
      </c>
      <c r="I43" s="4">
        <f xml:space="preserve"> (InventoryModel[[#This Row],[AvgWeeklyDemand]] * InventoryModel[[#This Row],[LeadTimeWeeks]]) + InventoryModel[[#This Row],[SafetyStock]]</f>
        <v>260.62547831202028</v>
      </c>
      <c r="J43">
        <f>_xlfn.XLOOKUP(A43,SKU_Master[SKUID],SKU_Master[CurrentStockLevel],"Not Found", 0)</f>
        <v>165</v>
      </c>
      <c r="K43" t="str">
        <f xml:space="preserve"> IF(InventoryModel[[#This Row],[CurrentStockLevel]] &lt; InventoryModel[[#This Row],[ReorderPoint]], "At Risk", "OK")</f>
        <v>At Risk</v>
      </c>
      <c r="L43" s="7">
        <f>(InventoryModel[[#This Row],[ReorderPoint]] - InventoryModel[[#This Row],[CurrentStockLevel]]) / InventoryModel[[#This Row],[ReorderPoint]]</f>
        <v>0.36690763670287696</v>
      </c>
      <c r="M43" s="3" t="str" cm="1">
        <f t="array" ref="M43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43" s="3">
        <f>AVERAGEIFS(DemandHistory[AbsPctError],DemandHistory[SKUID],A43)</f>
        <v>0.10706185119048178</v>
      </c>
      <c r="O43" s="3">
        <f>InventoryModel[[#This Row],[StdDevWeeklyDemand]] / InventoryModel[[#This Row],[AvgWeeklyDemand]]</f>
        <v>0.13278240256747439</v>
      </c>
      <c r="P43" s="3" t="str">
        <f>_xlfn.XLOOKUP(A43, SKU_Master[SKUID], SKU_Master[Category], "Not Found", 0)</f>
        <v>Trimmers</v>
      </c>
    </row>
    <row r="44" spans="1:16" x14ac:dyDescent="0.25">
      <c r="A44" s="2" t="s">
        <v>101</v>
      </c>
      <c r="B44">
        <f>SUMIF(DemandHistory!A:A, A44, DemandHistory!C:C) * 2</f>
        <v>4862</v>
      </c>
      <c r="C44" s="4">
        <f>SQRT((2*B44*_xlfn.XLOOKUP(A44,SKU_Master!A:A,SKU_Master!E:E,,0))/_xlfn.XLOOKUP(A44,SKU_Master!A:A,SKU_Master!F:F,,0))</f>
        <v>93.953538995143418</v>
      </c>
      <c r="D44" s="3">
        <f>_xlfn.XLOOKUP(InventoryModel[[#This Row],[SKUID]], DemandSummary!$A:$A, DemandSummary!$B:$B)</f>
        <v>93.5</v>
      </c>
      <c r="E44" s="3">
        <f>_xlfn.XLOOKUP(InventoryModel[[#This Row],[SKUID]],DemandSummary!A:A,DemandSummary!C:C,,0)</f>
        <v>15.250573759698355</v>
      </c>
      <c r="F44" s="3">
        <f>_xlfn.XLOOKUP(A44, SKU_Master[SKUID], SKU_Master[LeadTimeDaysStdDev], "Not Found", 0) / 7</f>
        <v>0.54285714285714282</v>
      </c>
      <c r="G44" s="3">
        <f>_xlfn.XLOOKUP(A44, SKU_Master[SKUID], SKU_Master[LeadTimeDaysAvg], "Not Found", 0) / 7</f>
        <v>1.8571428571428572</v>
      </c>
      <c r="H44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90.497977604531044</v>
      </c>
      <c r="I44" s="4">
        <f xml:space="preserve"> (InventoryModel[[#This Row],[AvgWeeklyDemand]] * InventoryModel[[#This Row],[LeadTimeWeeks]]) + InventoryModel[[#This Row],[SafetyStock]]</f>
        <v>264.14083474738817</v>
      </c>
      <c r="J44">
        <f>_xlfn.XLOOKUP(A44,SKU_Master[SKUID],SKU_Master[CurrentStockLevel],"Not Found", 0)</f>
        <v>278</v>
      </c>
      <c r="K44" t="str">
        <f xml:space="preserve"> IF(InventoryModel[[#This Row],[CurrentStockLevel]] &lt; InventoryModel[[#This Row],[ReorderPoint]], "At Risk", "OK")</f>
        <v>OK</v>
      </c>
      <c r="L44" s="7">
        <f>(InventoryModel[[#This Row],[ReorderPoint]] - InventoryModel[[#This Row],[CurrentStockLevel]]) / InventoryModel[[#This Row],[ReorderPoint]]</f>
        <v>-5.246884778669713E-2</v>
      </c>
      <c r="M44" s="3" t="str" cm="1">
        <f t="array" ref="M44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44" s="3">
        <f>AVERAGEIFS(DemandHistory[AbsPctError],DemandHistory[SKUID],A44)</f>
        <v>0.13201950680690416</v>
      </c>
      <c r="O44" s="3">
        <f>InventoryModel[[#This Row],[StdDevWeeklyDemand]] / InventoryModel[[#This Row],[AvgWeeklyDemand]]</f>
        <v>0.16310774074543696</v>
      </c>
      <c r="P44" s="3" t="str">
        <f>_xlfn.XLOOKUP(A44, SKU_Master[SKUID], SKU_Master[Category], "Not Found", 0)</f>
        <v>Accessories</v>
      </c>
    </row>
    <row r="45" spans="1:16" x14ac:dyDescent="0.25">
      <c r="A45" s="2" t="s">
        <v>103</v>
      </c>
      <c r="B45">
        <f>SUMIF(DemandHistory!A:A, A45, DemandHistory!C:C) * 2</f>
        <v>3372</v>
      </c>
      <c r="C45" s="4">
        <f>SQRT((2*B45*_xlfn.XLOOKUP(A45,SKU_Master!A:A,SKU_Master!E:E,,0))/_xlfn.XLOOKUP(A45,SKU_Master!A:A,SKU_Master!F:F,,0))</f>
        <v>63.068053755181801</v>
      </c>
      <c r="D45" s="3">
        <f>_xlfn.XLOOKUP(InventoryModel[[#This Row],[SKUID]], DemandSummary!$A:$A, DemandSummary!$B:$B)</f>
        <v>64.84615384615384</v>
      </c>
      <c r="E45" s="3">
        <f>_xlfn.XLOOKUP(InventoryModel[[#This Row],[SKUID]],DemandSummary!A:A,DemandSummary!C:C,,0)</f>
        <v>9.0186132312780991</v>
      </c>
      <c r="F45" s="3">
        <f>_xlfn.XLOOKUP(A45, SKU_Master[SKUID], SKU_Master[LeadTimeDaysStdDev], "Not Found", 0) / 7</f>
        <v>0.27142857142857141</v>
      </c>
      <c r="G45" s="3">
        <f>_xlfn.XLOOKUP(A45, SKU_Master[SKUID], SKU_Master[LeadTimeDaysAvg], "Not Found", 0) / 7</f>
        <v>2.7142857142857144</v>
      </c>
      <c r="H45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38.006135782710118</v>
      </c>
      <c r="I45" s="4">
        <f xml:space="preserve"> (InventoryModel[[#This Row],[AvgWeeklyDemand]] * InventoryModel[[#This Row],[LeadTimeWeeks]]) + InventoryModel[[#This Row],[SafetyStock]]</f>
        <v>214.01712479369911</v>
      </c>
      <c r="J45">
        <f>_xlfn.XLOOKUP(A45,SKU_Master[SKUID],SKU_Master[CurrentStockLevel],"Not Found", 0)</f>
        <v>221</v>
      </c>
      <c r="K45" t="str">
        <f xml:space="preserve"> IF(InventoryModel[[#This Row],[CurrentStockLevel]] &lt; InventoryModel[[#This Row],[ReorderPoint]], "At Risk", "OK")</f>
        <v>OK</v>
      </c>
      <c r="L45" s="7">
        <f>(InventoryModel[[#This Row],[ReorderPoint]] - InventoryModel[[#This Row],[CurrentStockLevel]]) / InventoryModel[[#This Row],[ReorderPoint]]</f>
        <v>-3.2627647030731781E-2</v>
      </c>
      <c r="M45" s="3" t="str" cm="1">
        <f t="array" ref="M45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45" s="3">
        <f>AVERAGEIFS(DemandHistory[AbsPctError],DemandHistory[SKUID],A45)</f>
        <v>7.3620848863208341E-2</v>
      </c>
      <c r="O45" s="3">
        <f>InventoryModel[[#This Row],[StdDevWeeklyDemand]] / InventoryModel[[#This Row],[AvgWeeklyDemand]]</f>
        <v>0.13907707236846417</v>
      </c>
      <c r="P45" s="3" t="str">
        <f>_xlfn.XLOOKUP(A45, SKU_Master[SKUID], SKU_Master[Category], "Not Found", 0)</f>
        <v>Blowers</v>
      </c>
    </row>
    <row r="46" spans="1:16" x14ac:dyDescent="0.25">
      <c r="A46" s="2" t="s">
        <v>105</v>
      </c>
      <c r="B46">
        <f>SUMIF(DemandHistory!A:A, A46, DemandHistory!C:C) * 2</f>
        <v>5490</v>
      </c>
      <c r="C46" s="4">
        <f>SQRT((2*B46*_xlfn.XLOOKUP(A46,SKU_Master!A:A,SKU_Master!E:E,,0))/_xlfn.XLOOKUP(A46,SKU_Master!A:A,SKU_Master!F:F,,0))</f>
        <v>112.1462769488751</v>
      </c>
      <c r="D46" s="3">
        <f>_xlfn.XLOOKUP(InventoryModel[[#This Row],[SKUID]], DemandSummary!$A:$A, DemandSummary!$B:$B)</f>
        <v>105.57692307692308</v>
      </c>
      <c r="E46" s="3">
        <f>_xlfn.XLOOKUP(InventoryModel[[#This Row],[SKUID]],DemandSummary!A:A,DemandSummary!C:C,,0)</f>
        <v>11.107378005355049</v>
      </c>
      <c r="F46" s="3">
        <f>_xlfn.XLOOKUP(A46, SKU_Master[SKUID], SKU_Master[LeadTimeDaysStdDev], "Not Found", 0) / 7</f>
        <v>0.52857142857142858</v>
      </c>
      <c r="G46" s="3">
        <f>_xlfn.XLOOKUP(A46, SKU_Master[SKUID], SKU_Master[LeadTimeDaysAvg], "Not Found", 0) / 7</f>
        <v>1.1428571428571428</v>
      </c>
      <c r="H46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94.139557771714436</v>
      </c>
      <c r="I46" s="4">
        <f xml:space="preserve"> (InventoryModel[[#This Row],[AvgWeeklyDemand]] * InventoryModel[[#This Row],[LeadTimeWeeks]]) + InventoryModel[[#This Row],[SafetyStock]]</f>
        <v>214.79889843105508</v>
      </c>
      <c r="J46">
        <f>_xlfn.XLOOKUP(A46,SKU_Master[SKUID],SKU_Master[CurrentStockLevel],"Not Found", 0)</f>
        <v>89</v>
      </c>
      <c r="K46" t="str">
        <f xml:space="preserve"> IF(InventoryModel[[#This Row],[CurrentStockLevel]] &lt; InventoryModel[[#This Row],[ReorderPoint]], "At Risk", "OK")</f>
        <v>At Risk</v>
      </c>
      <c r="L46" s="7">
        <f>(InventoryModel[[#This Row],[ReorderPoint]] - InventoryModel[[#This Row],[CurrentStockLevel]]) / InventoryModel[[#This Row],[ReorderPoint]]</f>
        <v>0.58565895518981581</v>
      </c>
      <c r="M46" s="3" t="str" cm="1">
        <f t="array" ref="M46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46" s="3">
        <f>AVERAGEIFS(DemandHistory[AbsPctError],DemandHistory[SKUID],A46)</f>
        <v>6.4804836053455814E-2</v>
      </c>
      <c r="O46" s="3">
        <f>InventoryModel[[#This Row],[StdDevWeeklyDemand]] / InventoryModel[[#This Row],[AvgWeeklyDemand]]</f>
        <v>0.10520649476839025</v>
      </c>
      <c r="P46" s="3" t="str">
        <f>_xlfn.XLOOKUP(A46, SKU_Master[SKUID], SKU_Master[Category], "Not Found", 0)</f>
        <v>Blowers</v>
      </c>
    </row>
    <row r="47" spans="1:16" x14ac:dyDescent="0.25">
      <c r="A47" s="2" t="s">
        <v>107</v>
      </c>
      <c r="B47">
        <f>SUMIF(DemandHistory!A:A, A47, DemandHistory!C:C) * 2</f>
        <v>1140</v>
      </c>
      <c r="C47" s="4">
        <f>SQRT((2*B47*_xlfn.XLOOKUP(A47,SKU_Master!A:A,SKU_Master!E:E,,0))/_xlfn.XLOOKUP(A47,SKU_Master!A:A,SKU_Master!F:F,,0))</f>
        <v>107.80053365442944</v>
      </c>
      <c r="D47" s="3">
        <f>_xlfn.XLOOKUP(InventoryModel[[#This Row],[SKUID]], DemandSummary!$A:$A, DemandSummary!$B:$B)</f>
        <v>21.923076923076923</v>
      </c>
      <c r="E47" s="3">
        <f>_xlfn.XLOOKUP(InventoryModel[[#This Row],[SKUID]],DemandSummary!A:A,DemandSummary!C:C,,0)</f>
        <v>3.0584058190250309</v>
      </c>
      <c r="F47" s="3">
        <f>_xlfn.XLOOKUP(A47, SKU_Master[SKUID], SKU_Master[LeadTimeDaysStdDev], "Not Found", 0) / 7</f>
        <v>0.45714285714285718</v>
      </c>
      <c r="G47" s="3">
        <f>_xlfn.XLOOKUP(A47, SKU_Master[SKUID], SKU_Master[LeadTimeDaysAvg], "Not Found", 0) / 7</f>
        <v>1.7142857142857142</v>
      </c>
      <c r="H47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17.807407296375501</v>
      </c>
      <c r="I47" s="4">
        <f xml:space="preserve"> (InventoryModel[[#This Row],[AvgWeeklyDemand]] * InventoryModel[[#This Row],[LeadTimeWeeks]]) + InventoryModel[[#This Row],[SafetyStock]]</f>
        <v>55.389824878793085</v>
      </c>
      <c r="J47">
        <f>_xlfn.XLOOKUP(A47,SKU_Master[SKUID],SKU_Master[CurrentStockLevel],"Not Found", 0)</f>
        <v>74</v>
      </c>
      <c r="K47" t="str">
        <f xml:space="preserve"> IF(InventoryModel[[#This Row],[CurrentStockLevel]] &lt; InventoryModel[[#This Row],[ReorderPoint]], "At Risk", "OK")</f>
        <v>OK</v>
      </c>
      <c r="L47" s="7">
        <f>(InventoryModel[[#This Row],[ReorderPoint]] - InventoryModel[[#This Row],[CurrentStockLevel]]) / InventoryModel[[#This Row],[ReorderPoint]]</f>
        <v>-0.33598544790366597</v>
      </c>
      <c r="M47" s="3" t="str" cm="1">
        <f t="array" ref="M47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WatchOverstock</v>
      </c>
      <c r="N47" s="3">
        <f>AVERAGEIFS(DemandHistory[AbsPctError],DemandHistory[SKUID],A47)</f>
        <v>0.13337596095016821</v>
      </c>
      <c r="O47" s="3">
        <f>InventoryModel[[#This Row],[StdDevWeeklyDemand]] / InventoryModel[[#This Row],[AvgWeeklyDemand]]</f>
        <v>0.13950623034149265</v>
      </c>
      <c r="P47" s="3" t="str">
        <f>_xlfn.XLOOKUP(A47, SKU_Master[SKUID], SKU_Master[Category], "Not Found", 0)</f>
        <v>Small Parts</v>
      </c>
    </row>
    <row r="48" spans="1:16" x14ac:dyDescent="0.25">
      <c r="A48" s="2" t="s">
        <v>109</v>
      </c>
      <c r="B48">
        <f>SUMIF(DemandHistory!A:A, A48, DemandHistory!C:C) * 2</f>
        <v>6612</v>
      </c>
      <c r="C48" s="4">
        <f>SQRT((2*B48*_xlfn.XLOOKUP(A48,SKU_Master!A:A,SKU_Master!E:E,,0))/_xlfn.XLOOKUP(A48,SKU_Master!A:A,SKU_Master!F:F,,0))</f>
        <v>73.236279368593401</v>
      </c>
      <c r="D48" s="3">
        <f>_xlfn.XLOOKUP(InventoryModel[[#This Row],[SKUID]], DemandSummary!$A:$A, DemandSummary!$B:$B)</f>
        <v>127.15384615384616</v>
      </c>
      <c r="E48" s="3">
        <f>_xlfn.XLOOKUP(InventoryModel[[#This Row],[SKUID]],DemandSummary!A:A,DemandSummary!C:C,,0)</f>
        <v>17.485290521332065</v>
      </c>
      <c r="F48" s="3">
        <f>_xlfn.XLOOKUP(A48, SKU_Master[SKUID], SKU_Master[LeadTimeDaysStdDev], "Not Found", 0) / 7</f>
        <v>0.21428571428571427</v>
      </c>
      <c r="G48" s="3">
        <f>_xlfn.XLOOKUP(A48, SKU_Master[SKUID], SKU_Master[LeadTimeDaysAvg], "Not Found", 0) / 7</f>
        <v>1.7142857142857142</v>
      </c>
      <c r="H48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58.720775848253808</v>
      </c>
      <c r="I48" s="4">
        <f xml:space="preserve"> (InventoryModel[[#This Row],[AvgWeeklyDemand]] * InventoryModel[[#This Row],[LeadTimeWeeks]]) + InventoryModel[[#This Row],[SafetyStock]]</f>
        <v>276.69879782627578</v>
      </c>
      <c r="J48">
        <f>_xlfn.XLOOKUP(A48,SKU_Master[SKUID],SKU_Master[CurrentStockLevel],"Not Found", 0)</f>
        <v>160</v>
      </c>
      <c r="K48" t="str">
        <f xml:space="preserve"> IF(InventoryModel[[#This Row],[CurrentStockLevel]] &lt; InventoryModel[[#This Row],[ReorderPoint]], "At Risk", "OK")</f>
        <v>At Risk</v>
      </c>
      <c r="L48" s="7">
        <f>(InventoryModel[[#This Row],[ReorderPoint]] - InventoryModel[[#This Row],[CurrentStockLevel]]) / InventoryModel[[#This Row],[ReorderPoint]]</f>
        <v>0.42175390259391243</v>
      </c>
      <c r="M48" s="3" t="str" cm="1">
        <f t="array" ref="M48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48" s="3">
        <f>AVERAGEIFS(DemandHistory[AbsPctError],DemandHistory[SKUID],A48)</f>
        <v>0.10379721369190278</v>
      </c>
      <c r="O48" s="3">
        <f>InventoryModel[[#This Row],[StdDevWeeklyDemand]] / InventoryModel[[#This Row],[AvgWeeklyDemand]]</f>
        <v>0.1375128716136218</v>
      </c>
      <c r="P48" s="3" t="str">
        <f>_xlfn.XLOOKUP(A48, SKU_Master[SKUID], SKU_Master[Category], "Not Found", 0)</f>
        <v>Batteries</v>
      </c>
    </row>
    <row r="49" spans="1:16" x14ac:dyDescent="0.25">
      <c r="A49" s="2" t="s">
        <v>111</v>
      </c>
      <c r="B49">
        <f>SUMIF(DemandHistory!A:A, A49, DemandHistory!C:C) * 2</f>
        <v>7378</v>
      </c>
      <c r="C49" s="4">
        <f>SQRT((2*B49*_xlfn.XLOOKUP(A49,SKU_Master!A:A,SKU_Master!E:E,,0))/_xlfn.XLOOKUP(A49,SKU_Master!A:A,SKU_Master!F:F,,0))</f>
        <v>142.7320505424702</v>
      </c>
      <c r="D49" s="3">
        <f>_xlfn.XLOOKUP(InventoryModel[[#This Row],[SKUID]], DemandSummary!$A:$A, DemandSummary!$B:$B)</f>
        <v>141.88461538461539</v>
      </c>
      <c r="E49" s="3">
        <f>_xlfn.XLOOKUP(InventoryModel[[#This Row],[SKUID]],DemandSummary!A:A,DemandSummary!C:C,,0)</f>
        <v>16.831700860167249</v>
      </c>
      <c r="F49" s="3">
        <f>_xlfn.XLOOKUP(A49, SKU_Master[SKUID], SKU_Master[LeadTimeDaysStdDev], "Not Found", 0) / 7</f>
        <v>0.15714285714285717</v>
      </c>
      <c r="G49" s="3">
        <f>_xlfn.XLOOKUP(A49, SKU_Master[SKUID], SKU_Master[LeadTimeDaysAvg], "Not Found", 0) / 7</f>
        <v>2.2857142857142856</v>
      </c>
      <c r="H49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55.824535599403418</v>
      </c>
      <c r="I49" s="4">
        <f xml:space="preserve"> (InventoryModel[[#This Row],[AvgWeeklyDemand]] * InventoryModel[[#This Row],[LeadTimeWeeks]]) + InventoryModel[[#This Row],[SafetyStock]]</f>
        <v>380.13222790709574</v>
      </c>
      <c r="J49">
        <f>_xlfn.XLOOKUP(A49,SKU_Master[SKUID],SKU_Master[CurrentStockLevel],"Not Found", 0)</f>
        <v>191</v>
      </c>
      <c r="K49" t="str">
        <f xml:space="preserve"> IF(InventoryModel[[#This Row],[CurrentStockLevel]] &lt; InventoryModel[[#This Row],[ReorderPoint]], "At Risk", "OK")</f>
        <v>At Risk</v>
      </c>
      <c r="L49" s="7">
        <f>(InventoryModel[[#This Row],[ReorderPoint]] - InventoryModel[[#This Row],[CurrentStockLevel]]) / InventoryModel[[#This Row],[ReorderPoint]]</f>
        <v>0.49754326000825067</v>
      </c>
      <c r="M49" s="3" t="str" cm="1">
        <f t="array" ref="M49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49" s="3">
        <f>AVERAGEIFS(DemandHistory[AbsPctError],DemandHistory[SKUID],A49)</f>
        <v>7.0129454648642328E-2</v>
      </c>
      <c r="O49" s="3">
        <f>InventoryModel[[#This Row],[StdDevWeeklyDemand]] / InventoryModel[[#This Row],[AvgWeeklyDemand]]</f>
        <v>0.11862949914999958</v>
      </c>
      <c r="P49" s="3" t="str">
        <f>_xlfn.XLOOKUP(A49, SKU_Master[SKUID], SKU_Master[Category], "Not Found", 0)</f>
        <v>Batteries</v>
      </c>
    </row>
    <row r="50" spans="1:16" x14ac:dyDescent="0.25">
      <c r="A50" s="2" t="s">
        <v>113</v>
      </c>
      <c r="B50">
        <f>SUMIF(DemandHistory!A:A, A50, DemandHistory!C:C) * 2</f>
        <v>2600</v>
      </c>
      <c r="C50" s="4">
        <f>SQRT((2*B50*_xlfn.XLOOKUP(A50,SKU_Master!A:A,SKU_Master!E:E,,0))/_xlfn.XLOOKUP(A50,SKU_Master!A:A,SKU_Master!F:F,,0))</f>
        <v>58.543411508729271</v>
      </c>
      <c r="D50" s="3">
        <f>_xlfn.XLOOKUP(InventoryModel[[#This Row],[SKUID]], DemandSummary!$A:$A, DemandSummary!$B:$B)</f>
        <v>50</v>
      </c>
      <c r="E50" s="3">
        <f>_xlfn.XLOOKUP(InventoryModel[[#This Row],[SKUID]],DemandSummary!A:A,DemandSummary!C:C,,0)</f>
        <v>6.4436014774348047</v>
      </c>
      <c r="F50" s="3">
        <f>_xlfn.XLOOKUP(A50, SKU_Master[SKUID], SKU_Master[LeadTimeDaysStdDev], "Not Found", 0) / 7</f>
        <v>0.35714285714285715</v>
      </c>
      <c r="G50" s="3">
        <f>_xlfn.XLOOKUP(A50, SKU_Master[SKUID], SKU_Master[LeadTimeDaysAvg], "Not Found", 0) / 7</f>
        <v>2</v>
      </c>
      <c r="H50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33.079004408431956</v>
      </c>
      <c r="I50" s="4">
        <f xml:space="preserve"> (InventoryModel[[#This Row],[AvgWeeklyDemand]] * InventoryModel[[#This Row],[LeadTimeWeeks]]) + InventoryModel[[#This Row],[SafetyStock]]</f>
        <v>133.07900440843196</v>
      </c>
      <c r="J50">
        <f>_xlfn.XLOOKUP(A50,SKU_Master[SKUID],SKU_Master[CurrentStockLevel],"Not Found", 0)</f>
        <v>66</v>
      </c>
      <c r="K50" t="str">
        <f xml:space="preserve"> IF(InventoryModel[[#This Row],[CurrentStockLevel]] &lt; InventoryModel[[#This Row],[ReorderPoint]], "At Risk", "OK")</f>
        <v>At Risk</v>
      </c>
      <c r="L50" s="7">
        <f>(InventoryModel[[#This Row],[ReorderPoint]] - InventoryModel[[#This Row],[CurrentStockLevel]]) / InventoryModel[[#This Row],[ReorderPoint]]</f>
        <v>0.50405399940143969</v>
      </c>
      <c r="M50" s="3" t="str" cm="1">
        <f t="array" ref="M50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50" s="3">
        <f>AVERAGEIFS(DemandHistory[AbsPctError],DemandHistory[SKUID],A50)</f>
        <v>8.1927597856900181E-2</v>
      </c>
      <c r="O50" s="3">
        <f>InventoryModel[[#This Row],[StdDevWeeklyDemand]] / InventoryModel[[#This Row],[AvgWeeklyDemand]]</f>
        <v>0.12887202954869609</v>
      </c>
      <c r="P50" s="3" t="str">
        <f>_xlfn.XLOOKUP(A50, SKU_Master[SKUID], SKU_Master[Category], "Not Found", 0)</f>
        <v>Accessories</v>
      </c>
    </row>
    <row r="51" spans="1:16" x14ac:dyDescent="0.25">
      <c r="A51" s="2" t="s">
        <v>115</v>
      </c>
      <c r="B51">
        <f>SUMIF(DemandHistory!A:A, A51, DemandHistory!C:C) * 2</f>
        <v>3682</v>
      </c>
      <c r="C51" s="4">
        <f>SQRT((2*B51*_xlfn.XLOOKUP(A51,SKU_Master!A:A,SKU_Master!E:E,,0))/_xlfn.XLOOKUP(A51,SKU_Master!A:A,SKU_Master!F:F,,0))</f>
        <v>74.363431954343426</v>
      </c>
      <c r="D51" s="3">
        <f>_xlfn.XLOOKUP(InventoryModel[[#This Row],[SKUID]], DemandSummary!$A:$A, DemandSummary!$B:$B)</f>
        <v>70.807692307692307</v>
      </c>
      <c r="E51" s="3">
        <f>_xlfn.XLOOKUP(InventoryModel[[#This Row],[SKUID]],DemandSummary!A:A,DemandSummary!C:C,,0)</f>
        <v>9.3167343238679248</v>
      </c>
      <c r="F51" s="3">
        <f>_xlfn.XLOOKUP(A51, SKU_Master[SKUID], SKU_Master[LeadTimeDaysStdDev], "Not Found", 0) / 7</f>
        <v>0.18571428571428572</v>
      </c>
      <c r="G51" s="3">
        <f>_xlfn.XLOOKUP(A51, SKU_Master[SKUID], SKU_Master[LeadTimeDaysAvg], "Not Found", 0) / 7</f>
        <v>1.1428571428571428</v>
      </c>
      <c r="H51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27.218712185979474</v>
      </c>
      <c r="I51" s="4">
        <f xml:space="preserve"> (InventoryModel[[#This Row],[AvgWeeklyDemand]] * InventoryModel[[#This Row],[LeadTimeWeeks]]) + InventoryModel[[#This Row],[SafetyStock]]</f>
        <v>108.14178910905639</v>
      </c>
      <c r="J51">
        <f>_xlfn.XLOOKUP(A51,SKU_Master[SKUID],SKU_Master[CurrentStockLevel],"Not Found", 0)</f>
        <v>119</v>
      </c>
      <c r="K51" t="str">
        <f xml:space="preserve"> IF(InventoryModel[[#This Row],[CurrentStockLevel]] &lt; InventoryModel[[#This Row],[ReorderPoint]], "At Risk", "OK")</f>
        <v>OK</v>
      </c>
      <c r="L51" s="7">
        <f>(InventoryModel[[#This Row],[ReorderPoint]] - InventoryModel[[#This Row],[CurrentStockLevel]]) / InventoryModel[[#This Row],[ReorderPoint]]</f>
        <v>-0.10040716896216288</v>
      </c>
      <c r="M51" s="3" t="str" cm="1">
        <f t="array" ref="M51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51" s="3">
        <f>AVERAGEIFS(DemandHistory[AbsPctError],DemandHistory[SKUID],A51)</f>
        <v>8.2440731160527372E-2</v>
      </c>
      <c r="O51" s="3">
        <f>InventoryModel[[#This Row],[StdDevWeeklyDemand]] / InventoryModel[[#This Row],[AvgWeeklyDemand]]</f>
        <v>0.13157799696934602</v>
      </c>
      <c r="P51" s="3" t="str">
        <f>_xlfn.XLOOKUP(A51, SKU_Master[SKUID], SKU_Master[Category], "Not Found", 0)</f>
        <v>Trimmers</v>
      </c>
    </row>
    <row r="52" spans="1:16" x14ac:dyDescent="0.25">
      <c r="A52" s="2" t="s">
        <v>117</v>
      </c>
      <c r="B52">
        <f>SUMIF(DemandHistory!A:A, A52, DemandHistory!C:C) * 2</f>
        <v>3090</v>
      </c>
      <c r="C52" s="4">
        <f>SQRT((2*B52*_xlfn.XLOOKUP(A52,SKU_Master!A:A,SKU_Master!E:E,,0))/_xlfn.XLOOKUP(A52,SKU_Master!A:A,SKU_Master!F:F,,0))</f>
        <v>49.586765866420969</v>
      </c>
      <c r="D52" s="3">
        <f>_xlfn.XLOOKUP(InventoryModel[[#This Row],[SKUID]], DemandSummary!$A:$A, DemandSummary!$B:$B)</f>
        <v>59.42307692307692</v>
      </c>
      <c r="E52" s="3">
        <f>_xlfn.XLOOKUP(InventoryModel[[#This Row],[SKUID]],DemandSummary!A:A,DemandSummary!C:C,,0)</f>
        <v>9.2527750515100191</v>
      </c>
      <c r="F52" s="3">
        <f>_xlfn.XLOOKUP(A52, SKU_Master[SKUID], SKU_Master[LeadTimeDaysStdDev], "Not Found", 0) / 7</f>
        <v>0.5</v>
      </c>
      <c r="G52" s="3">
        <f>_xlfn.XLOOKUP(A52, SKU_Master[SKUID], SKU_Master[LeadTimeDaysAvg], "Not Found", 0) / 7</f>
        <v>2.5714285714285716</v>
      </c>
      <c r="H52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54.797029325526196</v>
      </c>
      <c r="I52" s="4">
        <f xml:space="preserve"> (InventoryModel[[#This Row],[AvgWeeklyDemand]] * InventoryModel[[#This Row],[LeadTimeWeeks]]) + InventoryModel[[#This Row],[SafetyStock]]</f>
        <v>207.59922712772402</v>
      </c>
      <c r="J52">
        <f>_xlfn.XLOOKUP(A52,SKU_Master[SKUID],SKU_Master[CurrentStockLevel],"Not Found", 0)</f>
        <v>223</v>
      </c>
      <c r="K52" t="str">
        <f xml:space="preserve"> IF(InventoryModel[[#This Row],[CurrentStockLevel]] &lt; InventoryModel[[#This Row],[ReorderPoint]], "At Risk", "OK")</f>
        <v>OK</v>
      </c>
      <c r="L52" s="7">
        <f>(InventoryModel[[#This Row],[ReorderPoint]] - InventoryModel[[#This Row],[CurrentStockLevel]]) / InventoryModel[[#This Row],[ReorderPoint]]</f>
        <v>-7.4185116608361731E-2</v>
      </c>
      <c r="M52" s="3" t="str" cm="1">
        <f t="array" ref="M52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52" s="3">
        <f>AVERAGEIFS(DemandHistory[AbsPctError],DemandHistory[SKUID],A52)</f>
        <v>9.8261455435827483E-2</v>
      </c>
      <c r="O52" s="3">
        <f>InventoryModel[[#This Row],[StdDevWeeklyDemand]] / InventoryModel[[#This Row],[AvgWeeklyDemand]]</f>
        <v>0.15571013031667347</v>
      </c>
      <c r="P52" s="3" t="str">
        <f>_xlfn.XLOOKUP(A52, SKU_Master[SKUID], SKU_Master[Category], "Not Found", 0)</f>
        <v>Chainsaws</v>
      </c>
    </row>
    <row r="53" spans="1:16" x14ac:dyDescent="0.25">
      <c r="A53" s="2" t="s">
        <v>119</v>
      </c>
      <c r="B53">
        <f>SUMIF(DemandHistory!A:A, A53, DemandHistory!C:C) * 2</f>
        <v>4034</v>
      </c>
      <c r="C53" s="4">
        <f>SQRT((2*B53*_xlfn.XLOOKUP(A53,SKU_Master!A:A,SKU_Master!E:E,,0))/_xlfn.XLOOKUP(A53,SKU_Master!A:A,SKU_Master!F:F,,0))</f>
        <v>119.24593355714137</v>
      </c>
      <c r="D53" s="3">
        <f>_xlfn.XLOOKUP(InventoryModel[[#This Row],[SKUID]], DemandSummary!$A:$A, DemandSummary!$B:$B)</f>
        <v>77.57692307692308</v>
      </c>
      <c r="E53" s="3">
        <f>_xlfn.XLOOKUP(InventoryModel[[#This Row],[SKUID]],DemandSummary!A:A,DemandSummary!C:C,,0)</f>
        <v>14.519429952785552</v>
      </c>
      <c r="F53" s="3">
        <f>_xlfn.XLOOKUP(A53, SKU_Master[SKUID], SKU_Master[LeadTimeDaysStdDev], "Not Found", 0) / 7</f>
        <v>0.44285714285714289</v>
      </c>
      <c r="G53" s="3">
        <f>_xlfn.XLOOKUP(A53, SKU_Master[SKUID], SKU_Master[LeadTimeDaysAvg], "Not Found", 0) / 7</f>
        <v>2.8571428571428572</v>
      </c>
      <c r="H53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69.664893008148425</v>
      </c>
      <c r="I53" s="4">
        <f xml:space="preserve"> (InventoryModel[[#This Row],[AvgWeeklyDemand]] * InventoryModel[[#This Row],[LeadTimeWeeks]]) + InventoryModel[[#This Row],[SafetyStock]]</f>
        <v>291.31324465650005</v>
      </c>
      <c r="J53">
        <f>_xlfn.XLOOKUP(A53,SKU_Master[SKUID],SKU_Master[CurrentStockLevel],"Not Found", 0)</f>
        <v>72</v>
      </c>
      <c r="K53" t="str">
        <f xml:space="preserve"> IF(InventoryModel[[#This Row],[CurrentStockLevel]] &lt; InventoryModel[[#This Row],[ReorderPoint]], "At Risk", "OK")</f>
        <v>At Risk</v>
      </c>
      <c r="L53" s="7">
        <f>(InventoryModel[[#This Row],[ReorderPoint]] - InventoryModel[[#This Row],[CurrentStockLevel]]) / InventoryModel[[#This Row],[ReorderPoint]]</f>
        <v>0.75284336939469298</v>
      </c>
      <c r="M53" s="3" t="str" cm="1">
        <f t="array" ref="M53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53" s="3">
        <f>AVERAGEIFS(DemandHistory[AbsPctError],DemandHistory[SKUID],A53)</f>
        <v>0.17904658777503152</v>
      </c>
      <c r="O53" s="3">
        <f>InventoryModel[[#This Row],[StdDevWeeklyDemand]] / InventoryModel[[#This Row],[AvgWeeklyDemand]]</f>
        <v>0.18716171481032443</v>
      </c>
      <c r="P53" s="3" t="str">
        <f>_xlfn.XLOOKUP(A53, SKU_Master[SKUID], SKU_Master[Category], "Not Found", 0)</f>
        <v>Chains &amp; Bars</v>
      </c>
    </row>
    <row r="54" spans="1:16" x14ac:dyDescent="0.25">
      <c r="A54" s="2" t="s">
        <v>121</v>
      </c>
      <c r="B54">
        <f>SUMIF(DemandHistory!A:A, A54, DemandHistory!C:C) * 2</f>
        <v>5884</v>
      </c>
      <c r="C54" s="4">
        <f>SQRT((2*B54*_xlfn.XLOOKUP(A54,SKU_Master!A:A,SKU_Master!E:E,,0))/_xlfn.XLOOKUP(A54,SKU_Master!A:A,SKU_Master!F:F,,0))</f>
        <v>389.24132503732068</v>
      </c>
      <c r="D54" s="3">
        <f>_xlfn.XLOOKUP(InventoryModel[[#This Row],[SKUID]], DemandSummary!$A:$A, DemandSummary!$B:$B)</f>
        <v>113.15384615384616</v>
      </c>
      <c r="E54" s="3">
        <f>_xlfn.XLOOKUP(InventoryModel[[#This Row],[SKUID]],DemandSummary!A:A,DemandSummary!C:C,,0)</f>
        <v>10.509775669127528</v>
      </c>
      <c r="F54" s="3">
        <f>_xlfn.XLOOKUP(A54, SKU_Master[SKUID], SKU_Master[LeadTimeDaysStdDev], "Not Found", 0) / 7</f>
        <v>0.25714285714285717</v>
      </c>
      <c r="G54" s="3">
        <f>_xlfn.XLOOKUP(A54, SKU_Master[SKUID], SKU_Master[LeadTimeDaysAvg], "Not Found", 0) / 7</f>
        <v>1</v>
      </c>
      <c r="H54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51.045398208018639</v>
      </c>
      <c r="I54" s="4">
        <f xml:space="preserve"> (InventoryModel[[#This Row],[AvgWeeklyDemand]] * InventoryModel[[#This Row],[LeadTimeWeeks]]) + InventoryModel[[#This Row],[SafetyStock]]</f>
        <v>164.1992443618648</v>
      </c>
      <c r="J54">
        <f>_xlfn.XLOOKUP(A54,SKU_Master[SKUID],SKU_Master[CurrentStockLevel],"Not Found", 0)</f>
        <v>54</v>
      </c>
      <c r="K54" t="str">
        <f xml:space="preserve"> IF(InventoryModel[[#This Row],[CurrentStockLevel]] &lt; InventoryModel[[#This Row],[ReorderPoint]], "At Risk", "OK")</f>
        <v>At Risk</v>
      </c>
      <c r="L54" s="7">
        <f>(InventoryModel[[#This Row],[ReorderPoint]] - InventoryModel[[#This Row],[CurrentStockLevel]]) / InventoryModel[[#This Row],[ReorderPoint]]</f>
        <v>0.67113125148740649</v>
      </c>
      <c r="M54" s="3" t="str" cm="1">
        <f t="array" ref="M54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54" s="3">
        <f>AVERAGEIFS(DemandHistory[AbsPctError],DemandHistory[SKUID],A54)</f>
        <v>5.7903674005246375E-2</v>
      </c>
      <c r="O54" s="3">
        <f>InventoryModel[[#This Row],[StdDevWeeklyDemand]] / InventoryModel[[#This Row],[AvgWeeklyDemand]]</f>
        <v>9.2880410400175292E-2</v>
      </c>
      <c r="P54" s="3" t="str">
        <f>_xlfn.XLOOKUP(A54, SKU_Master[SKUID], SKU_Master[Category], "Not Found", 0)</f>
        <v>Chains &amp; Bars</v>
      </c>
    </row>
    <row r="55" spans="1:16" x14ac:dyDescent="0.25">
      <c r="A55" s="2" t="s">
        <v>123</v>
      </c>
      <c r="B55">
        <f>SUMIF(DemandHistory!A:A, A55, DemandHistory!C:C) * 2</f>
        <v>4448</v>
      </c>
      <c r="C55" s="4">
        <f>SQRT((2*B55*_xlfn.XLOOKUP(A55,SKU_Master!A:A,SKU_Master!E:E,,0))/_xlfn.XLOOKUP(A55,SKU_Master!A:A,SKU_Master!F:F,,0))</f>
        <v>53.760705949506061</v>
      </c>
      <c r="D55" s="3">
        <f>_xlfn.XLOOKUP(InventoryModel[[#This Row],[SKUID]], DemandSummary!$A:$A, DemandSummary!$B:$B)</f>
        <v>85.538461538461533</v>
      </c>
      <c r="E55" s="3">
        <f>_xlfn.XLOOKUP(InventoryModel[[#This Row],[SKUID]],DemandSummary!A:A,DemandSummary!C:C,,0)</f>
        <v>11.093171843006006</v>
      </c>
      <c r="F55" s="3">
        <f>_xlfn.XLOOKUP(A55, SKU_Master[SKUID], SKU_Master[LeadTimeDaysStdDev], "Not Found", 0) / 7</f>
        <v>0.25714285714285717</v>
      </c>
      <c r="G55" s="3">
        <f>_xlfn.XLOOKUP(A55, SKU_Master[SKUID], SKU_Master[LeadTimeDaysAvg], "Not Found", 0) / 7</f>
        <v>1</v>
      </c>
      <c r="H55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40.647142146653486</v>
      </c>
      <c r="I55" s="4">
        <f xml:space="preserve"> (InventoryModel[[#This Row],[AvgWeeklyDemand]] * InventoryModel[[#This Row],[LeadTimeWeeks]]) + InventoryModel[[#This Row],[SafetyStock]]</f>
        <v>126.18560368511501</v>
      </c>
      <c r="J55">
        <f>_xlfn.XLOOKUP(A55,SKU_Master[SKUID],SKU_Master[CurrentStockLevel],"Not Found", 0)</f>
        <v>81</v>
      </c>
      <c r="K55" t="str">
        <f xml:space="preserve"> IF(InventoryModel[[#This Row],[CurrentStockLevel]] &lt; InventoryModel[[#This Row],[ReorderPoint]], "At Risk", "OK")</f>
        <v>At Risk</v>
      </c>
      <c r="L55" s="7">
        <f>(InventoryModel[[#This Row],[ReorderPoint]] - InventoryModel[[#This Row],[CurrentStockLevel]]) / InventoryModel[[#This Row],[ReorderPoint]]</f>
        <v>0.35808842186048168</v>
      </c>
      <c r="M55" s="3" t="str" cm="1">
        <f t="array" ref="M55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55" s="3">
        <f>AVERAGEIFS(DemandHistory[AbsPctError],DemandHistory[SKUID],A55)</f>
        <v>0.10850721594747936</v>
      </c>
      <c r="O55" s="3">
        <f>InventoryModel[[#This Row],[StdDevWeeklyDemand]] / InventoryModel[[#This Row],[AvgWeeklyDemand]]</f>
        <v>0.1296863614739911</v>
      </c>
      <c r="P55" s="3" t="str">
        <f>_xlfn.XLOOKUP(A55, SKU_Master[SKUID], SKU_Master[Category], "Not Found", 0)</f>
        <v>Trimmers</v>
      </c>
    </row>
    <row r="56" spans="1:16" x14ac:dyDescent="0.25">
      <c r="A56" s="2" t="s">
        <v>125</v>
      </c>
      <c r="B56">
        <f>SUMIF(DemandHistory!A:A, A56, DemandHistory!C:C) * 2</f>
        <v>4754</v>
      </c>
      <c r="C56" s="4">
        <f>SQRT((2*B56*_xlfn.XLOOKUP(A56,SKU_Master!A:A,SKU_Master!E:E,,0))/_xlfn.XLOOKUP(A56,SKU_Master!A:A,SKU_Master!F:F,,0))</f>
        <v>642.6721714840312</v>
      </c>
      <c r="D56" s="3">
        <f>_xlfn.XLOOKUP(InventoryModel[[#This Row],[SKUID]], DemandSummary!$A:$A, DemandSummary!$B:$B)</f>
        <v>91.42307692307692</v>
      </c>
      <c r="E56" s="3">
        <f>_xlfn.XLOOKUP(InventoryModel[[#This Row],[SKUID]],DemandSummary!A:A,DemandSummary!C:C,,0)</f>
        <v>32.676808995889523</v>
      </c>
      <c r="F56" s="3">
        <f>_xlfn.XLOOKUP(A56, SKU_Master[SKUID], SKU_Master[LeadTimeDaysStdDev], "Not Found", 0) / 7</f>
        <v>1.3857142857142857</v>
      </c>
      <c r="G56" s="3">
        <f>_xlfn.XLOOKUP(A56, SKU_Master[SKUID], SKU_Master[LeadTimeDaysAvg], "Not Found", 0) / 7</f>
        <v>4.1428571428571432</v>
      </c>
      <c r="H56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236.08867420033681</v>
      </c>
      <c r="I56" s="4">
        <f xml:space="preserve"> (InventoryModel[[#This Row],[AvgWeeklyDemand]] * InventoryModel[[#This Row],[LeadTimeWeeks]]) + InventoryModel[[#This Row],[SafetyStock]]</f>
        <v>614.84142145308408</v>
      </c>
      <c r="J56">
        <f>_xlfn.XLOOKUP(A56,SKU_Master[SKUID],SKU_Master[CurrentStockLevel],"Not Found", 0)</f>
        <v>7</v>
      </c>
      <c r="K56" t="str">
        <f xml:space="preserve"> IF(InventoryModel[[#This Row],[CurrentStockLevel]] &lt; InventoryModel[[#This Row],[ReorderPoint]], "At Risk", "OK")</f>
        <v>At Risk</v>
      </c>
      <c r="L56" s="7">
        <f>(InventoryModel[[#This Row],[ReorderPoint]] - InventoryModel[[#This Row],[CurrentStockLevel]]) / InventoryModel[[#This Row],[ReorderPoint]]</f>
        <v>0.98861495052910298</v>
      </c>
      <c r="M56" s="3" t="str" cm="1">
        <f t="array" ref="M56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56" s="3">
        <f>AVERAGEIFS(DemandHistory[AbsPctError],DemandHistory[SKUID],A56)</f>
        <v>0.36637342871707229</v>
      </c>
      <c r="O56" s="3">
        <f>InventoryModel[[#This Row],[StdDevWeeklyDemand]] / InventoryModel[[#This Row],[AvgWeeklyDemand]]</f>
        <v>0.35742407820493377</v>
      </c>
      <c r="P56" s="3" t="str">
        <f>_xlfn.XLOOKUP(A56, SKU_Master[SKUID], SKU_Master[Category], "Not Found", 0)</f>
        <v>Accessories</v>
      </c>
    </row>
    <row r="57" spans="1:16" x14ac:dyDescent="0.25">
      <c r="A57" s="2" t="s">
        <v>127</v>
      </c>
      <c r="B57">
        <f>SUMIF(DemandHistory!A:A, A57, DemandHistory!C:C) * 2</f>
        <v>3818</v>
      </c>
      <c r="C57" s="4">
        <f>SQRT((2*B57*_xlfn.XLOOKUP(A57,SKU_Master!A:A,SKU_Master!E:E,,0))/_xlfn.XLOOKUP(A57,SKU_Master!A:A,SKU_Master!F:F,,0))</f>
        <v>105.5155687225319</v>
      </c>
      <c r="D57" s="3">
        <f>_xlfn.XLOOKUP(InventoryModel[[#This Row],[SKUID]], DemandSummary!$A:$A, DemandSummary!$B:$B)</f>
        <v>73.42307692307692</v>
      </c>
      <c r="E57" s="3">
        <f>_xlfn.XLOOKUP(InventoryModel[[#This Row],[SKUID]],DemandSummary!A:A,DemandSummary!C:C,,0)</f>
        <v>10.068457982921032</v>
      </c>
      <c r="F57" s="3">
        <f>_xlfn.XLOOKUP(A57, SKU_Master[SKUID], SKU_Master[LeadTimeDaysStdDev], "Not Found", 0) / 7</f>
        <v>0.22857142857142859</v>
      </c>
      <c r="G57" s="3">
        <f>_xlfn.XLOOKUP(A57, SKU_Master[SKUID], SKU_Master[LeadTimeDaysAvg], "Not Found", 0) / 7</f>
        <v>1.4285714285714286</v>
      </c>
      <c r="H57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34.074370486555814</v>
      </c>
      <c r="I57" s="4">
        <f xml:space="preserve"> (InventoryModel[[#This Row],[AvgWeeklyDemand]] * InventoryModel[[#This Row],[LeadTimeWeeks]]) + InventoryModel[[#This Row],[SafetyStock]]</f>
        <v>138.9644803766657</v>
      </c>
      <c r="J57">
        <f>_xlfn.XLOOKUP(A57,SKU_Master[SKUID],SKU_Master[CurrentStockLevel],"Not Found", 0)</f>
        <v>129</v>
      </c>
      <c r="K57" t="str">
        <f xml:space="preserve"> IF(InventoryModel[[#This Row],[CurrentStockLevel]] &lt; InventoryModel[[#This Row],[ReorderPoint]], "At Risk", "OK")</f>
        <v>At Risk</v>
      </c>
      <c r="L57" s="7">
        <f>(InventoryModel[[#This Row],[ReorderPoint]] - InventoryModel[[#This Row],[CurrentStockLevel]]) / InventoryModel[[#This Row],[ReorderPoint]]</f>
        <v>7.1705232514501574E-2</v>
      </c>
      <c r="M57" s="3" t="str" cm="1">
        <f t="array" ref="M57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57" s="3">
        <f>AVERAGEIFS(DemandHistory[AbsPctError],DemandHistory[SKUID],A57)</f>
        <v>0.11338946693014552</v>
      </c>
      <c r="O57" s="3">
        <f>InventoryModel[[#This Row],[StdDevWeeklyDemand]] / InventoryModel[[#This Row],[AvgWeeklyDemand]]</f>
        <v>0.13712933868829064</v>
      </c>
      <c r="P57" s="3" t="str">
        <f>_xlfn.XLOOKUP(A57, SKU_Master[SKUID], SKU_Master[Category], "Not Found", 0)</f>
        <v>Blowers</v>
      </c>
    </row>
    <row r="58" spans="1:16" x14ac:dyDescent="0.25">
      <c r="A58" s="2" t="s">
        <v>129</v>
      </c>
      <c r="B58">
        <f>SUMIF(DemandHistory!A:A, A58, DemandHistory!C:C) * 2</f>
        <v>1138</v>
      </c>
      <c r="C58" s="4">
        <f>SQRT((2*B58*_xlfn.XLOOKUP(A58,SKU_Master!A:A,SKU_Master!E:E,,0))/_xlfn.XLOOKUP(A58,SKU_Master!A:A,SKU_Master!F:F,,0))</f>
        <v>43.580086852110028</v>
      </c>
      <c r="D58" s="3">
        <f>_xlfn.XLOOKUP(InventoryModel[[#This Row],[SKUID]], DemandSummary!$A:$A, DemandSummary!$B:$B)</f>
        <v>21.884615384615383</v>
      </c>
      <c r="E58" s="3">
        <f>_xlfn.XLOOKUP(InventoryModel[[#This Row],[SKUID]],DemandSummary!A:A,DemandSummary!C:C,,0)</f>
        <v>4.8852997703471406</v>
      </c>
      <c r="F58" s="3">
        <f>_xlfn.XLOOKUP(A58, SKU_Master[SKUID], SKU_Master[LeadTimeDaysStdDev], "Not Found", 0) / 7</f>
        <v>0.25714285714285717</v>
      </c>
      <c r="G58" s="3">
        <f>_xlfn.XLOOKUP(A58, SKU_Master[SKUID], SKU_Master[LeadTimeDaysAvg], "Not Found", 0) / 7</f>
        <v>1.4285714285714286</v>
      </c>
      <c r="H58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13.380569430913456</v>
      </c>
      <c r="I58" s="4">
        <f xml:space="preserve"> (InventoryModel[[#This Row],[AvgWeeklyDemand]] * InventoryModel[[#This Row],[LeadTimeWeeks]]) + InventoryModel[[#This Row],[SafetyStock]]</f>
        <v>44.644305694649717</v>
      </c>
      <c r="J58">
        <f>_xlfn.XLOOKUP(A58,SKU_Master[SKUID],SKU_Master[CurrentStockLevel],"Not Found", 0)</f>
        <v>255</v>
      </c>
      <c r="K58" t="str">
        <f xml:space="preserve"> IF(InventoryModel[[#This Row],[CurrentStockLevel]] &lt; InventoryModel[[#This Row],[ReorderPoint]], "At Risk", "OK")</f>
        <v>OK</v>
      </c>
      <c r="L58" s="7">
        <f>(InventoryModel[[#This Row],[ReorderPoint]] - InventoryModel[[#This Row],[CurrentStockLevel]]) / InventoryModel[[#This Row],[ReorderPoint]]</f>
        <v>-4.7118146655500528</v>
      </c>
      <c r="M58" s="3" t="str" cm="1">
        <f t="array" ref="M58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58" s="3">
        <f>AVERAGEIFS(DemandHistory[AbsPctError],DemandHistory[SKUID],A58)</f>
        <v>0.18517616491322494</v>
      </c>
      <c r="O58" s="3">
        <f>InventoryModel[[#This Row],[StdDevWeeklyDemand]] / InventoryModel[[#This Row],[AvgWeeklyDemand]]</f>
        <v>0.22322986648334914</v>
      </c>
      <c r="P58" s="3" t="str">
        <f>_xlfn.XLOOKUP(A58, SKU_Master[SKUID], SKU_Master[Category], "Not Found", 0)</f>
        <v>Chains &amp; Bars</v>
      </c>
    </row>
    <row r="59" spans="1:16" x14ac:dyDescent="0.25">
      <c r="A59" s="2" t="s">
        <v>131</v>
      </c>
      <c r="B59">
        <f>SUMIF(DemandHistory!A:A, A59, DemandHistory!C:C) * 2</f>
        <v>5698</v>
      </c>
      <c r="C59" s="4">
        <f>SQRT((2*B59*_xlfn.XLOOKUP(A59,SKU_Master!A:A,SKU_Master!E:E,,0))/_xlfn.XLOOKUP(A59,SKU_Master!A:A,SKU_Master!F:F,,0))</f>
        <v>69.56393818195447</v>
      </c>
      <c r="D59" s="3">
        <f>_xlfn.XLOOKUP(InventoryModel[[#This Row],[SKUID]], DemandSummary!$A:$A, DemandSummary!$B:$B)</f>
        <v>109.57692307692308</v>
      </c>
      <c r="E59" s="3">
        <f>_xlfn.XLOOKUP(InventoryModel[[#This Row],[SKUID]],DemandSummary!A:A,DemandSummary!C:C,,0)</f>
        <v>14.513919048756097</v>
      </c>
      <c r="F59" s="3">
        <f>_xlfn.XLOOKUP(A59, SKU_Master[SKUID], SKU_Master[LeadTimeDaysStdDev], "Not Found", 0) / 7</f>
        <v>0.35714285714285715</v>
      </c>
      <c r="G59" s="3">
        <f>_xlfn.XLOOKUP(A59, SKU_Master[SKUID], SKU_Master[LeadTimeDaysAvg], "Not Found", 0) / 7</f>
        <v>1.5714285714285714</v>
      </c>
      <c r="H59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71.209412153170604</v>
      </c>
      <c r="I59" s="4">
        <f xml:space="preserve"> (InventoryModel[[#This Row],[AvgWeeklyDemand]] * InventoryModel[[#This Row],[LeadTimeWeeks]]) + InventoryModel[[#This Row],[SafetyStock]]</f>
        <v>243.40171984547831</v>
      </c>
      <c r="J59">
        <f>_xlfn.XLOOKUP(A59,SKU_Master[SKUID],SKU_Master[CurrentStockLevel],"Not Found", 0)</f>
        <v>112</v>
      </c>
      <c r="K59" t="str">
        <f xml:space="preserve"> IF(InventoryModel[[#This Row],[CurrentStockLevel]] &lt; InventoryModel[[#This Row],[ReorderPoint]], "At Risk", "OK")</f>
        <v>At Risk</v>
      </c>
      <c r="L59" s="7">
        <f>(InventoryModel[[#This Row],[ReorderPoint]] - InventoryModel[[#This Row],[CurrentStockLevel]]) / InventoryModel[[#This Row],[ReorderPoint]]</f>
        <v>0.53985534666270096</v>
      </c>
      <c r="M59" s="3" t="str" cm="1">
        <f t="array" ref="M59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59" s="3">
        <f>AVERAGEIFS(DemandHistory[AbsPctError],DemandHistory[SKUID],A59)</f>
        <v>7.6045825400777048E-2</v>
      </c>
      <c r="O59" s="3">
        <f>InventoryModel[[#This Row],[StdDevWeeklyDemand]] / InventoryModel[[#This Row],[AvgWeeklyDemand]]</f>
        <v>0.13245415769310584</v>
      </c>
      <c r="P59" s="3" t="str">
        <f>_xlfn.XLOOKUP(A59, SKU_Master[SKUID], SKU_Master[Category], "Not Found", 0)</f>
        <v>Chainsaws</v>
      </c>
    </row>
    <row r="60" spans="1:16" x14ac:dyDescent="0.25">
      <c r="A60" s="2" t="s">
        <v>133</v>
      </c>
      <c r="B60">
        <f>SUMIF(DemandHistory!A:A, A60, DemandHistory!C:C) * 2</f>
        <v>2476</v>
      </c>
      <c r="C60" s="4">
        <f>SQRT((2*B60*_xlfn.XLOOKUP(A60,SKU_Master!A:A,SKU_Master!E:E,,0))/_xlfn.XLOOKUP(A60,SKU_Master!A:A,SKU_Master!F:F,,0))</f>
        <v>209.94033372114021</v>
      </c>
      <c r="D60" s="3">
        <f>_xlfn.XLOOKUP(InventoryModel[[#This Row],[SKUID]], DemandSummary!$A:$A, DemandSummary!$B:$B)</f>
        <v>47.615384615384613</v>
      </c>
      <c r="E60" s="3">
        <f>_xlfn.XLOOKUP(InventoryModel[[#This Row],[SKUID]],DemandSummary!A:A,DemandSummary!C:C,,0)</f>
        <v>6.7235521747178968</v>
      </c>
      <c r="F60" s="3">
        <f>_xlfn.XLOOKUP(A60, SKU_Master[SKUID], SKU_Master[LeadTimeDaysStdDev], "Not Found", 0) / 7</f>
        <v>0.37142857142857144</v>
      </c>
      <c r="G60" s="3">
        <f>_xlfn.XLOOKUP(A60, SKU_Master[SKUID], SKU_Master[LeadTimeDaysAvg], "Not Found", 0) / 7</f>
        <v>2.8571428571428572</v>
      </c>
      <c r="H60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34.687102360570329</v>
      </c>
      <c r="I60" s="4">
        <f xml:space="preserve"> (InventoryModel[[#This Row],[AvgWeeklyDemand]] * InventoryModel[[#This Row],[LeadTimeWeeks]]) + InventoryModel[[#This Row],[SafetyStock]]</f>
        <v>170.73105840452635</v>
      </c>
      <c r="J60">
        <f>_xlfn.XLOOKUP(A60,SKU_Master[SKUID],SKU_Master[CurrentStockLevel],"Not Found", 0)</f>
        <v>277</v>
      </c>
      <c r="K60" t="str">
        <f xml:space="preserve"> IF(InventoryModel[[#This Row],[CurrentStockLevel]] &lt; InventoryModel[[#This Row],[ReorderPoint]], "At Risk", "OK")</f>
        <v>OK</v>
      </c>
      <c r="L60" s="7">
        <f>(InventoryModel[[#This Row],[ReorderPoint]] - InventoryModel[[#This Row],[CurrentStockLevel]]) / InventoryModel[[#This Row],[ReorderPoint]]</f>
        <v>-0.62243473793551019</v>
      </c>
      <c r="M60" s="3" t="str" cm="1">
        <f t="array" ref="M60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WatchOverstock</v>
      </c>
      <c r="N60" s="3">
        <f>AVERAGEIFS(DemandHistory[AbsPctError],DemandHistory[SKUID],A60)</f>
        <v>0.11008552158566566</v>
      </c>
      <c r="O60" s="3">
        <f>InventoryModel[[#This Row],[StdDevWeeklyDemand]] / InventoryModel[[#This Row],[AvgWeeklyDemand]]</f>
        <v>0.14120545762735487</v>
      </c>
      <c r="P60" s="3" t="str">
        <f>_xlfn.XLOOKUP(A60, SKU_Master[SKUID], SKU_Master[Category], "Not Found", 0)</f>
        <v>Accessories</v>
      </c>
    </row>
    <row r="61" spans="1:16" x14ac:dyDescent="0.25">
      <c r="A61" s="2" t="s">
        <v>135</v>
      </c>
      <c r="B61">
        <f>SUMIF(DemandHistory!A:A, A61, DemandHistory!C:C) * 2</f>
        <v>4066</v>
      </c>
      <c r="C61" s="4">
        <f>SQRT((2*B61*_xlfn.XLOOKUP(A61,SKU_Master!A:A,SKU_Master!E:E,,0))/_xlfn.XLOOKUP(A61,SKU_Master!A:A,SKU_Master!F:F,,0))</f>
        <v>74.892231830853504</v>
      </c>
      <c r="D61" s="3">
        <f>_xlfn.XLOOKUP(InventoryModel[[#This Row],[SKUID]], DemandSummary!$A:$A, DemandSummary!$B:$B)</f>
        <v>78.192307692307693</v>
      </c>
      <c r="E61" s="3">
        <f>_xlfn.XLOOKUP(InventoryModel[[#This Row],[SKUID]],DemandSummary!A:A,DemandSummary!C:C,,0)</f>
        <v>9.4107140250641308</v>
      </c>
      <c r="F61" s="3">
        <f>_xlfn.XLOOKUP(A61, SKU_Master[SKUID], SKU_Master[LeadTimeDaysStdDev], "Not Found", 0) / 7</f>
        <v>0.2857142857142857</v>
      </c>
      <c r="G61" s="3">
        <f>_xlfn.XLOOKUP(A61, SKU_Master[SKUID], SKU_Master[LeadTimeDaysAvg], "Not Found", 0) / 7</f>
        <v>1.7142857142857142</v>
      </c>
      <c r="H61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42.096827396929214</v>
      </c>
      <c r="I61" s="4">
        <f xml:space="preserve"> (InventoryModel[[#This Row],[AvgWeeklyDemand]] * InventoryModel[[#This Row],[LeadTimeWeeks]]) + InventoryModel[[#This Row],[SafetyStock]]</f>
        <v>176.14078344088523</v>
      </c>
      <c r="J61">
        <f>_xlfn.XLOOKUP(A61,SKU_Master[SKUID],SKU_Master[CurrentStockLevel],"Not Found", 0)</f>
        <v>263</v>
      </c>
      <c r="K61" t="str">
        <f xml:space="preserve"> IF(InventoryModel[[#This Row],[CurrentStockLevel]] &lt; InventoryModel[[#This Row],[ReorderPoint]], "At Risk", "OK")</f>
        <v>OK</v>
      </c>
      <c r="L61" s="7">
        <f>(InventoryModel[[#This Row],[ReorderPoint]] - InventoryModel[[#This Row],[CurrentStockLevel]]) / InventoryModel[[#This Row],[ReorderPoint]]</f>
        <v>-0.49312382324145659</v>
      </c>
      <c r="M61" s="3" t="str" cm="1">
        <f t="array" ref="M61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WatchOverstock</v>
      </c>
      <c r="N61" s="3">
        <f>AVERAGEIFS(DemandHistory[AbsPctError],DemandHistory[SKUID],A61)</f>
        <v>7.7698322534559952E-2</v>
      </c>
      <c r="O61" s="3">
        <f>InventoryModel[[#This Row],[StdDevWeeklyDemand]] / InventoryModel[[#This Row],[AvgWeeklyDemand]]</f>
        <v>0.12035345039432729</v>
      </c>
      <c r="P61" s="3" t="str">
        <f>_xlfn.XLOOKUP(A61, SKU_Master[SKUID], SKU_Master[Category], "Not Found", 0)</f>
        <v>Batteries</v>
      </c>
    </row>
    <row r="62" spans="1:16" x14ac:dyDescent="0.25">
      <c r="A62" s="2" t="s">
        <v>137</v>
      </c>
      <c r="B62">
        <f>SUMIF(DemandHistory!A:A, A62, DemandHistory!C:C) * 2</f>
        <v>2872</v>
      </c>
      <c r="C62" s="4">
        <f>SQRT((2*B62*_xlfn.XLOOKUP(A62,SKU_Master!A:A,SKU_Master!E:E,,0))/_xlfn.XLOOKUP(A62,SKU_Master!A:A,SKU_Master!F:F,,0))</f>
        <v>105.57485258492081</v>
      </c>
      <c r="D62" s="3">
        <f>_xlfn.XLOOKUP(InventoryModel[[#This Row],[SKUID]], DemandSummary!$A:$A, DemandSummary!$B:$B)</f>
        <v>55.230769230769234</v>
      </c>
      <c r="E62" s="3">
        <f>_xlfn.XLOOKUP(InventoryModel[[#This Row],[SKUID]],DemandSummary!A:A,DemandSummary!C:C,,0)</f>
        <v>4.7015545710557918</v>
      </c>
      <c r="F62" s="3">
        <f>_xlfn.XLOOKUP(A62, SKU_Master[SKUID], SKU_Master[LeadTimeDaysStdDev], "Not Found", 0) / 7</f>
        <v>0.14285714285714285</v>
      </c>
      <c r="G62" s="3">
        <f>_xlfn.XLOOKUP(A62, SKU_Master[SKUID], SKU_Master[LeadTimeDaysAvg], "Not Found", 0) / 7</f>
        <v>1.2857142857142858</v>
      </c>
      <c r="H62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15.711782573248367</v>
      </c>
      <c r="I62" s="4">
        <f xml:space="preserve"> (InventoryModel[[#This Row],[AvgWeeklyDemand]] * InventoryModel[[#This Row],[LeadTimeWeeks]]) + InventoryModel[[#This Row],[SafetyStock]]</f>
        <v>86.722771584237393</v>
      </c>
      <c r="J62">
        <f>_xlfn.XLOOKUP(A62,SKU_Master[SKUID],SKU_Master[CurrentStockLevel],"Not Found", 0)</f>
        <v>210</v>
      </c>
      <c r="K62" t="str">
        <f xml:space="preserve"> IF(InventoryModel[[#This Row],[CurrentStockLevel]] &lt; InventoryModel[[#This Row],[ReorderPoint]], "At Risk", "OK")</f>
        <v>OK</v>
      </c>
      <c r="L62" s="7">
        <f>(InventoryModel[[#This Row],[ReorderPoint]] - InventoryModel[[#This Row],[CurrentStockLevel]]) / InventoryModel[[#This Row],[ReorderPoint]]</f>
        <v>-1.4215093240651144</v>
      </c>
      <c r="M62" s="3" t="str" cm="1">
        <f t="array" ref="M62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62" s="3">
        <f>AVERAGEIFS(DemandHistory[AbsPctError],DemandHistory[SKUID],A62)</f>
        <v>4.794351019547699E-2</v>
      </c>
      <c r="O62" s="3">
        <f>InventoryModel[[#This Row],[StdDevWeeklyDemand]] / InventoryModel[[#This Row],[AvgWeeklyDemand]]</f>
        <v>8.5125639865912664E-2</v>
      </c>
      <c r="P62" s="3" t="str">
        <f>_xlfn.XLOOKUP(A62, SKU_Master[SKUID], SKU_Master[Category], "Not Found", 0)</f>
        <v>Mowers</v>
      </c>
    </row>
    <row r="63" spans="1:16" x14ac:dyDescent="0.25">
      <c r="A63" s="2" t="s">
        <v>139</v>
      </c>
      <c r="B63">
        <f>SUMIF(DemandHistory!A:A, A63, DemandHistory!C:C) * 2</f>
        <v>2024</v>
      </c>
      <c r="C63" s="4">
        <f>SQRT((2*B63*_xlfn.XLOOKUP(A63,SKU_Master!A:A,SKU_Master!E:E,,0))/_xlfn.XLOOKUP(A63,SKU_Master!A:A,SKU_Master!F:F,,0))</f>
        <v>49.695135089995517</v>
      </c>
      <c r="D63" s="3">
        <f>_xlfn.XLOOKUP(InventoryModel[[#This Row],[SKUID]], DemandSummary!$A:$A, DemandSummary!$B:$B)</f>
        <v>38.92307692307692</v>
      </c>
      <c r="E63" s="3">
        <f>_xlfn.XLOOKUP(InventoryModel[[#This Row],[SKUID]],DemandSummary!A:A,DemandSummary!C:C,,0)</f>
        <v>15.52268810979098</v>
      </c>
      <c r="F63" s="3">
        <f>_xlfn.XLOOKUP(A63, SKU_Master[SKUID], SKU_Master[LeadTimeDaysStdDev], "Not Found", 0) / 7</f>
        <v>1.5999999999999999</v>
      </c>
      <c r="G63" s="3">
        <f>_xlfn.XLOOKUP(A63, SKU_Master[SKUID], SKU_Master[LeadTimeDaysAvg], "Not Found", 0) / 7</f>
        <v>4.7142857142857144</v>
      </c>
      <c r="H63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116.83981256693389</v>
      </c>
      <c r="I63" s="4">
        <f xml:space="preserve"> (InventoryModel[[#This Row],[AvgWeeklyDemand]] * InventoryModel[[#This Row],[LeadTimeWeeks]]) + InventoryModel[[#This Row],[SafetyStock]]</f>
        <v>300.33431806143938</v>
      </c>
      <c r="J63">
        <f>_xlfn.XLOOKUP(A63,SKU_Master[SKUID],SKU_Master[CurrentStockLevel],"Not Found", 0)</f>
        <v>23</v>
      </c>
      <c r="K63" t="str">
        <f xml:space="preserve"> IF(InventoryModel[[#This Row],[CurrentStockLevel]] &lt; InventoryModel[[#This Row],[ReorderPoint]], "At Risk", "OK")</f>
        <v>At Risk</v>
      </c>
      <c r="L63" s="7">
        <f>(InventoryModel[[#This Row],[ReorderPoint]] - InventoryModel[[#This Row],[CurrentStockLevel]]) / InventoryModel[[#This Row],[ReorderPoint]]</f>
        <v>0.92341867506698017</v>
      </c>
      <c r="M63" s="3" t="str" cm="1">
        <f t="array" ref="M63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63" s="3">
        <f>AVERAGEIFS(DemandHistory[AbsPctError],DemandHistory[SKUID],A63)</f>
        <v>0.27259790152446356</v>
      </c>
      <c r="O63" s="3">
        <f>InventoryModel[[#This Row],[StdDevWeeklyDemand]] / InventoryModel[[#This Row],[AvgWeeklyDemand]]</f>
        <v>0.39880423997486714</v>
      </c>
      <c r="P63" s="3" t="str">
        <f>_xlfn.XLOOKUP(A63, SKU_Master[SKUID], SKU_Master[Category], "Not Found", 0)</f>
        <v>Chains &amp; Bars</v>
      </c>
    </row>
    <row r="64" spans="1:16" x14ac:dyDescent="0.25">
      <c r="A64" s="2" t="s">
        <v>141</v>
      </c>
      <c r="B64">
        <f>SUMIF(DemandHistory!A:A, A64, DemandHistory!C:C) * 2</f>
        <v>5656</v>
      </c>
      <c r="C64" s="4">
        <f>SQRT((2*B64*_xlfn.XLOOKUP(A64,SKU_Master!A:A,SKU_Master!E:E,,0))/_xlfn.XLOOKUP(A64,SKU_Master!A:A,SKU_Master!F:F,,0))</f>
        <v>76.557404939726226</v>
      </c>
      <c r="D64" s="3">
        <f>_xlfn.XLOOKUP(InventoryModel[[#This Row],[SKUID]], DemandSummary!$A:$A, DemandSummary!$B:$B)</f>
        <v>108.76923076923077</v>
      </c>
      <c r="E64" s="3">
        <f>_xlfn.XLOOKUP(InventoryModel[[#This Row],[SKUID]],DemandSummary!A:A,DemandSummary!C:C,,0)</f>
        <v>11.357139401478483</v>
      </c>
      <c r="F64" s="3">
        <f>_xlfn.XLOOKUP(A64, SKU_Master[SKUID], SKU_Master[LeadTimeDaysStdDev], "Not Found", 0) / 7</f>
        <v>0.32857142857142857</v>
      </c>
      <c r="G64" s="3">
        <f>_xlfn.XLOOKUP(A64, SKU_Master[SKUID], SKU_Master[LeadTimeDaysAvg], "Not Found", 0) / 7</f>
        <v>1.8571428571428572</v>
      </c>
      <c r="H64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64.260679149729228</v>
      </c>
      <c r="I64" s="4">
        <f xml:space="preserve"> (InventoryModel[[#This Row],[AvgWeeklyDemand]] * InventoryModel[[#This Row],[LeadTimeWeeks]]) + InventoryModel[[#This Row],[SafetyStock]]</f>
        <v>266.26067914972924</v>
      </c>
      <c r="J64">
        <f>_xlfn.XLOOKUP(A64,SKU_Master[SKUID],SKU_Master[CurrentStockLevel],"Not Found", 0)</f>
        <v>117</v>
      </c>
      <c r="K64" t="str">
        <f xml:space="preserve"> IF(InventoryModel[[#This Row],[CurrentStockLevel]] &lt; InventoryModel[[#This Row],[ReorderPoint]], "At Risk", "OK")</f>
        <v>At Risk</v>
      </c>
      <c r="L64" s="7">
        <f>(InventoryModel[[#This Row],[ReorderPoint]] - InventoryModel[[#This Row],[CurrentStockLevel]]) / InventoryModel[[#This Row],[ReorderPoint]]</f>
        <v>0.56058100515019671</v>
      </c>
      <c r="M64" s="3" t="str" cm="1">
        <f t="array" ref="M64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64" s="3">
        <f>AVERAGEIFS(DemandHistory[AbsPctError],DemandHistory[SKUID],A64)</f>
        <v>7.233492918146138E-2</v>
      </c>
      <c r="O64" s="3">
        <f>InventoryModel[[#This Row],[StdDevWeeklyDemand]] / InventoryModel[[#This Row],[AvgWeeklyDemand]]</f>
        <v>0.10441500156946271</v>
      </c>
      <c r="P64" s="3" t="str">
        <f>_xlfn.XLOOKUP(A64, SKU_Master[SKUID], SKU_Master[Category], "Not Found", 0)</f>
        <v>Blowers</v>
      </c>
    </row>
    <row r="65" spans="1:16" x14ac:dyDescent="0.25">
      <c r="A65" s="2" t="s">
        <v>143</v>
      </c>
      <c r="B65">
        <f>SUMIF(DemandHistory!A:A, A65, DemandHistory!C:C) * 2</f>
        <v>2388</v>
      </c>
      <c r="C65" s="4">
        <f>SQRT((2*B65*_xlfn.XLOOKUP(A65,SKU_Master!A:A,SKU_Master!E:E,,0))/_xlfn.XLOOKUP(A65,SKU_Master!A:A,SKU_Master!F:F,,0))</f>
        <v>75.022742988168474</v>
      </c>
      <c r="D65" s="3">
        <f>_xlfn.XLOOKUP(InventoryModel[[#This Row],[SKUID]], DemandSummary!$A:$A, DemandSummary!$B:$B)</f>
        <v>45.92307692307692</v>
      </c>
      <c r="E65" s="3">
        <f>_xlfn.XLOOKUP(InventoryModel[[#This Row],[SKUID]],DemandSummary!A:A,DemandSummary!C:C,,0)</f>
        <v>8.979635079102394</v>
      </c>
      <c r="F65" s="3">
        <f>_xlfn.XLOOKUP(A65, SKU_Master[SKUID], SKU_Master[LeadTimeDaysStdDev], "Not Found", 0) / 7</f>
        <v>0.15714285714285717</v>
      </c>
      <c r="G65" s="3">
        <f>_xlfn.XLOOKUP(A65, SKU_Master[SKUID], SKU_Master[LeadTimeDaysAvg], "Not Found", 0) / 7</f>
        <v>1.7142857142857142</v>
      </c>
      <c r="H65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22.762052601238398</v>
      </c>
      <c r="I65" s="4">
        <f xml:space="preserve"> (InventoryModel[[#This Row],[AvgWeeklyDemand]] * InventoryModel[[#This Row],[LeadTimeWeeks]]) + InventoryModel[[#This Row],[SafetyStock]]</f>
        <v>101.48732732651311</v>
      </c>
      <c r="J65">
        <f>_xlfn.XLOOKUP(A65,SKU_Master[SKUID],SKU_Master[CurrentStockLevel],"Not Found", 0)</f>
        <v>275</v>
      </c>
      <c r="K65" t="str">
        <f xml:space="preserve"> IF(InventoryModel[[#This Row],[CurrentStockLevel]] &lt; InventoryModel[[#This Row],[ReorderPoint]], "At Risk", "OK")</f>
        <v>OK</v>
      </c>
      <c r="L65" s="7">
        <f>(InventoryModel[[#This Row],[ReorderPoint]] - InventoryModel[[#This Row],[CurrentStockLevel]]) / InventoryModel[[#This Row],[ReorderPoint]]</f>
        <v>-1.7096979223351514</v>
      </c>
      <c r="M65" s="3" t="str" cm="1">
        <f t="array" ref="M65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65" s="3">
        <f>AVERAGEIFS(DemandHistory[AbsPctError],DemandHistory[SKUID],A65)</f>
        <v>0.13399924743240305</v>
      </c>
      <c r="O65" s="3">
        <f>InventoryModel[[#This Row],[StdDevWeeklyDemand]] / InventoryModel[[#This Row],[AvgWeeklyDemand]]</f>
        <v>0.19553644225851111</v>
      </c>
      <c r="P65" s="3" t="str">
        <f>_xlfn.XLOOKUP(A65, SKU_Master[SKUID], SKU_Master[Category], "Not Found", 0)</f>
        <v>Small Parts</v>
      </c>
    </row>
    <row r="66" spans="1:16" x14ac:dyDescent="0.25">
      <c r="A66" s="2" t="s">
        <v>145</v>
      </c>
      <c r="B66">
        <f>SUMIF(DemandHistory!A:A, A66, DemandHistory!C:C) * 2</f>
        <v>896</v>
      </c>
      <c r="C66" s="4">
        <f>SQRT((2*B66*_xlfn.XLOOKUP(A66,SKU_Master!A:A,SKU_Master!E:E,,0))/_xlfn.XLOOKUP(A66,SKU_Master!A:A,SKU_Master!F:F,,0))</f>
        <v>60.338196746150622</v>
      </c>
      <c r="D66" s="3">
        <f>_xlfn.XLOOKUP(InventoryModel[[#This Row],[SKUID]], DemandSummary!$A:$A, DemandSummary!$B:$B)</f>
        <v>17.23076923076923</v>
      </c>
      <c r="E66" s="3">
        <f>_xlfn.XLOOKUP(InventoryModel[[#This Row],[SKUID]],DemandSummary!A:A,DemandSummary!C:C,,0)</f>
        <v>3.4906468432964384</v>
      </c>
      <c r="F66" s="3">
        <f>_xlfn.XLOOKUP(A66, SKU_Master[SKUID], SKU_Master[LeadTimeDaysStdDev], "Not Found", 0) / 7</f>
        <v>0.34285714285714286</v>
      </c>
      <c r="G66" s="3">
        <f>_xlfn.XLOOKUP(A66, SKU_Master[SKUID], SKU_Master[LeadTimeDaysAvg], "Not Found", 0) / 7</f>
        <v>1</v>
      </c>
      <c r="H66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11.322107609012518</v>
      </c>
      <c r="I66" s="4">
        <f xml:space="preserve"> (InventoryModel[[#This Row],[AvgWeeklyDemand]] * InventoryModel[[#This Row],[LeadTimeWeeks]]) + InventoryModel[[#This Row],[SafetyStock]]</f>
        <v>28.552876839781746</v>
      </c>
      <c r="J66">
        <f>_xlfn.XLOOKUP(A66,SKU_Master[SKUID],SKU_Master[CurrentStockLevel],"Not Found", 0)</f>
        <v>178</v>
      </c>
      <c r="K66" t="str">
        <f xml:space="preserve"> IF(InventoryModel[[#This Row],[CurrentStockLevel]] &lt; InventoryModel[[#This Row],[ReorderPoint]], "At Risk", "OK")</f>
        <v>OK</v>
      </c>
      <c r="L66" s="7">
        <f>(InventoryModel[[#This Row],[ReorderPoint]] - InventoryModel[[#This Row],[CurrentStockLevel]]) / InventoryModel[[#This Row],[ReorderPoint]]</f>
        <v>-5.2340478333867466</v>
      </c>
      <c r="M66" s="3" t="str" cm="1">
        <f t="array" ref="M66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66" s="3">
        <f>AVERAGEIFS(DemandHistory[AbsPctError],DemandHistory[SKUID],A66)</f>
        <v>0.17971607528219646</v>
      </c>
      <c r="O66" s="3">
        <f>InventoryModel[[#This Row],[StdDevWeeklyDemand]] / InventoryModel[[#This Row],[AvgWeeklyDemand]]</f>
        <v>0.20258218286988258</v>
      </c>
      <c r="P66" s="3" t="str">
        <f>_xlfn.XLOOKUP(A66, SKU_Master[SKUID], SKU_Master[Category], "Not Found", 0)</f>
        <v>Chains &amp; Bars</v>
      </c>
    </row>
    <row r="67" spans="1:16" x14ac:dyDescent="0.25">
      <c r="A67" s="2" t="s">
        <v>147</v>
      </c>
      <c r="B67">
        <f>SUMIF(DemandHistory!A:A, A67, DemandHistory!C:C) * 2</f>
        <v>2888</v>
      </c>
      <c r="C67" s="4">
        <f>SQRT((2*B67*_xlfn.XLOOKUP(A67,SKU_Master!A:A,SKU_Master!E:E,,0))/_xlfn.XLOOKUP(A67,SKU_Master!A:A,SKU_Master!F:F,,0))</f>
        <v>174.0343572821308</v>
      </c>
      <c r="D67" s="3">
        <f>_xlfn.XLOOKUP(InventoryModel[[#This Row],[SKUID]], DemandSummary!$A:$A, DemandSummary!$B:$B)</f>
        <v>55.53846153846154</v>
      </c>
      <c r="E67" s="3">
        <f>_xlfn.XLOOKUP(InventoryModel[[#This Row],[SKUID]],DemandSummary!A:A,DemandSummary!C:C,,0)</f>
        <v>7.4738518541954839</v>
      </c>
      <c r="F67" s="3">
        <f>_xlfn.XLOOKUP(A67, SKU_Master[SKUID], SKU_Master[LeadTimeDaysStdDev], "Not Found", 0) / 7</f>
        <v>0.19999999999999998</v>
      </c>
      <c r="G67" s="3">
        <f>_xlfn.XLOOKUP(A67, SKU_Master[SKUID], SKU_Master[LeadTimeDaysAvg], "Not Found", 0) / 7</f>
        <v>1</v>
      </c>
      <c r="H67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22.090245966577751</v>
      </c>
      <c r="I67" s="4">
        <f xml:space="preserve"> (InventoryModel[[#This Row],[AvgWeeklyDemand]] * InventoryModel[[#This Row],[LeadTimeWeeks]]) + InventoryModel[[#This Row],[SafetyStock]]</f>
        <v>77.628707505039287</v>
      </c>
      <c r="J67">
        <f>_xlfn.XLOOKUP(A67,SKU_Master[SKUID],SKU_Master[CurrentStockLevel],"Not Found", 0)</f>
        <v>200</v>
      </c>
      <c r="K67" t="str">
        <f xml:space="preserve"> IF(InventoryModel[[#This Row],[CurrentStockLevel]] &lt; InventoryModel[[#This Row],[ReorderPoint]], "At Risk", "OK")</f>
        <v>OK</v>
      </c>
      <c r="L67" s="7">
        <f>(InventoryModel[[#This Row],[ReorderPoint]] - InventoryModel[[#This Row],[CurrentStockLevel]]) / InventoryModel[[#This Row],[ReorderPoint]]</f>
        <v>-1.5763664812661855</v>
      </c>
      <c r="M67" s="3" t="str" cm="1">
        <f t="array" ref="M67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67" s="3">
        <f>AVERAGEIFS(DemandHistory[AbsPctError],DemandHistory[SKUID],A67)</f>
        <v>8.3123853900583508E-2</v>
      </c>
      <c r="O67" s="3">
        <f>InventoryModel[[#This Row],[StdDevWeeklyDemand]] / InventoryModel[[#This Row],[AvgWeeklyDemand]]</f>
        <v>0.13457073975698239</v>
      </c>
      <c r="P67" s="3" t="str">
        <f>_xlfn.XLOOKUP(A67, SKU_Master[SKUID], SKU_Master[Category], "Not Found", 0)</f>
        <v>Blowers</v>
      </c>
    </row>
    <row r="68" spans="1:16" x14ac:dyDescent="0.25">
      <c r="A68" s="2" t="s">
        <v>149</v>
      </c>
      <c r="B68">
        <f>SUMIF(DemandHistory!A:A, A68, DemandHistory!C:C) * 2</f>
        <v>1110</v>
      </c>
      <c r="C68" s="4">
        <f>SQRT((2*B68*_xlfn.XLOOKUP(A68,SKU_Master!A:A,SKU_Master!E:E,,0))/_xlfn.XLOOKUP(A68,SKU_Master!A:A,SKU_Master!F:F,,0))</f>
        <v>52.112412152414997</v>
      </c>
      <c r="D68" s="3">
        <f>_xlfn.XLOOKUP(InventoryModel[[#This Row],[SKUID]], DemandSummary!$A:$A, DemandSummary!$B:$B)</f>
        <v>21.346153846153847</v>
      </c>
      <c r="E68" s="3">
        <f>_xlfn.XLOOKUP(InventoryModel[[#This Row],[SKUID]],DemandSummary!A:A,DemandSummary!C:C,,0)</f>
        <v>4.0491214621673937</v>
      </c>
      <c r="F68" s="3">
        <f>_xlfn.XLOOKUP(A68, SKU_Master[SKUID], SKU_Master[LeadTimeDaysStdDev], "Not Found", 0) / 7</f>
        <v>0.39999999999999997</v>
      </c>
      <c r="G68" s="3">
        <f>_xlfn.XLOOKUP(A68, SKU_Master[SKUID], SKU_Master[LeadTimeDaysAvg], "Not Found", 0) / 7</f>
        <v>1</v>
      </c>
      <c r="H68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15.592343734541471</v>
      </c>
      <c r="I68" s="4">
        <f xml:space="preserve"> (InventoryModel[[#This Row],[AvgWeeklyDemand]] * InventoryModel[[#This Row],[LeadTimeWeeks]]) + InventoryModel[[#This Row],[SafetyStock]]</f>
        <v>36.938497580695319</v>
      </c>
      <c r="J68">
        <f>_xlfn.XLOOKUP(A68,SKU_Master[SKUID],SKU_Master[CurrentStockLevel],"Not Found", 0)</f>
        <v>185</v>
      </c>
      <c r="K68" t="str">
        <f xml:space="preserve"> IF(InventoryModel[[#This Row],[CurrentStockLevel]] &lt; InventoryModel[[#This Row],[ReorderPoint]], "At Risk", "OK")</f>
        <v>OK</v>
      </c>
      <c r="L68" s="7">
        <f>(InventoryModel[[#This Row],[ReorderPoint]] - InventoryModel[[#This Row],[CurrentStockLevel]]) / InventoryModel[[#This Row],[ReorderPoint]]</f>
        <v>-4.0083249757479065</v>
      </c>
      <c r="M68" s="3" t="str" cm="1">
        <f t="array" ref="M68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68" s="3">
        <f>AVERAGEIFS(DemandHistory[AbsPctError],DemandHistory[SKUID],A68)</f>
        <v>0.13550420325782644</v>
      </c>
      <c r="O68" s="3">
        <f>InventoryModel[[#This Row],[StdDevWeeklyDemand]] / InventoryModel[[#This Row],[AvgWeeklyDemand]]</f>
        <v>0.18968857300243647</v>
      </c>
      <c r="P68" s="3" t="str">
        <f>_xlfn.XLOOKUP(A68, SKU_Master[SKUID], SKU_Master[Category], "Not Found", 0)</f>
        <v>Chainsaws</v>
      </c>
    </row>
    <row r="69" spans="1:16" x14ac:dyDescent="0.25">
      <c r="A69" s="2" t="s">
        <v>151</v>
      </c>
      <c r="B69">
        <f>SUMIF(DemandHistory!A:A, A69, DemandHistory!C:C) * 2</f>
        <v>4094</v>
      </c>
      <c r="C69" s="4">
        <f>SQRT((2*B69*_xlfn.XLOOKUP(A69,SKU_Master!A:A,SKU_Master!E:E,,0))/_xlfn.XLOOKUP(A69,SKU_Master!A:A,SKU_Master!F:F,,0))</f>
        <v>95.438147960361235</v>
      </c>
      <c r="D69" s="3">
        <f>_xlfn.XLOOKUP(InventoryModel[[#This Row],[SKUID]], DemandSummary!$A:$A, DemandSummary!$B:$B)</f>
        <v>78.730769230769226</v>
      </c>
      <c r="E69" s="3">
        <f>_xlfn.XLOOKUP(InventoryModel[[#This Row],[SKUID]],DemandSummary!A:A,DemandSummary!C:C,,0)</f>
        <v>12.005191184842291</v>
      </c>
      <c r="F69" s="3">
        <f>_xlfn.XLOOKUP(A69, SKU_Master[SKUID], SKU_Master[LeadTimeDaysStdDev], "Not Found", 0) / 7</f>
        <v>0.47142857142857142</v>
      </c>
      <c r="G69" s="3">
        <f>_xlfn.XLOOKUP(A69, SKU_Master[SKUID], SKU_Master[LeadTimeDaysAvg], "Not Found", 0) / 7</f>
        <v>2.4285714285714284</v>
      </c>
      <c r="H69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68.581461212173707</v>
      </c>
      <c r="I69" s="4">
        <f xml:space="preserve"> (InventoryModel[[#This Row],[AvgWeeklyDemand]] * InventoryModel[[#This Row],[LeadTimeWeeks]]) + InventoryModel[[#This Row],[SafetyStock]]</f>
        <v>259.78475791547038</v>
      </c>
      <c r="J69">
        <f>_xlfn.XLOOKUP(A69,SKU_Master[SKUID],SKU_Master[CurrentStockLevel],"Not Found", 0)</f>
        <v>234</v>
      </c>
      <c r="K69" t="str">
        <f xml:space="preserve"> IF(InventoryModel[[#This Row],[CurrentStockLevel]] &lt; InventoryModel[[#This Row],[ReorderPoint]], "At Risk", "OK")</f>
        <v>At Risk</v>
      </c>
      <c r="L69" s="7">
        <f>(InventoryModel[[#This Row],[ReorderPoint]] - InventoryModel[[#This Row],[CurrentStockLevel]]) / InventoryModel[[#This Row],[ReorderPoint]]</f>
        <v>9.9254313926532625E-2</v>
      </c>
      <c r="M69" s="3" t="str" cm="1">
        <f t="array" ref="M69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69" s="3">
        <f>AVERAGEIFS(DemandHistory[AbsPctError],DemandHistory[SKUID],A69)</f>
        <v>7.9314597343426857E-2</v>
      </c>
      <c r="O69" s="3">
        <f>InventoryModel[[#This Row],[StdDevWeeklyDemand]] / InventoryModel[[#This Row],[AvgWeeklyDemand]]</f>
        <v>0.15248410884509017</v>
      </c>
      <c r="P69" s="3" t="str">
        <f>_xlfn.XLOOKUP(A69, SKU_Master[SKUID], SKU_Master[Category], "Not Found", 0)</f>
        <v>Mowers</v>
      </c>
    </row>
    <row r="70" spans="1:16" x14ac:dyDescent="0.25">
      <c r="A70" s="2" t="s">
        <v>153</v>
      </c>
      <c r="B70">
        <f>SUMIF(DemandHistory!A:A, A70, DemandHistory!C:C) * 2</f>
        <v>1514</v>
      </c>
      <c r="C70" s="4">
        <f>SQRT((2*B70*_xlfn.XLOOKUP(A70,SKU_Master!A:A,SKU_Master!E:E,,0))/_xlfn.XLOOKUP(A70,SKU_Master!A:A,SKU_Master!F:F,,0))</f>
        <v>123.83280548749111</v>
      </c>
      <c r="D70" s="3">
        <f>_xlfn.XLOOKUP(InventoryModel[[#This Row],[SKUID]], DemandSummary!$A:$A, DemandSummary!$B:$B)</f>
        <v>29.115384615384617</v>
      </c>
      <c r="E70" s="3">
        <f>_xlfn.XLOOKUP(InventoryModel[[#This Row],[SKUID]],DemandSummary!A:A,DemandSummary!C:C,,0)</f>
        <v>5.3015237287174246</v>
      </c>
      <c r="F70" s="3">
        <f>_xlfn.XLOOKUP(A70, SKU_Master[SKUID], SKU_Master[LeadTimeDaysStdDev], "Not Found", 0) / 7</f>
        <v>0.5</v>
      </c>
      <c r="G70" s="3">
        <f>_xlfn.XLOOKUP(A70, SKU_Master[SKUID], SKU_Master[LeadTimeDaysAvg], "Not Found", 0) / 7</f>
        <v>0.8571428571428571</v>
      </c>
      <c r="H70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25.348715077513067</v>
      </c>
      <c r="I70" s="4">
        <f xml:space="preserve"> (InventoryModel[[#This Row],[AvgWeeklyDemand]] * InventoryModel[[#This Row],[LeadTimeWeeks]]) + InventoryModel[[#This Row],[SafetyStock]]</f>
        <v>50.304759033557019</v>
      </c>
      <c r="J70">
        <f>_xlfn.XLOOKUP(A70,SKU_Master[SKUID],SKU_Master[CurrentStockLevel],"Not Found", 0)</f>
        <v>233</v>
      </c>
      <c r="K70" t="str">
        <f xml:space="preserve"> IF(InventoryModel[[#This Row],[CurrentStockLevel]] &lt; InventoryModel[[#This Row],[ReorderPoint]], "At Risk", "OK")</f>
        <v>OK</v>
      </c>
      <c r="L70" s="7">
        <f>(InventoryModel[[#This Row],[ReorderPoint]] - InventoryModel[[#This Row],[CurrentStockLevel]]) / InventoryModel[[#This Row],[ReorderPoint]]</f>
        <v>-3.6317685339586192</v>
      </c>
      <c r="M70" s="3" t="str" cm="1">
        <f t="array" ref="M70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70" s="3">
        <f>AVERAGEIFS(DemandHistory[AbsPctError],DemandHistory[SKUID],A70)</f>
        <v>0.12018004839285934</v>
      </c>
      <c r="O70" s="3">
        <f>InventoryModel[[#This Row],[StdDevWeeklyDemand]] / InventoryModel[[#This Row],[AvgWeeklyDemand]]</f>
        <v>0.1820866802465694</v>
      </c>
      <c r="P70" s="3" t="str">
        <f>_xlfn.XLOOKUP(A70, SKU_Master[SKUID], SKU_Master[Category], "Not Found", 0)</f>
        <v>Accessories</v>
      </c>
    </row>
    <row r="71" spans="1:16" x14ac:dyDescent="0.25">
      <c r="A71" s="2" t="s">
        <v>155</v>
      </c>
      <c r="B71">
        <f>SUMIF(DemandHistory!A:A, A71, DemandHistory!C:C) * 2</f>
        <v>7432</v>
      </c>
      <c r="C71" s="4">
        <f>SQRT((2*B71*_xlfn.XLOOKUP(A71,SKU_Master!A:A,SKU_Master!E:E,,0))/_xlfn.XLOOKUP(A71,SKU_Master!A:A,SKU_Master!F:F,,0))</f>
        <v>163.93967377412991</v>
      </c>
      <c r="D71" s="3">
        <f>_xlfn.XLOOKUP(InventoryModel[[#This Row],[SKUID]], DemandSummary!$A:$A, DemandSummary!$B:$B)</f>
        <v>142.92307692307693</v>
      </c>
      <c r="E71" s="3">
        <f>_xlfn.XLOOKUP(InventoryModel[[#This Row],[SKUID]],DemandSummary!A:A,DemandSummary!C:C,,0)</f>
        <v>25.180822984045719</v>
      </c>
      <c r="F71" s="3">
        <f>_xlfn.XLOOKUP(A71, SKU_Master[SKUID], SKU_Master[LeadTimeDaysStdDev], "Not Found", 0) / 7</f>
        <v>0.5</v>
      </c>
      <c r="G71" s="3">
        <f>_xlfn.XLOOKUP(A71, SKU_Master[SKUID], SKU_Master[LeadTimeDaysAvg], "Not Found", 0) / 7</f>
        <v>0.7142857142857143</v>
      </c>
      <c r="H71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123.02917571938389</v>
      </c>
      <c r="I71" s="4">
        <f xml:space="preserve"> (InventoryModel[[#This Row],[AvgWeeklyDemand]] * InventoryModel[[#This Row],[LeadTimeWeeks]]) + InventoryModel[[#This Row],[SafetyStock]]</f>
        <v>225.117087807296</v>
      </c>
      <c r="J71">
        <f>_xlfn.XLOOKUP(A71,SKU_Master[SKUID],SKU_Master[CurrentStockLevel],"Not Found", 0)</f>
        <v>199</v>
      </c>
      <c r="K71" t="str">
        <f xml:space="preserve"> IF(InventoryModel[[#This Row],[CurrentStockLevel]] &lt; InventoryModel[[#This Row],[ReorderPoint]], "At Risk", "OK")</f>
        <v>At Risk</v>
      </c>
      <c r="L71" s="7">
        <f>(InventoryModel[[#This Row],[ReorderPoint]] - InventoryModel[[#This Row],[CurrentStockLevel]]) / InventoryModel[[#This Row],[ReorderPoint]]</f>
        <v>0.11601557243692076</v>
      </c>
      <c r="M71" s="3" t="str" cm="1">
        <f t="array" ref="M71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71" s="3">
        <f>AVERAGEIFS(DemandHistory[AbsPctError],DemandHistory[SKUID],A71)</f>
        <v>0.12278718532937537</v>
      </c>
      <c r="O71" s="3">
        <f>InventoryModel[[#This Row],[StdDevWeeklyDemand]] / InventoryModel[[#This Row],[AvgWeeklyDemand]]</f>
        <v>0.17618444499063204</v>
      </c>
      <c r="P71" s="3" t="str">
        <f>_xlfn.XLOOKUP(A71, SKU_Master[SKUID], SKU_Master[Category], "Not Found", 0)</f>
        <v>Batteries</v>
      </c>
    </row>
    <row r="72" spans="1:16" x14ac:dyDescent="0.25">
      <c r="A72" s="2" t="s">
        <v>157</v>
      </c>
      <c r="B72">
        <f>SUMIF(DemandHistory!A:A, A72, DemandHistory!C:C) * 2</f>
        <v>3078</v>
      </c>
      <c r="C72" s="4">
        <f>SQRT((2*B72*_xlfn.XLOOKUP(A72,SKU_Master!A:A,SKU_Master!E:E,,0))/_xlfn.XLOOKUP(A72,SKU_Master!A:A,SKU_Master!F:F,,0))</f>
        <v>125.09676254803719</v>
      </c>
      <c r="D72" s="3">
        <f>_xlfn.XLOOKUP(InventoryModel[[#This Row],[SKUID]], DemandSummary!$A:$A, DemandSummary!$B:$B)</f>
        <v>59.192307692307693</v>
      </c>
      <c r="E72" s="3">
        <f>_xlfn.XLOOKUP(InventoryModel[[#This Row],[SKUID]],DemandSummary!A:A,DemandSummary!C:C,,0)</f>
        <v>7.0881265833461757</v>
      </c>
      <c r="F72" s="3">
        <f>_xlfn.XLOOKUP(A72, SKU_Master[SKUID], SKU_Master[LeadTimeDaysStdDev], "Not Found", 0) / 7</f>
        <v>0.3</v>
      </c>
      <c r="G72" s="3">
        <f>_xlfn.XLOOKUP(A72, SKU_Master[SKUID], SKU_Master[LeadTimeDaysAvg], "Not Found", 0) / 7</f>
        <v>1.1428571428571428</v>
      </c>
      <c r="H72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31.856305930058973</v>
      </c>
      <c r="I72" s="4">
        <f xml:space="preserve"> (InventoryModel[[#This Row],[AvgWeeklyDemand]] * InventoryModel[[#This Row],[LeadTimeWeeks]]) + InventoryModel[[#This Row],[SafetyStock]]</f>
        <v>99.504657578410615</v>
      </c>
      <c r="J72">
        <f>_xlfn.XLOOKUP(A72,SKU_Master[SKUID],SKU_Master[CurrentStockLevel],"Not Found", 0)</f>
        <v>165</v>
      </c>
      <c r="K72" t="str">
        <f xml:space="preserve"> IF(InventoryModel[[#This Row],[CurrentStockLevel]] &lt; InventoryModel[[#This Row],[ReorderPoint]], "At Risk", "OK")</f>
        <v>OK</v>
      </c>
      <c r="L72" s="7">
        <f>(InventoryModel[[#This Row],[ReorderPoint]] - InventoryModel[[#This Row],[CurrentStockLevel]]) / InventoryModel[[#This Row],[ReorderPoint]]</f>
        <v>-0.65821383657321197</v>
      </c>
      <c r="M72" s="3" t="str" cm="1">
        <f t="array" ref="M72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WatchOverstock</v>
      </c>
      <c r="N72" s="3">
        <f>AVERAGEIFS(DemandHistory[AbsPctError],DemandHistory[SKUID],A72)</f>
        <v>6.5308368804207956E-2</v>
      </c>
      <c r="O72" s="3">
        <f>InventoryModel[[#This Row],[StdDevWeeklyDemand]] / InventoryModel[[#This Row],[AvgWeeklyDemand]]</f>
        <v>0.11974742765886977</v>
      </c>
      <c r="P72" s="3" t="str">
        <f>_xlfn.XLOOKUP(A72, SKU_Master[SKUID], SKU_Master[Category], "Not Found", 0)</f>
        <v>Blowers</v>
      </c>
    </row>
    <row r="73" spans="1:16" x14ac:dyDescent="0.25">
      <c r="A73" s="2" t="s">
        <v>159</v>
      </c>
      <c r="B73">
        <f>SUMIF(DemandHistory!A:A, A73, DemandHistory!C:C) * 2</f>
        <v>4590</v>
      </c>
      <c r="C73" s="4">
        <f>SQRT((2*B73*_xlfn.XLOOKUP(A73,SKU_Master!A:A,SKU_Master!E:E,,0))/_xlfn.XLOOKUP(A73,SKU_Master!A:A,SKU_Master!F:F,,0))</f>
        <v>104.247619657657</v>
      </c>
      <c r="D73" s="3">
        <f>_xlfn.XLOOKUP(InventoryModel[[#This Row],[SKUID]], DemandSummary!$A:$A, DemandSummary!$B:$B)</f>
        <v>88.269230769230774</v>
      </c>
      <c r="E73" s="3">
        <f>_xlfn.XLOOKUP(InventoryModel[[#This Row],[SKUID]],DemandSummary!A:A,DemandSummary!C:C,,0)</f>
        <v>11.022005960106128</v>
      </c>
      <c r="F73" s="3">
        <f>_xlfn.XLOOKUP(A73, SKU_Master[SKUID], SKU_Master[LeadTimeDaysStdDev], "Not Found", 0) / 7</f>
        <v>0.25714285714285717</v>
      </c>
      <c r="G73" s="3">
        <f>_xlfn.XLOOKUP(A73, SKU_Master[SKUID], SKU_Master[LeadTimeDaysAvg], "Not Found", 0) / 7</f>
        <v>2.8571428571428572</v>
      </c>
      <c r="H73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48.451853883458263</v>
      </c>
      <c r="I73" s="4">
        <f xml:space="preserve"> (InventoryModel[[#This Row],[AvgWeeklyDemand]] * InventoryModel[[#This Row],[LeadTimeWeeks]]) + InventoryModel[[#This Row],[SafetyStock]]</f>
        <v>300.6496560812605</v>
      </c>
      <c r="J73">
        <f>_xlfn.XLOOKUP(A73,SKU_Master[SKUID],SKU_Master[CurrentStockLevel],"Not Found", 0)</f>
        <v>166</v>
      </c>
      <c r="K73" t="str">
        <f xml:space="preserve"> IF(InventoryModel[[#This Row],[CurrentStockLevel]] &lt; InventoryModel[[#This Row],[ReorderPoint]], "At Risk", "OK")</f>
        <v>At Risk</v>
      </c>
      <c r="L73" s="7">
        <f>(InventoryModel[[#This Row],[ReorderPoint]] - InventoryModel[[#This Row],[CurrentStockLevel]]) / InventoryModel[[#This Row],[ReorderPoint]]</f>
        <v>0.44786233197907593</v>
      </c>
      <c r="M73" s="3" t="str" cm="1">
        <f t="array" ref="M73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73" s="3">
        <f>AVERAGEIFS(DemandHistory[AbsPctError],DemandHistory[SKUID],A73)</f>
        <v>9.3085158068682949E-2</v>
      </c>
      <c r="O73" s="3">
        <f>InventoryModel[[#This Row],[StdDevWeeklyDemand]] / InventoryModel[[#This Row],[AvgWeeklyDemand]]</f>
        <v>0.12486804137810863</v>
      </c>
      <c r="P73" s="3" t="str">
        <f>_xlfn.XLOOKUP(A73, SKU_Master[SKUID], SKU_Master[Category], "Not Found", 0)</f>
        <v>Chainsaws</v>
      </c>
    </row>
    <row r="74" spans="1:16" x14ac:dyDescent="0.25">
      <c r="A74" s="2" t="s">
        <v>161</v>
      </c>
      <c r="B74">
        <f>SUMIF(DemandHistory!A:A, A74, DemandHistory!C:C) * 2</f>
        <v>6822</v>
      </c>
      <c r="C74" s="4">
        <f>SQRT((2*B74*_xlfn.XLOOKUP(A74,SKU_Master!A:A,SKU_Master!E:E,,0))/_xlfn.XLOOKUP(A74,SKU_Master!A:A,SKU_Master!F:F,,0))</f>
        <v>112.89644816929111</v>
      </c>
      <c r="D74" s="3">
        <f>_xlfn.XLOOKUP(InventoryModel[[#This Row],[SKUID]], DemandSummary!$A:$A, DemandSummary!$B:$B)</f>
        <v>131.19230769230768</v>
      </c>
      <c r="E74" s="3">
        <f>_xlfn.XLOOKUP(InventoryModel[[#This Row],[SKUID]],DemandSummary!A:A,DemandSummary!C:C,,0)</f>
        <v>23.075561498293762</v>
      </c>
      <c r="F74" s="3">
        <f>_xlfn.XLOOKUP(A74, SKU_Master[SKUID], SKU_Master[LeadTimeDaysStdDev], "Not Found", 0) / 7</f>
        <v>0.45714285714285718</v>
      </c>
      <c r="G74" s="3">
        <f>_xlfn.XLOOKUP(A74, SKU_Master[SKUID], SKU_Master[LeadTimeDaysAvg], "Not Found", 0) / 7</f>
        <v>1</v>
      </c>
      <c r="H74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106.02861226296235</v>
      </c>
      <c r="I74" s="4">
        <f xml:space="preserve"> (InventoryModel[[#This Row],[AvgWeeklyDemand]] * InventoryModel[[#This Row],[LeadTimeWeeks]]) + InventoryModel[[#This Row],[SafetyStock]]</f>
        <v>237.22091995527003</v>
      </c>
      <c r="J74">
        <f>_xlfn.XLOOKUP(A74,SKU_Master[SKUID],SKU_Master[CurrentStockLevel],"Not Found", 0)</f>
        <v>171</v>
      </c>
      <c r="K74" t="str">
        <f xml:space="preserve"> IF(InventoryModel[[#This Row],[CurrentStockLevel]] &lt; InventoryModel[[#This Row],[ReorderPoint]], "At Risk", "OK")</f>
        <v>At Risk</v>
      </c>
      <c r="L74" s="7">
        <f>(InventoryModel[[#This Row],[ReorderPoint]] - InventoryModel[[#This Row],[CurrentStockLevel]]) / InventoryModel[[#This Row],[ReorderPoint]]</f>
        <v>0.27915295146716629</v>
      </c>
      <c r="M74" s="3" t="str" cm="1">
        <f t="array" ref="M74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74" s="3">
        <f>AVERAGEIFS(DemandHistory[AbsPctError],DemandHistory[SKUID],A74)</f>
        <v>0.1325114509051214</v>
      </c>
      <c r="O74" s="3">
        <f>InventoryModel[[#This Row],[StdDevWeeklyDemand]] / InventoryModel[[#This Row],[AvgWeeklyDemand]]</f>
        <v>0.17589111666831952</v>
      </c>
      <c r="P74" s="3" t="str">
        <f>_xlfn.XLOOKUP(A74, SKU_Master[SKUID], SKU_Master[Category], "Not Found", 0)</f>
        <v>Trimmers</v>
      </c>
    </row>
    <row r="75" spans="1:16" x14ac:dyDescent="0.25">
      <c r="A75" s="2" t="s">
        <v>163</v>
      </c>
      <c r="B75">
        <f>SUMIF(DemandHistory!A:A, A75, DemandHistory!C:C) * 2</f>
        <v>6464</v>
      </c>
      <c r="C75" s="4">
        <f>SQRT((2*B75*_xlfn.XLOOKUP(A75,SKU_Master!A:A,SKU_Master!E:E,,0))/_xlfn.XLOOKUP(A75,SKU_Master!A:A,SKU_Master!F:F,,0))</f>
        <v>140.02799292474737</v>
      </c>
      <c r="D75" s="3">
        <f>_xlfn.XLOOKUP(InventoryModel[[#This Row],[SKUID]], DemandSummary!$A:$A, DemandSummary!$B:$B)</f>
        <v>124.30769230769231</v>
      </c>
      <c r="E75" s="3">
        <f>_xlfn.XLOOKUP(InventoryModel[[#This Row],[SKUID]],DemandSummary!A:A,DemandSummary!C:C,,0)</f>
        <v>19.957493291030755</v>
      </c>
      <c r="F75" s="3">
        <f>_xlfn.XLOOKUP(A75, SKU_Master[SKUID], SKU_Master[LeadTimeDaysStdDev], "Not Found", 0) / 7</f>
        <v>0.24285714285714285</v>
      </c>
      <c r="G75" s="3">
        <f>_xlfn.XLOOKUP(A75, SKU_Master[SKUID], SKU_Master[LeadTimeDaysAvg], "Not Found", 0) / 7</f>
        <v>1.5714285714285714</v>
      </c>
      <c r="H75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64.693442779425084</v>
      </c>
      <c r="I75" s="4">
        <f xml:space="preserve"> (InventoryModel[[#This Row],[AvgWeeklyDemand]] * InventoryModel[[#This Row],[LeadTimeWeeks]]) + InventoryModel[[#This Row],[SafetyStock]]</f>
        <v>260.03410212008441</v>
      </c>
      <c r="J75">
        <f>_xlfn.XLOOKUP(A75,SKU_Master[SKUID],SKU_Master[CurrentStockLevel],"Not Found", 0)</f>
        <v>216</v>
      </c>
      <c r="K75" t="str">
        <f xml:space="preserve"> IF(InventoryModel[[#This Row],[CurrentStockLevel]] &lt; InventoryModel[[#This Row],[ReorderPoint]], "At Risk", "OK")</f>
        <v>At Risk</v>
      </c>
      <c r="L75" s="7">
        <f>(InventoryModel[[#This Row],[ReorderPoint]] - InventoryModel[[#This Row],[CurrentStockLevel]]) / InventoryModel[[#This Row],[ReorderPoint]]</f>
        <v>0.16933972029464564</v>
      </c>
      <c r="M75" s="3" t="str" cm="1">
        <f t="array" ref="M75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75" s="3">
        <f>AVERAGEIFS(DemandHistory[AbsPctError],DemandHistory[SKUID],A75)</f>
        <v>9.8616473476308406E-2</v>
      </c>
      <c r="O75" s="3">
        <f>InventoryModel[[#This Row],[StdDevWeeklyDemand]] / InventoryModel[[#This Row],[AvgWeeklyDemand]]</f>
        <v>0.16054914157388603</v>
      </c>
      <c r="P75" s="3" t="str">
        <f>_xlfn.XLOOKUP(A75, SKU_Master[SKUID], SKU_Master[Category], "Not Found", 0)</f>
        <v>Chains &amp; Bars</v>
      </c>
    </row>
    <row r="76" spans="1:16" x14ac:dyDescent="0.25">
      <c r="A76" s="2" t="s">
        <v>165</v>
      </c>
      <c r="B76">
        <f>SUMIF(DemandHistory!A:A, A76, DemandHistory!C:C) * 2</f>
        <v>3228</v>
      </c>
      <c r="C76" s="4">
        <f>SQRT((2*B76*_xlfn.XLOOKUP(A76,SKU_Master!A:A,SKU_Master!E:E,,0))/_xlfn.XLOOKUP(A76,SKU_Master!A:A,SKU_Master!F:F,,0))</f>
        <v>89.183103945327886</v>
      </c>
      <c r="D76" s="3">
        <f>_xlfn.XLOOKUP(InventoryModel[[#This Row],[SKUID]], DemandSummary!$A:$A, DemandSummary!$B:$B)</f>
        <v>62.07692307692308</v>
      </c>
      <c r="E76" s="3">
        <f>_xlfn.XLOOKUP(InventoryModel[[#This Row],[SKUID]],DemandSummary!A:A,DemandSummary!C:C,,0)</f>
        <v>10.027654070312071</v>
      </c>
      <c r="F76" s="3">
        <f>_xlfn.XLOOKUP(A76, SKU_Master[SKUID], SKU_Master[LeadTimeDaysStdDev], "Not Found", 0) / 7</f>
        <v>0.47142857142857142</v>
      </c>
      <c r="G76" s="3">
        <f>_xlfn.XLOOKUP(A76, SKU_Master[SKUID], SKU_Master[LeadTimeDaysAvg], "Not Found", 0) / 7</f>
        <v>2</v>
      </c>
      <c r="H76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53.65769226124695</v>
      </c>
      <c r="I76" s="4">
        <f xml:space="preserve"> (InventoryModel[[#This Row],[AvgWeeklyDemand]] * InventoryModel[[#This Row],[LeadTimeWeeks]]) + InventoryModel[[#This Row],[SafetyStock]]</f>
        <v>177.81153841509311</v>
      </c>
      <c r="J76">
        <f>_xlfn.XLOOKUP(A76,SKU_Master[SKUID],SKU_Master[CurrentStockLevel],"Not Found", 0)</f>
        <v>207</v>
      </c>
      <c r="K76" t="str">
        <f xml:space="preserve"> IF(InventoryModel[[#This Row],[CurrentStockLevel]] &lt; InventoryModel[[#This Row],[ReorderPoint]], "At Risk", "OK")</f>
        <v>OK</v>
      </c>
      <c r="L76" s="7">
        <f>(InventoryModel[[#This Row],[ReorderPoint]] - InventoryModel[[#This Row],[CurrentStockLevel]]) / InventoryModel[[#This Row],[ReorderPoint]]</f>
        <v>-0.16415392299664899</v>
      </c>
      <c r="M76" s="3" t="str" cm="1">
        <f t="array" ref="M76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76" s="3">
        <f>AVERAGEIFS(DemandHistory[AbsPctError],DemandHistory[SKUID],A76)</f>
        <v>0.12717229327626689</v>
      </c>
      <c r="O76" s="3">
        <f>InventoryModel[[#This Row],[StdDevWeeklyDemand]] / InventoryModel[[#This Row],[AvgWeeklyDemand]]</f>
        <v>0.16153593917479173</v>
      </c>
      <c r="P76" s="3" t="str">
        <f>_xlfn.XLOOKUP(A76, SKU_Master[SKUID], SKU_Master[Category], "Not Found", 0)</f>
        <v>Accessories</v>
      </c>
    </row>
    <row r="77" spans="1:16" x14ac:dyDescent="0.25">
      <c r="A77" s="2" t="s">
        <v>167</v>
      </c>
      <c r="B77">
        <f>SUMIF(DemandHistory!A:A, A77, DemandHistory!C:C) * 2</f>
        <v>5312</v>
      </c>
      <c r="C77" s="4">
        <f>SQRT((2*B77*_xlfn.XLOOKUP(A77,SKU_Master!A:A,SKU_Master!E:E,,0))/_xlfn.XLOOKUP(A77,SKU_Master!A:A,SKU_Master!F:F,,0))</f>
        <v>227.18216477099907</v>
      </c>
      <c r="D77" s="3">
        <f>_xlfn.XLOOKUP(InventoryModel[[#This Row],[SKUID]], DemandSummary!$A:$A, DemandSummary!$B:$B)</f>
        <v>102.15384615384616</v>
      </c>
      <c r="E77" s="3">
        <f>_xlfn.XLOOKUP(InventoryModel[[#This Row],[SKUID]],DemandSummary!A:A,DemandSummary!C:C,,0)</f>
        <v>13.113938562284977</v>
      </c>
      <c r="F77" s="3">
        <f>_xlfn.XLOOKUP(A77, SKU_Master[SKUID], SKU_Master[LeadTimeDaysStdDev], "Not Found", 0) / 7</f>
        <v>0.41428571428571426</v>
      </c>
      <c r="G77" s="3">
        <f>_xlfn.XLOOKUP(A77, SKU_Master[SKUID], SKU_Master[LeadTimeDaysAvg], "Not Found", 0) / 7</f>
        <v>2</v>
      </c>
      <c r="H77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76.240134661928096</v>
      </c>
      <c r="I77" s="4">
        <f xml:space="preserve"> (InventoryModel[[#This Row],[AvgWeeklyDemand]] * InventoryModel[[#This Row],[LeadTimeWeeks]]) + InventoryModel[[#This Row],[SafetyStock]]</f>
        <v>280.54782696962042</v>
      </c>
      <c r="J77">
        <f>_xlfn.XLOOKUP(A77,SKU_Master[SKUID],SKU_Master[CurrentStockLevel],"Not Found", 0)</f>
        <v>84</v>
      </c>
      <c r="K77" t="str">
        <f xml:space="preserve"> IF(InventoryModel[[#This Row],[CurrentStockLevel]] &lt; InventoryModel[[#This Row],[ReorderPoint]], "At Risk", "OK")</f>
        <v>At Risk</v>
      </c>
      <c r="L77" s="7">
        <f>(InventoryModel[[#This Row],[ReorderPoint]] - InventoryModel[[#This Row],[CurrentStockLevel]]) / InventoryModel[[#This Row],[ReorderPoint]]</f>
        <v>0.70058581131303477</v>
      </c>
      <c r="M77" s="3" t="str" cm="1">
        <f t="array" ref="M77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77" s="3">
        <f>AVERAGEIFS(DemandHistory[AbsPctError],DemandHistory[SKUID],A77)</f>
        <v>8.7909698409520204E-2</v>
      </c>
      <c r="O77" s="3">
        <f>InventoryModel[[#This Row],[StdDevWeeklyDemand]] / InventoryModel[[#This Row],[AvgWeeklyDemand]]</f>
        <v>0.12837439857658486</v>
      </c>
      <c r="P77" s="3" t="str">
        <f>_xlfn.XLOOKUP(A77, SKU_Master[SKUID], SKU_Master[Category], "Not Found", 0)</f>
        <v>Blowers</v>
      </c>
    </row>
    <row r="78" spans="1:16" x14ac:dyDescent="0.25">
      <c r="A78" s="2" t="s">
        <v>169</v>
      </c>
      <c r="B78">
        <f>SUMIF(DemandHistory!A:A, A78, DemandHistory!C:C) * 2</f>
        <v>1566</v>
      </c>
      <c r="C78" s="4">
        <f>SQRT((2*B78*_xlfn.XLOOKUP(A78,SKU_Master!A:A,SKU_Master!E:E,,0))/_xlfn.XLOOKUP(A78,SKU_Master!A:A,SKU_Master!F:F,,0))</f>
        <v>57.944526733711896</v>
      </c>
      <c r="D78" s="3">
        <f>_xlfn.XLOOKUP(InventoryModel[[#This Row],[SKUID]], DemandSummary!$A:$A, DemandSummary!$B:$B)</f>
        <v>30.115384615384617</v>
      </c>
      <c r="E78" s="3">
        <f>_xlfn.XLOOKUP(InventoryModel[[#This Row],[SKUID]],DemandSummary!A:A,DemandSummary!C:C,,0)</f>
        <v>3.2413197691918492</v>
      </c>
      <c r="F78" s="3">
        <f>_xlfn.XLOOKUP(A78, SKU_Master[SKUID], SKU_Master[LeadTimeDaysStdDev], "Not Found", 0) / 7</f>
        <v>0.44285714285714289</v>
      </c>
      <c r="G78" s="3">
        <f>_xlfn.XLOOKUP(A78, SKU_Master[SKUID], SKU_Master[LeadTimeDaysAvg], "Not Found", 0) / 7</f>
        <v>1.1428571428571428</v>
      </c>
      <c r="H78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22.736354535922697</v>
      </c>
      <c r="I78" s="4">
        <f xml:space="preserve"> (InventoryModel[[#This Row],[AvgWeeklyDemand]] * InventoryModel[[#This Row],[LeadTimeWeeks]]) + InventoryModel[[#This Row],[SafetyStock]]</f>
        <v>57.153936953505109</v>
      </c>
      <c r="J78">
        <f>_xlfn.XLOOKUP(A78,SKU_Master[SKUID],SKU_Master[CurrentStockLevel],"Not Found", 0)</f>
        <v>222</v>
      </c>
      <c r="K78" t="str">
        <f xml:space="preserve"> IF(InventoryModel[[#This Row],[CurrentStockLevel]] &lt; InventoryModel[[#This Row],[ReorderPoint]], "At Risk", "OK")</f>
        <v>OK</v>
      </c>
      <c r="L78" s="7">
        <f>(InventoryModel[[#This Row],[ReorderPoint]] - InventoryModel[[#This Row],[CurrentStockLevel]]) / InventoryModel[[#This Row],[ReorderPoint]]</f>
        <v>-2.884246857405425</v>
      </c>
      <c r="M78" s="3" t="str" cm="1">
        <f t="array" ref="M78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78" s="3">
        <f>AVERAGEIFS(DemandHistory[AbsPctError],DemandHistory[SKUID],A78)</f>
        <v>9.3752886661511395E-2</v>
      </c>
      <c r="O78" s="3">
        <f>InventoryModel[[#This Row],[StdDevWeeklyDemand]] / InventoryModel[[#This Row],[AvgWeeklyDemand]]</f>
        <v>0.10763003065004863</v>
      </c>
      <c r="P78" s="3" t="str">
        <f>_xlfn.XLOOKUP(A78, SKU_Master[SKUID], SKU_Master[Category], "Not Found", 0)</f>
        <v>Chainsaws</v>
      </c>
    </row>
    <row r="79" spans="1:16" x14ac:dyDescent="0.25">
      <c r="A79" s="2" t="s">
        <v>171</v>
      </c>
      <c r="B79">
        <f>SUMIF(DemandHistory!A:A, A79, DemandHistory!C:C) * 2</f>
        <v>4694</v>
      </c>
      <c r="C79" s="4">
        <f>SQRT((2*B79*_xlfn.XLOOKUP(A79,SKU_Master!A:A,SKU_Master!E:E,,0))/_xlfn.XLOOKUP(A79,SKU_Master!A:A,SKU_Master!F:F,,0))</f>
        <v>152.14502244960806</v>
      </c>
      <c r="D79" s="3">
        <f>_xlfn.XLOOKUP(InventoryModel[[#This Row],[SKUID]], DemandSummary!$A:$A, DemandSummary!$B:$B)</f>
        <v>90.269230769230774</v>
      </c>
      <c r="E79" s="3">
        <f>_xlfn.XLOOKUP(InventoryModel[[#This Row],[SKUID]],DemandSummary!A:A,DemandSummary!C:C,,0)</f>
        <v>13.898367363996933</v>
      </c>
      <c r="F79" s="3">
        <f>_xlfn.XLOOKUP(A79, SKU_Master[SKUID], SKU_Master[LeadTimeDaysStdDev], "Not Found", 0) / 7</f>
        <v>0.47142857142857142</v>
      </c>
      <c r="G79" s="3">
        <f>_xlfn.XLOOKUP(A79, SKU_Master[SKUID], SKU_Master[LeadTimeDaysAvg], "Not Found", 0) / 7</f>
        <v>2.7142857142857144</v>
      </c>
      <c r="H79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79.735711271065341</v>
      </c>
      <c r="I79" s="4">
        <f xml:space="preserve"> (InventoryModel[[#This Row],[AvgWeeklyDemand]] * InventoryModel[[#This Row],[LeadTimeWeeks]]) + InventoryModel[[#This Row],[SafetyStock]]</f>
        <v>324.75219478754889</v>
      </c>
      <c r="J79">
        <f>_xlfn.XLOOKUP(A79,SKU_Master[SKUID],SKU_Master[CurrentStockLevel],"Not Found", 0)</f>
        <v>278</v>
      </c>
      <c r="K79" t="str">
        <f xml:space="preserve"> IF(InventoryModel[[#This Row],[CurrentStockLevel]] &lt; InventoryModel[[#This Row],[ReorderPoint]], "At Risk", "OK")</f>
        <v>At Risk</v>
      </c>
      <c r="L79" s="7">
        <f>(InventoryModel[[#This Row],[ReorderPoint]] - InventoryModel[[#This Row],[CurrentStockLevel]]) / InventoryModel[[#This Row],[ReorderPoint]]</f>
        <v>0.1439626753504589</v>
      </c>
      <c r="M79" s="3" t="str" cm="1">
        <f t="array" ref="M79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79" s="3">
        <f>AVERAGEIFS(DemandHistory[AbsPctError],DemandHistory[SKUID],A79)</f>
        <v>0.11206519406050135</v>
      </c>
      <c r="O79" s="3">
        <f>InventoryModel[[#This Row],[StdDevWeeklyDemand]] / InventoryModel[[#This Row],[AvgWeeklyDemand]]</f>
        <v>0.15396572282229237</v>
      </c>
      <c r="P79" s="3" t="str">
        <f>_xlfn.XLOOKUP(A79, SKU_Master[SKUID], SKU_Master[Category], "Not Found", 0)</f>
        <v>Accessories</v>
      </c>
    </row>
    <row r="80" spans="1:16" x14ac:dyDescent="0.25">
      <c r="A80" s="2" t="s">
        <v>173</v>
      </c>
      <c r="B80">
        <f>SUMIF(DemandHistory!A:A, A80, DemandHistory!C:C) * 2</f>
        <v>5038</v>
      </c>
      <c r="C80" s="4">
        <f>SQRT((2*B80*_xlfn.XLOOKUP(A80,SKU_Master!A:A,SKU_Master!E:E,,0))/_xlfn.XLOOKUP(A80,SKU_Master!A:A,SKU_Master!F:F,,0))</f>
        <v>102.0708803169079</v>
      </c>
      <c r="D80" s="3">
        <f>_xlfn.XLOOKUP(InventoryModel[[#This Row],[SKUID]], DemandSummary!$A:$A, DemandSummary!$B:$B)</f>
        <v>96.884615384615387</v>
      </c>
      <c r="E80" s="3">
        <f>_xlfn.XLOOKUP(InventoryModel[[#This Row],[SKUID]],DemandSummary!A:A,DemandSummary!C:C,,0)</f>
        <v>13.411418785727101</v>
      </c>
      <c r="F80" s="3">
        <f>_xlfn.XLOOKUP(A80, SKU_Master[SKUID], SKU_Master[LeadTimeDaysStdDev], "Not Found", 0) / 7</f>
        <v>0.34285714285714286</v>
      </c>
      <c r="G80" s="3">
        <f>_xlfn.XLOOKUP(A80, SKU_Master[SKUID], SKU_Master[LeadTimeDaysAvg], "Not Found", 0) / 7</f>
        <v>2</v>
      </c>
      <c r="H80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63.114173473838939</v>
      </c>
      <c r="I80" s="4">
        <f xml:space="preserve"> (InventoryModel[[#This Row],[AvgWeeklyDemand]] * InventoryModel[[#This Row],[LeadTimeWeeks]]) + InventoryModel[[#This Row],[SafetyStock]]</f>
        <v>256.88340424306972</v>
      </c>
      <c r="J80">
        <f>_xlfn.XLOOKUP(A80,SKU_Master[SKUID],SKU_Master[CurrentStockLevel],"Not Found", 0)</f>
        <v>259</v>
      </c>
      <c r="K80" t="str">
        <f xml:space="preserve"> IF(InventoryModel[[#This Row],[CurrentStockLevel]] &lt; InventoryModel[[#This Row],[ReorderPoint]], "At Risk", "OK")</f>
        <v>OK</v>
      </c>
      <c r="L80" s="7">
        <f>(InventoryModel[[#This Row],[ReorderPoint]] - InventoryModel[[#This Row],[CurrentStockLevel]]) / InventoryModel[[#This Row],[ReorderPoint]]</f>
        <v>-8.2395192603703701E-3</v>
      </c>
      <c r="M80" s="3" t="str" cm="1">
        <f t="array" ref="M80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80" s="3">
        <f>AVERAGEIFS(DemandHistory[AbsPctError],DemandHistory[SKUID],A80)</f>
        <v>7.6756244175061661E-2</v>
      </c>
      <c r="O80" s="3">
        <f>InventoryModel[[#This Row],[StdDevWeeklyDemand]] / InventoryModel[[#This Row],[AvgWeeklyDemand]]</f>
        <v>0.13842671235764376</v>
      </c>
      <c r="P80" s="3" t="str">
        <f>_xlfn.XLOOKUP(A80, SKU_Master[SKUID], SKU_Master[Category], "Not Found", 0)</f>
        <v>Blowers</v>
      </c>
    </row>
    <row r="81" spans="1:16" x14ac:dyDescent="0.25">
      <c r="A81" s="2" t="s">
        <v>175</v>
      </c>
      <c r="B81">
        <f>SUMIF(DemandHistory!A:A, A81, DemandHistory!C:C) * 2</f>
        <v>964</v>
      </c>
      <c r="C81" s="4">
        <f>SQRT((2*B81*_xlfn.XLOOKUP(A81,SKU_Master!A:A,SKU_Master!E:E,,0))/_xlfn.XLOOKUP(A81,SKU_Master!A:A,SKU_Master!F:F,,0))</f>
        <v>30.293662782488958</v>
      </c>
      <c r="D81" s="3">
        <f>_xlfn.XLOOKUP(InventoryModel[[#This Row],[SKUID]], DemandSummary!$A:$A, DemandSummary!$B:$B)</f>
        <v>18.53846153846154</v>
      </c>
      <c r="E81" s="3">
        <f>_xlfn.XLOOKUP(InventoryModel[[#This Row],[SKUID]],DemandSummary!A:A,DemandSummary!C:C,,0)</f>
        <v>2.4368958817441424</v>
      </c>
      <c r="F81" s="3">
        <f>_xlfn.XLOOKUP(A81, SKU_Master[SKUID], SKU_Master[LeadTimeDaysStdDev], "Not Found", 0) / 7</f>
        <v>0.17142857142857143</v>
      </c>
      <c r="G81" s="3">
        <f>_xlfn.XLOOKUP(A81, SKU_Master[SKUID], SKU_Master[LeadTimeDaysAvg], "Not Found", 0) / 7</f>
        <v>1.5714285714285714</v>
      </c>
      <c r="H81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7.2734297956764413</v>
      </c>
      <c r="I81" s="4">
        <f xml:space="preserve"> (InventoryModel[[#This Row],[AvgWeeklyDemand]] * InventoryModel[[#This Row],[LeadTimeWeeks]]) + InventoryModel[[#This Row],[SafetyStock]]</f>
        <v>36.405297927544574</v>
      </c>
      <c r="J81">
        <f>_xlfn.XLOOKUP(A81,SKU_Master[SKUID],SKU_Master[CurrentStockLevel],"Not Found", 0)</f>
        <v>73</v>
      </c>
      <c r="K81" t="str">
        <f xml:space="preserve"> IF(InventoryModel[[#This Row],[CurrentStockLevel]] &lt; InventoryModel[[#This Row],[ReorderPoint]], "At Risk", "OK")</f>
        <v>OK</v>
      </c>
      <c r="L81" s="7">
        <f>(InventoryModel[[#This Row],[ReorderPoint]] - InventoryModel[[#This Row],[CurrentStockLevel]]) / InventoryModel[[#This Row],[ReorderPoint]]</f>
        <v>-1.0052026533414948</v>
      </c>
      <c r="M81" s="3" t="str" cm="1">
        <f t="array" ref="M81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81" s="3">
        <f>AVERAGEIFS(DemandHistory[AbsPctError],DemandHistory[SKUID],A81)</f>
        <v>7.7316579476022204E-2</v>
      </c>
      <c r="O81" s="3">
        <f>InventoryModel[[#This Row],[StdDevWeeklyDemand]] / InventoryModel[[#This Row],[AvgWeeklyDemand]]</f>
        <v>0.13145081519781679</v>
      </c>
      <c r="P81" s="3" t="str">
        <f>_xlfn.XLOOKUP(A81, SKU_Master[SKUID], SKU_Master[Category], "Not Found", 0)</f>
        <v>Accessories</v>
      </c>
    </row>
    <row r="82" spans="1:16" x14ac:dyDescent="0.25">
      <c r="A82" s="2" t="s">
        <v>177</v>
      </c>
      <c r="B82">
        <f>SUMIF(DemandHistory!A:A, A82, DemandHistory!C:C) * 2</f>
        <v>4150</v>
      </c>
      <c r="C82" s="4">
        <f>SQRT((2*B82*_xlfn.XLOOKUP(A82,SKU_Master!A:A,SKU_Master!E:E,,0))/_xlfn.XLOOKUP(A82,SKU_Master!A:A,SKU_Master!F:F,,0))</f>
        <v>78.20392585358185</v>
      </c>
      <c r="D82" s="3">
        <f>_xlfn.XLOOKUP(InventoryModel[[#This Row],[SKUID]], DemandSummary!$A:$A, DemandSummary!$B:$B)</f>
        <v>79.807692307692307</v>
      </c>
      <c r="E82" s="3">
        <f>_xlfn.XLOOKUP(InventoryModel[[#This Row],[SKUID]],DemandSummary!A:A,DemandSummary!C:C,,0)</f>
        <v>14.677926912937629</v>
      </c>
      <c r="F82" s="3">
        <f>_xlfn.XLOOKUP(A82, SKU_Master[SKUID], SKU_Master[LeadTimeDaysStdDev], "Not Found", 0) / 7</f>
        <v>0.52857142857142858</v>
      </c>
      <c r="G82" s="3">
        <f>_xlfn.XLOOKUP(A82, SKU_Master[SKUID], SKU_Master[LeadTimeDaysAvg], "Not Found", 0) / 7</f>
        <v>1.8571428571428572</v>
      </c>
      <c r="H82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77.032227571544709</v>
      </c>
      <c r="I82" s="4">
        <f xml:space="preserve"> (InventoryModel[[#This Row],[AvgWeeklyDemand]] * InventoryModel[[#This Row],[LeadTimeWeeks]]) + InventoryModel[[#This Row],[SafetyStock]]</f>
        <v>225.24651328583042</v>
      </c>
      <c r="J82">
        <f>_xlfn.XLOOKUP(A82,SKU_Master[SKUID],SKU_Master[CurrentStockLevel],"Not Found", 0)</f>
        <v>230</v>
      </c>
      <c r="K82" t="str">
        <f xml:space="preserve"> IF(InventoryModel[[#This Row],[CurrentStockLevel]] &lt; InventoryModel[[#This Row],[ReorderPoint]], "At Risk", "OK")</f>
        <v>OK</v>
      </c>
      <c r="L82" s="7">
        <f>(InventoryModel[[#This Row],[ReorderPoint]] - InventoryModel[[#This Row],[CurrentStockLevel]]) / InventoryModel[[#This Row],[ReorderPoint]]</f>
        <v>-2.1103486330718756E-2</v>
      </c>
      <c r="M82" s="3" t="str" cm="1">
        <f t="array" ref="M82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82" s="3">
        <f>AVERAGEIFS(DemandHistory[AbsPctError],DemandHistory[SKUID],A82)</f>
        <v>0.12595230510482699</v>
      </c>
      <c r="O82" s="3">
        <f>InventoryModel[[#This Row],[StdDevWeeklyDemand]] / InventoryModel[[#This Row],[AvgWeeklyDemand]]</f>
        <v>0.18391619264403777</v>
      </c>
      <c r="P82" s="3" t="str">
        <f>_xlfn.XLOOKUP(A82, SKU_Master[SKUID], SKU_Master[Category], "Not Found", 0)</f>
        <v>Mowers</v>
      </c>
    </row>
    <row r="83" spans="1:16" x14ac:dyDescent="0.25">
      <c r="A83" s="2" t="s">
        <v>179</v>
      </c>
      <c r="B83">
        <f>SUMIF(DemandHistory!A:A, A83, DemandHistory!C:C) * 2</f>
        <v>2358</v>
      </c>
      <c r="C83" s="4">
        <f>SQRT((2*B83*_xlfn.XLOOKUP(A83,SKU_Master!A:A,SKU_Master!E:E,,0))/_xlfn.XLOOKUP(A83,SKU_Master!A:A,SKU_Master!F:F,,0))</f>
        <v>146.41645198329576</v>
      </c>
      <c r="D83" s="3">
        <f>_xlfn.XLOOKUP(InventoryModel[[#This Row],[SKUID]], DemandSummary!$A:$A, DemandSummary!$B:$B)</f>
        <v>45.346153846153847</v>
      </c>
      <c r="E83" s="3">
        <f>_xlfn.XLOOKUP(InventoryModel[[#This Row],[SKUID]],DemandSummary!A:A,DemandSummary!C:C,,0)</f>
        <v>7.5362712673698713</v>
      </c>
      <c r="F83" s="3">
        <f>_xlfn.XLOOKUP(A83, SKU_Master[SKUID], SKU_Master[LeadTimeDaysStdDev], "Not Found", 0) / 7</f>
        <v>0.21428571428571427</v>
      </c>
      <c r="G83" s="3">
        <f>_xlfn.XLOOKUP(A83, SKU_Master[SKUID], SKU_Master[LeadTimeDaysAvg], "Not Found", 0) / 7</f>
        <v>0.7142857142857143</v>
      </c>
      <c r="H83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19.170476665209399</v>
      </c>
      <c r="I83" s="4">
        <f xml:space="preserve"> (InventoryModel[[#This Row],[AvgWeeklyDemand]] * InventoryModel[[#This Row],[LeadTimeWeeks]]) + InventoryModel[[#This Row],[SafetyStock]]</f>
        <v>51.56058655531929</v>
      </c>
      <c r="J83">
        <f>_xlfn.XLOOKUP(A83,SKU_Master[SKUID],SKU_Master[CurrentStockLevel],"Not Found", 0)</f>
        <v>293</v>
      </c>
      <c r="K83" t="str">
        <f xml:space="preserve"> IF(InventoryModel[[#This Row],[CurrentStockLevel]] &lt; InventoryModel[[#This Row],[ReorderPoint]], "At Risk", "OK")</f>
        <v>OK</v>
      </c>
      <c r="L83" s="7">
        <f>(InventoryModel[[#This Row],[ReorderPoint]] - InventoryModel[[#This Row],[CurrentStockLevel]]) / InventoryModel[[#This Row],[ReorderPoint]]</f>
        <v>-4.6826351206389143</v>
      </c>
      <c r="M83" s="3" t="str" cm="1">
        <f t="array" ref="M83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83" s="3">
        <f>AVERAGEIFS(DemandHistory[AbsPctError],DemandHistory[SKUID],A83)</f>
        <v>9.9846089996774065E-2</v>
      </c>
      <c r="O83" s="3">
        <f>InventoryModel[[#This Row],[StdDevWeeklyDemand]] / InventoryModel[[#This Row],[AvgWeeklyDemand]]</f>
        <v>0.16619427731265196</v>
      </c>
      <c r="P83" s="3" t="str">
        <f>_xlfn.XLOOKUP(A83, SKU_Master[SKUID], SKU_Master[Category], "Not Found", 0)</f>
        <v>Small Parts</v>
      </c>
    </row>
    <row r="84" spans="1:16" x14ac:dyDescent="0.25">
      <c r="A84" s="2" t="s">
        <v>181</v>
      </c>
      <c r="B84">
        <f>SUMIF(DemandHistory!A:A, A84, DemandHistory!C:C) * 2</f>
        <v>1672</v>
      </c>
      <c r="C84" s="4">
        <f>SQRT((2*B84*_xlfn.XLOOKUP(A84,SKU_Master!A:A,SKU_Master!E:E,,0))/_xlfn.XLOOKUP(A84,SKU_Master!A:A,SKU_Master!F:F,,0))</f>
        <v>51.392430790384488</v>
      </c>
      <c r="D84" s="3">
        <f>_xlfn.XLOOKUP(InventoryModel[[#This Row],[SKUID]], DemandSummary!$A:$A, DemandSummary!$B:$B)</f>
        <v>32.153846153846153</v>
      </c>
      <c r="E84" s="3">
        <f>_xlfn.XLOOKUP(InventoryModel[[#This Row],[SKUID]],DemandSummary!A:A,DemandSummary!C:C,,0)</f>
        <v>13.472022291229505</v>
      </c>
      <c r="F84" s="3">
        <f>_xlfn.XLOOKUP(A84, SKU_Master[SKUID], SKU_Master[LeadTimeDaysStdDev], "Not Found", 0) / 7</f>
        <v>1.157142857142857</v>
      </c>
      <c r="G84" s="3">
        <f>_xlfn.XLOOKUP(A84, SKU_Master[SKUID], SKU_Master[LeadTimeDaysAvg], "Not Found", 0) / 7</f>
        <v>4.8571428571428568</v>
      </c>
      <c r="H84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78.542072939616091</v>
      </c>
      <c r="I84" s="4">
        <f xml:space="preserve"> (InventoryModel[[#This Row],[AvgWeeklyDemand]] * InventoryModel[[#This Row],[LeadTimeWeeks]]) + InventoryModel[[#This Row],[SafetyStock]]</f>
        <v>234.71789711544022</v>
      </c>
      <c r="J84">
        <f>_xlfn.XLOOKUP(A84,SKU_Master[SKUID],SKU_Master[CurrentStockLevel],"Not Found", 0)</f>
        <v>25</v>
      </c>
      <c r="K84" t="str">
        <f xml:space="preserve"> IF(InventoryModel[[#This Row],[CurrentStockLevel]] &lt; InventoryModel[[#This Row],[ReorderPoint]], "At Risk", "OK")</f>
        <v>At Risk</v>
      </c>
      <c r="L84" s="7">
        <f>(InventoryModel[[#This Row],[ReorderPoint]] - InventoryModel[[#This Row],[CurrentStockLevel]]) / InventoryModel[[#This Row],[ReorderPoint]]</f>
        <v>0.89348916163941106</v>
      </c>
      <c r="M84" s="3" t="str" cm="1">
        <f t="array" ref="M84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84" s="3">
        <f>AVERAGEIFS(DemandHistory[AbsPctError],DemandHistory[SKUID],A84)</f>
        <v>0.55367775348353521</v>
      </c>
      <c r="O84" s="3">
        <f>InventoryModel[[#This Row],[StdDevWeeklyDemand]] / InventoryModel[[#This Row],[AvgWeeklyDemand]]</f>
        <v>0.41898633920091766</v>
      </c>
      <c r="P84" s="3" t="str">
        <f>_xlfn.XLOOKUP(A84, SKU_Master[SKUID], SKU_Master[Category], "Not Found", 0)</f>
        <v>Accessories</v>
      </c>
    </row>
    <row r="85" spans="1:16" x14ac:dyDescent="0.25">
      <c r="A85" s="2" t="s">
        <v>183</v>
      </c>
      <c r="B85">
        <f>SUMIF(DemandHistory!A:A, A85, DemandHistory!C:C) * 2</f>
        <v>3438</v>
      </c>
      <c r="C85" s="4">
        <f>SQRT((2*B85*_xlfn.XLOOKUP(A85,SKU_Master!A:A,SKU_Master!E:E,,0))/_xlfn.XLOOKUP(A85,SKU_Master!A:A,SKU_Master!F:F,,0))</f>
        <v>41.887361994884699</v>
      </c>
      <c r="D85" s="3">
        <f>_xlfn.XLOOKUP(InventoryModel[[#This Row],[SKUID]], DemandSummary!$A:$A, DemandSummary!$B:$B)</f>
        <v>66.115384615384613</v>
      </c>
      <c r="E85" s="3">
        <f>_xlfn.XLOOKUP(InventoryModel[[#This Row],[SKUID]],DemandSummary!A:A,DemandSummary!C:C,,0)</f>
        <v>9.949178551325419</v>
      </c>
      <c r="F85" s="3">
        <f>_xlfn.XLOOKUP(A85, SKU_Master[SKUID], SKU_Master[LeadTimeDaysStdDev], "Not Found", 0) / 7</f>
        <v>0.19999999999999998</v>
      </c>
      <c r="G85" s="3">
        <f>_xlfn.XLOOKUP(A85, SKU_Master[SKUID], SKU_Master[LeadTimeDaysAvg], "Not Found", 0) / 7</f>
        <v>2.4285714285714284</v>
      </c>
      <c r="H85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33.622964154479135</v>
      </c>
      <c r="I85" s="4">
        <f xml:space="preserve"> (InventoryModel[[#This Row],[AvgWeeklyDemand]] * InventoryModel[[#This Row],[LeadTimeWeeks]]) + InventoryModel[[#This Row],[SafetyStock]]</f>
        <v>194.18889822041319</v>
      </c>
      <c r="J85">
        <f>_xlfn.XLOOKUP(A85,SKU_Master[SKUID],SKU_Master[CurrentStockLevel],"Not Found", 0)</f>
        <v>287</v>
      </c>
      <c r="K85" t="str">
        <f xml:space="preserve"> IF(InventoryModel[[#This Row],[CurrentStockLevel]] &lt; InventoryModel[[#This Row],[ReorderPoint]], "At Risk", "OK")</f>
        <v>OK</v>
      </c>
      <c r="L85" s="7">
        <f>(InventoryModel[[#This Row],[ReorderPoint]] - InventoryModel[[#This Row],[CurrentStockLevel]]) / InventoryModel[[#This Row],[ReorderPoint]]</f>
        <v>-0.47794236761280762</v>
      </c>
      <c r="M85" s="3" t="str" cm="1">
        <f t="array" ref="M85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WatchOverstock</v>
      </c>
      <c r="N85" s="3">
        <f>AVERAGEIFS(DemandHistory[AbsPctError],DemandHistory[SKUID],A85)</f>
        <v>0.12843784213719256</v>
      </c>
      <c r="O85" s="3">
        <f>InventoryModel[[#This Row],[StdDevWeeklyDemand]] / InventoryModel[[#This Row],[AvgWeeklyDemand]]</f>
        <v>0.15048204906018667</v>
      </c>
      <c r="P85" s="3" t="str">
        <f>_xlfn.XLOOKUP(A85, SKU_Master[SKUID], SKU_Master[Category], "Not Found", 0)</f>
        <v>Trimmers</v>
      </c>
    </row>
    <row r="86" spans="1:16" x14ac:dyDescent="0.25">
      <c r="A86" s="2" t="s">
        <v>185</v>
      </c>
      <c r="B86">
        <f>SUMIF(DemandHistory!A:A, A86, DemandHistory!C:C) * 2</f>
        <v>1970</v>
      </c>
      <c r="C86" s="4">
        <f>SQRT((2*B86*_xlfn.XLOOKUP(A86,SKU_Master!A:A,SKU_Master!E:E,,0))/_xlfn.XLOOKUP(A86,SKU_Master!A:A,SKU_Master!F:F,,0))</f>
        <v>84.263527219930538</v>
      </c>
      <c r="D86" s="3">
        <f>_xlfn.XLOOKUP(InventoryModel[[#This Row],[SKUID]], DemandSummary!$A:$A, DemandSummary!$B:$B)</f>
        <v>37.884615384615387</v>
      </c>
      <c r="E86" s="3">
        <f>_xlfn.XLOOKUP(InventoryModel[[#This Row],[SKUID]],DemandSummary!A:A,DemandSummary!C:C,,0)</f>
        <v>5.1328504601394496</v>
      </c>
      <c r="F86" s="3">
        <f>_xlfn.XLOOKUP(A86, SKU_Master[SKUID], SKU_Master[LeadTimeDaysStdDev], "Not Found", 0) / 7</f>
        <v>0.17142857142857143</v>
      </c>
      <c r="G86" s="3">
        <f>_xlfn.XLOOKUP(A86, SKU_Master[SKUID], SKU_Master[LeadTimeDaysAvg], "Not Found", 0) / 7</f>
        <v>2.2857142857142856</v>
      </c>
      <c r="H86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16.696694120507726</v>
      </c>
      <c r="I86" s="4">
        <f xml:space="preserve"> (InventoryModel[[#This Row],[AvgWeeklyDemand]] * InventoryModel[[#This Row],[LeadTimeWeeks]]) + InventoryModel[[#This Row],[SafetyStock]]</f>
        <v>103.29010071391433</v>
      </c>
      <c r="J86">
        <f>_xlfn.XLOOKUP(A86,SKU_Master[SKUID],SKU_Master[CurrentStockLevel],"Not Found", 0)</f>
        <v>149</v>
      </c>
      <c r="K86" t="str">
        <f xml:space="preserve"> IF(InventoryModel[[#This Row],[CurrentStockLevel]] &lt; InventoryModel[[#This Row],[ReorderPoint]], "At Risk", "OK")</f>
        <v>OK</v>
      </c>
      <c r="L86" s="7">
        <f>(InventoryModel[[#This Row],[ReorderPoint]] - InventoryModel[[#This Row],[CurrentStockLevel]]) / InventoryModel[[#This Row],[ReorderPoint]]</f>
        <v>-0.44253901361457421</v>
      </c>
      <c r="M86" s="3" t="str" cm="1">
        <f t="array" ref="M86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WatchOverstock</v>
      </c>
      <c r="N86" s="3">
        <f>AVERAGEIFS(DemandHistory[AbsPctError],DemandHistory[SKUID],A86)</f>
        <v>9.3029367396704449E-2</v>
      </c>
      <c r="O86" s="3">
        <f>InventoryModel[[#This Row],[StdDevWeeklyDemand]] / InventoryModel[[#This Row],[AvgWeeklyDemand]]</f>
        <v>0.13548640808489917</v>
      </c>
      <c r="P86" s="3" t="str">
        <f>_xlfn.XLOOKUP(A86, SKU_Master[SKUID], SKU_Master[Category], "Not Found", 0)</f>
        <v>Blowers</v>
      </c>
    </row>
    <row r="87" spans="1:16" x14ac:dyDescent="0.25">
      <c r="A87" s="2" t="s">
        <v>187</v>
      </c>
      <c r="B87">
        <f>SUMIF(DemandHistory!A:A, A87, DemandHistory!C:C) * 2</f>
        <v>1266</v>
      </c>
      <c r="C87" s="4">
        <f>SQRT((2*B87*_xlfn.XLOOKUP(A87,SKU_Master!A:A,SKU_Master!E:E,,0))/_xlfn.XLOOKUP(A87,SKU_Master!A:A,SKU_Master!F:F,,0))</f>
        <v>72.299205404825372</v>
      </c>
      <c r="D87" s="3">
        <f>_xlfn.XLOOKUP(InventoryModel[[#This Row],[SKUID]], DemandSummary!$A:$A, DemandSummary!$B:$B)</f>
        <v>24.346153846153847</v>
      </c>
      <c r="E87" s="3">
        <f>_xlfn.XLOOKUP(InventoryModel[[#This Row],[SKUID]],DemandSummary!A:A,DemandSummary!C:C,,0)</f>
        <v>2.8557634032574564</v>
      </c>
      <c r="F87" s="3">
        <f>_xlfn.XLOOKUP(A87, SKU_Master[SKUID], SKU_Master[LeadTimeDaysStdDev], "Not Found", 0) / 7</f>
        <v>0.25714285714285717</v>
      </c>
      <c r="G87" s="3">
        <f>_xlfn.XLOOKUP(A87, SKU_Master[SKUID], SKU_Master[LeadTimeDaysAvg], "Not Found", 0) / 7</f>
        <v>0.8571428571428571</v>
      </c>
      <c r="H87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11.213135011171973</v>
      </c>
      <c r="I87" s="4">
        <f xml:space="preserve"> (InventoryModel[[#This Row],[AvgWeeklyDemand]] * InventoryModel[[#This Row],[LeadTimeWeeks]]) + InventoryModel[[#This Row],[SafetyStock]]</f>
        <v>32.08126687930384</v>
      </c>
      <c r="J87">
        <f>_xlfn.XLOOKUP(A87,SKU_Master[SKUID],SKU_Master[CurrentStockLevel],"Not Found", 0)</f>
        <v>63</v>
      </c>
      <c r="K87" t="str">
        <f xml:space="preserve"> IF(InventoryModel[[#This Row],[CurrentStockLevel]] &lt; InventoryModel[[#This Row],[ReorderPoint]], "At Risk", "OK")</f>
        <v>OK</v>
      </c>
      <c r="L87" s="7">
        <f>(InventoryModel[[#This Row],[ReorderPoint]] - InventoryModel[[#This Row],[CurrentStockLevel]]) / InventoryModel[[#This Row],[ReorderPoint]]</f>
        <v>-0.96376284755270525</v>
      </c>
      <c r="M87" s="3" t="str" cm="1">
        <f t="array" ref="M87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87" s="3">
        <f>AVERAGEIFS(DemandHistory[AbsPctError],DemandHistory[SKUID],A87)</f>
        <v>0.10055901338824162</v>
      </c>
      <c r="O87" s="3">
        <f>InventoryModel[[#This Row],[StdDevWeeklyDemand]] / InventoryModel[[#This Row],[AvgWeeklyDemand]]</f>
        <v>0.11729833883837894</v>
      </c>
      <c r="P87" s="3" t="str">
        <f>_xlfn.XLOOKUP(A87, SKU_Master[SKUID], SKU_Master[Category], "Not Found", 0)</f>
        <v>Trimmers</v>
      </c>
    </row>
    <row r="88" spans="1:16" x14ac:dyDescent="0.25">
      <c r="A88" s="2" t="s">
        <v>189</v>
      </c>
      <c r="B88">
        <f>SUMIF(DemandHistory!A:A, A88, DemandHistory!C:C) * 2</f>
        <v>2434</v>
      </c>
      <c r="C88" s="4">
        <f>SQRT((2*B88*_xlfn.XLOOKUP(A88,SKU_Master!A:A,SKU_Master!E:E,,0))/_xlfn.XLOOKUP(A88,SKU_Master!A:A,SKU_Master!F:F,,0))</f>
        <v>46.914522257616063</v>
      </c>
      <c r="D88" s="3">
        <f>_xlfn.XLOOKUP(InventoryModel[[#This Row],[SKUID]], DemandSummary!$A:$A, DemandSummary!$B:$B)</f>
        <v>46.807692307692307</v>
      </c>
      <c r="E88" s="3">
        <f>_xlfn.XLOOKUP(InventoryModel[[#This Row],[SKUID]],DemandSummary!A:A,DemandSummary!C:C,,0)</f>
        <v>6.8353155348921852</v>
      </c>
      <c r="F88" s="3">
        <f>_xlfn.XLOOKUP(A88, SKU_Master[SKUID], SKU_Master[LeadTimeDaysStdDev], "Not Found", 0) / 7</f>
        <v>0.35714285714285715</v>
      </c>
      <c r="G88" s="3">
        <f>_xlfn.XLOOKUP(A88, SKU_Master[SKUID], SKU_Master[LeadTimeDaysAvg], "Not Found", 0) / 7</f>
        <v>2.5714285714285716</v>
      </c>
      <c r="H88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32.983507846453385</v>
      </c>
      <c r="I88" s="4">
        <f xml:space="preserve"> (InventoryModel[[#This Row],[AvgWeeklyDemand]] * InventoryModel[[#This Row],[LeadTimeWeeks]]) + InventoryModel[[#This Row],[SafetyStock]]</f>
        <v>153.34614520909076</v>
      </c>
      <c r="J88">
        <f>_xlfn.XLOOKUP(A88,SKU_Master[SKUID],SKU_Master[CurrentStockLevel],"Not Found", 0)</f>
        <v>98</v>
      </c>
      <c r="K88" t="str">
        <f xml:space="preserve"> IF(InventoryModel[[#This Row],[CurrentStockLevel]] &lt; InventoryModel[[#This Row],[ReorderPoint]], "At Risk", "OK")</f>
        <v>At Risk</v>
      </c>
      <c r="L88" s="7">
        <f>(InventoryModel[[#This Row],[ReorderPoint]] - InventoryModel[[#This Row],[CurrentStockLevel]]) / InventoryModel[[#This Row],[ReorderPoint]]</f>
        <v>0.36092296375383354</v>
      </c>
      <c r="M88" s="3" t="str" cm="1">
        <f t="array" ref="M88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88" s="3">
        <f>AVERAGEIFS(DemandHistory[AbsPctError],DemandHistory[SKUID],A88)</f>
        <v>7.5767986462657241E-2</v>
      </c>
      <c r="O88" s="3">
        <f>InventoryModel[[#This Row],[StdDevWeeklyDemand]] / InventoryModel[[#This Row],[AvgWeeklyDemand]]</f>
        <v>0.1460297484857821</v>
      </c>
      <c r="P88" s="3" t="str">
        <f>_xlfn.XLOOKUP(A88, SKU_Master[SKUID], SKU_Master[Category], "Not Found", 0)</f>
        <v>Chains &amp; Bars</v>
      </c>
    </row>
    <row r="89" spans="1:16" x14ac:dyDescent="0.25">
      <c r="A89" s="2" t="s">
        <v>191</v>
      </c>
      <c r="B89">
        <f>SUMIF(DemandHistory!A:A, A89, DemandHistory!C:C) * 2</f>
        <v>4864</v>
      </c>
      <c r="C89" s="4">
        <f>SQRT((2*B89*_xlfn.XLOOKUP(A89,SKU_Master!A:A,SKU_Master!E:E,,0))/_xlfn.XLOOKUP(A89,SKU_Master!A:A,SKU_Master!F:F,,0))</f>
        <v>109.50558285337026</v>
      </c>
      <c r="D89" s="3">
        <f>_xlfn.XLOOKUP(InventoryModel[[#This Row],[SKUID]], DemandSummary!$A:$A, DemandSummary!$B:$B)</f>
        <v>93.538461538461533</v>
      </c>
      <c r="E89" s="3">
        <f>_xlfn.XLOOKUP(InventoryModel[[#This Row],[SKUID]],DemandSummary!A:A,DemandSummary!C:C,,0)</f>
        <v>19.206729589871912</v>
      </c>
      <c r="F89" s="3">
        <f>_xlfn.XLOOKUP(A89, SKU_Master[SKUID], SKU_Master[LeadTimeDaysStdDev], "Not Found", 0) / 7</f>
        <v>0.52857142857142858</v>
      </c>
      <c r="G89" s="3">
        <f>_xlfn.XLOOKUP(A89, SKU_Master[SKUID], SKU_Master[LeadTimeDaysAvg], "Not Found", 0) / 7</f>
        <v>2.4285714285714284</v>
      </c>
      <c r="H89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95.363487155862018</v>
      </c>
      <c r="I89" s="4">
        <f xml:space="preserve"> (InventoryModel[[#This Row],[AvgWeeklyDemand]] * InventoryModel[[#This Row],[LeadTimeWeeks]]) + InventoryModel[[#This Row],[SafetyStock]]</f>
        <v>322.52832232069716</v>
      </c>
      <c r="J89">
        <f>_xlfn.XLOOKUP(A89,SKU_Master[SKUID],SKU_Master[CurrentStockLevel],"Not Found", 0)</f>
        <v>290</v>
      </c>
      <c r="K89" t="str">
        <f xml:space="preserve"> IF(InventoryModel[[#This Row],[CurrentStockLevel]] &lt; InventoryModel[[#This Row],[ReorderPoint]], "At Risk", "OK")</f>
        <v>At Risk</v>
      </c>
      <c r="L89" s="7">
        <f>(InventoryModel[[#This Row],[ReorderPoint]] - InventoryModel[[#This Row],[CurrentStockLevel]]) / InventoryModel[[#This Row],[ReorderPoint]]</f>
        <v>0.10085415781983176</v>
      </c>
      <c r="M89" s="3" t="str" cm="1">
        <f t="array" ref="M89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89" s="3">
        <f>AVERAGEIFS(DemandHistory[AbsPctError],DemandHistory[SKUID],A89)</f>
        <v>0.12346400558159824</v>
      </c>
      <c r="O89" s="3">
        <f>InventoryModel[[#This Row],[StdDevWeeklyDemand]] / InventoryModel[[#This Row],[AvgWeeklyDemand]]</f>
        <v>0.2053351025233017</v>
      </c>
      <c r="P89" s="3" t="str">
        <f>_xlfn.XLOOKUP(A89, SKU_Master[SKUID], SKU_Master[Category], "Not Found", 0)</f>
        <v>Small Parts</v>
      </c>
    </row>
    <row r="90" spans="1:16" x14ac:dyDescent="0.25">
      <c r="A90" s="2" t="s">
        <v>193</v>
      </c>
      <c r="B90">
        <f>SUMIF(DemandHistory!A:A, A90, DemandHistory!C:C) * 2</f>
        <v>1354</v>
      </c>
      <c r="C90" s="4">
        <f>SQRT((2*B90*_xlfn.XLOOKUP(A90,SKU_Master!A:A,SKU_Master!E:E,,0))/_xlfn.XLOOKUP(A90,SKU_Master!A:A,SKU_Master!F:F,,0))</f>
        <v>30.802180613415427</v>
      </c>
      <c r="D90" s="3">
        <f>_xlfn.XLOOKUP(InventoryModel[[#This Row],[SKUID]], DemandSummary!$A:$A, DemandSummary!$B:$B)</f>
        <v>26.03846153846154</v>
      </c>
      <c r="E90" s="3">
        <f>_xlfn.XLOOKUP(InventoryModel[[#This Row],[SKUID]],DemandSummary!A:A,DemandSummary!C:C,,0)</f>
        <v>6.1480453429087163</v>
      </c>
      <c r="F90" s="3">
        <f>_xlfn.XLOOKUP(A90, SKU_Master[SKUID], SKU_Master[LeadTimeDaysStdDev], "Not Found", 0) / 7</f>
        <v>0.39999999999999997</v>
      </c>
      <c r="G90" s="3">
        <f>_xlfn.XLOOKUP(A90, SKU_Master[SKUID], SKU_Master[LeadTimeDaysAvg], "Not Found", 0) / 7</f>
        <v>2.7142857142857144</v>
      </c>
      <c r="H90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23.971953939914442</v>
      </c>
      <c r="I90" s="4">
        <f xml:space="preserve"> (InventoryModel[[#This Row],[AvgWeeklyDemand]] * InventoryModel[[#This Row],[LeadTimeWeeks]]) + InventoryModel[[#This Row],[SafetyStock]]</f>
        <v>94.647778115738632</v>
      </c>
      <c r="J90">
        <f>_xlfn.XLOOKUP(A90,SKU_Master[SKUID],SKU_Master[CurrentStockLevel],"Not Found", 0)</f>
        <v>85</v>
      </c>
      <c r="K90" t="str">
        <f xml:space="preserve"> IF(InventoryModel[[#This Row],[CurrentStockLevel]] &lt; InventoryModel[[#This Row],[ReorderPoint]], "At Risk", "OK")</f>
        <v>At Risk</v>
      </c>
      <c r="L90" s="7">
        <f>(InventoryModel[[#This Row],[ReorderPoint]] - InventoryModel[[#This Row],[CurrentStockLevel]]) / InventoryModel[[#This Row],[ReorderPoint]]</f>
        <v>0.10193348758743168</v>
      </c>
      <c r="M90" s="3" t="str" cm="1">
        <f t="array" ref="M90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90" s="3">
        <f>AVERAGEIFS(DemandHistory[AbsPctError],DemandHistory[SKUID],A90)</f>
        <v>0.17457943808191873</v>
      </c>
      <c r="O90" s="3">
        <f>InventoryModel[[#This Row],[StdDevWeeklyDemand]] / InventoryModel[[#This Row],[AvgWeeklyDemand]]</f>
        <v>0.23611400135247654</v>
      </c>
      <c r="P90" s="3" t="str">
        <f>_xlfn.XLOOKUP(A90, SKU_Master[SKUID], SKU_Master[Category], "Not Found", 0)</f>
        <v>Blowers</v>
      </c>
    </row>
    <row r="91" spans="1:16" x14ac:dyDescent="0.25">
      <c r="A91" s="2" t="s">
        <v>195</v>
      </c>
      <c r="B91">
        <f>SUMIF(DemandHistory!A:A, A91, DemandHistory!C:C) * 2</f>
        <v>3920</v>
      </c>
      <c r="C91" s="4">
        <f>SQRT((2*B91*_xlfn.XLOOKUP(A91,SKU_Master!A:A,SKU_Master!E:E,,0))/_xlfn.XLOOKUP(A91,SKU_Master!A:A,SKU_Master!F:F,,0))</f>
        <v>130.74151502105212</v>
      </c>
      <c r="D91" s="3">
        <f>_xlfn.XLOOKUP(InventoryModel[[#This Row],[SKUID]], DemandSummary!$A:$A, DemandSummary!$B:$B)</f>
        <v>75.384615384615387</v>
      </c>
      <c r="E91" s="3">
        <f>_xlfn.XLOOKUP(InventoryModel[[#This Row],[SKUID]],DemandSummary!A:A,DemandSummary!C:C,,0)</f>
        <v>11.859433116559735</v>
      </c>
      <c r="F91" s="3">
        <f>_xlfn.XLOOKUP(A91, SKU_Master[SKUID], SKU_Master[LeadTimeDaysStdDev], "Not Found", 0) / 7</f>
        <v>0.34285714285714286</v>
      </c>
      <c r="G91" s="3">
        <f>_xlfn.XLOOKUP(A91, SKU_Master[SKUID], SKU_Master[LeadTimeDaysAvg], "Not Found", 0) / 7</f>
        <v>1.4285714285714286</v>
      </c>
      <c r="H91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48.638539398227195</v>
      </c>
      <c r="I91" s="4">
        <f xml:space="preserve"> (InventoryModel[[#This Row],[AvgWeeklyDemand]] * InventoryModel[[#This Row],[LeadTimeWeeks]]) + InventoryModel[[#This Row],[SafetyStock]]</f>
        <v>156.33084709053489</v>
      </c>
      <c r="J91">
        <f>_xlfn.XLOOKUP(A91,SKU_Master[SKUID],SKU_Master[CurrentStockLevel],"Not Found", 0)</f>
        <v>137</v>
      </c>
      <c r="K91" t="str">
        <f xml:space="preserve"> IF(InventoryModel[[#This Row],[CurrentStockLevel]] &lt; InventoryModel[[#This Row],[ReorderPoint]], "At Risk", "OK")</f>
        <v>At Risk</v>
      </c>
      <c r="L91" s="7">
        <f>(InventoryModel[[#This Row],[ReorderPoint]] - InventoryModel[[#This Row],[CurrentStockLevel]]) / InventoryModel[[#This Row],[ReorderPoint]]</f>
        <v>0.12365344044569744</v>
      </c>
      <c r="M91" s="3" t="str" cm="1">
        <f t="array" ref="M91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91" s="3">
        <f>AVERAGEIFS(DemandHistory[AbsPctError],DemandHistory[SKUID],A91)</f>
        <v>0.10481972379114561</v>
      </c>
      <c r="O91" s="3">
        <f>InventoryModel[[#This Row],[StdDevWeeklyDemand]] / InventoryModel[[#This Row],[AvgWeeklyDemand]]</f>
        <v>0.15731901072987403</v>
      </c>
      <c r="P91" s="3" t="str">
        <f>_xlfn.XLOOKUP(A91, SKU_Master[SKUID], SKU_Master[Category], "Not Found", 0)</f>
        <v>Chains &amp; Bars</v>
      </c>
    </row>
    <row r="92" spans="1:16" x14ac:dyDescent="0.25">
      <c r="A92" s="2" t="s">
        <v>197</v>
      </c>
      <c r="B92">
        <f>SUMIF(DemandHistory!A:A, A92, DemandHistory!C:C) * 2</f>
        <v>1558</v>
      </c>
      <c r="C92" s="4">
        <f>SQRT((2*B92*_xlfn.XLOOKUP(A92,SKU_Master!A:A,SKU_Master!E:E,,0))/_xlfn.XLOOKUP(A92,SKU_Master!A:A,SKU_Master!F:F,,0))</f>
        <v>84.155949996360476</v>
      </c>
      <c r="D92" s="3">
        <f>_xlfn.XLOOKUP(InventoryModel[[#This Row],[SKUID]], DemandSummary!$A:$A, DemandSummary!$B:$B)</f>
        <v>29.96153846153846</v>
      </c>
      <c r="E92" s="3">
        <f>_xlfn.XLOOKUP(InventoryModel[[#This Row],[SKUID]],DemandSummary!A:A,DemandSummary!C:C,,0)</f>
        <v>4.1132057495901613</v>
      </c>
      <c r="F92" s="3">
        <f>_xlfn.XLOOKUP(A92, SKU_Master[SKUID], SKU_Master[LeadTimeDaysStdDev], "Not Found", 0) / 7</f>
        <v>0.31428571428571433</v>
      </c>
      <c r="G92" s="3">
        <f>_xlfn.XLOOKUP(A92, SKU_Master[SKUID], SKU_Master[LeadTimeDaysAvg], "Not Found", 0) / 7</f>
        <v>1.8571428571428572</v>
      </c>
      <c r="H92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18.081633376015024</v>
      </c>
      <c r="I92" s="4">
        <f xml:space="preserve"> (InventoryModel[[#This Row],[AvgWeeklyDemand]] * InventoryModel[[#This Row],[LeadTimeWeeks]]) + InventoryModel[[#This Row],[SafetyStock]]</f>
        <v>73.724490518872159</v>
      </c>
      <c r="J92">
        <f>_xlfn.XLOOKUP(A92,SKU_Master[SKUID],SKU_Master[CurrentStockLevel],"Not Found", 0)</f>
        <v>111</v>
      </c>
      <c r="K92" t="str">
        <f xml:space="preserve"> IF(InventoryModel[[#This Row],[CurrentStockLevel]] &lt; InventoryModel[[#This Row],[ReorderPoint]], "At Risk", "OK")</f>
        <v>OK</v>
      </c>
      <c r="L92" s="7">
        <f>(InventoryModel[[#This Row],[ReorderPoint]] - InventoryModel[[#This Row],[CurrentStockLevel]]) / InventoryModel[[#This Row],[ReorderPoint]]</f>
        <v>-0.50560552156797844</v>
      </c>
      <c r="M92" s="3" t="str" cm="1">
        <f t="array" ref="M92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WatchOverstock</v>
      </c>
      <c r="N92" s="3">
        <f>AVERAGEIFS(DemandHistory[AbsPctError],DemandHistory[SKUID],A92)</f>
        <v>7.8067021316453461E-2</v>
      </c>
      <c r="O92" s="3">
        <f>InventoryModel[[#This Row],[StdDevWeeklyDemand]] / InventoryModel[[#This Row],[AvgWeeklyDemand]]</f>
        <v>0.13728286198888856</v>
      </c>
      <c r="P92" s="3" t="str">
        <f>_xlfn.XLOOKUP(A92, SKU_Master[SKUID], SKU_Master[Category], "Not Found", 0)</f>
        <v>Chains &amp; Bars</v>
      </c>
    </row>
    <row r="93" spans="1:16" x14ac:dyDescent="0.25">
      <c r="A93" s="2" t="s">
        <v>199</v>
      </c>
      <c r="B93">
        <f>SUMIF(DemandHistory!A:A, A93, DemandHistory!C:C) * 2</f>
        <v>2648</v>
      </c>
      <c r="C93" s="4">
        <f>SQRT((2*B93*_xlfn.XLOOKUP(A93,SKU_Master!A:A,SKU_Master!E:E,,0))/_xlfn.XLOOKUP(A93,SKU_Master!A:A,SKU_Master!F:F,,0))</f>
        <v>111.56961564238652</v>
      </c>
      <c r="D93" s="3">
        <f>_xlfn.XLOOKUP(InventoryModel[[#This Row],[SKUID]], DemandSummary!$A:$A, DemandSummary!$B:$B)</f>
        <v>50.92307692307692</v>
      </c>
      <c r="E93" s="3">
        <f>_xlfn.XLOOKUP(InventoryModel[[#This Row],[SKUID]],DemandSummary!A:A,DemandSummary!C:C,,0)</f>
        <v>7.7093350007537129</v>
      </c>
      <c r="F93" s="3">
        <f>_xlfn.XLOOKUP(A93, SKU_Master[SKUID], SKU_Master[LeadTimeDaysStdDev], "Not Found", 0) / 7</f>
        <v>0.17142857142857143</v>
      </c>
      <c r="G93" s="3">
        <f>_xlfn.XLOOKUP(A93, SKU_Master[SKUID], SKU_Master[LeadTimeDaysAvg], "Not Found", 0) / 7</f>
        <v>1.4285714285714286</v>
      </c>
      <c r="H93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20.943475320667936</v>
      </c>
      <c r="I93" s="4">
        <f xml:space="preserve"> (InventoryModel[[#This Row],[AvgWeeklyDemand]] * InventoryModel[[#This Row],[LeadTimeWeeks]]) + InventoryModel[[#This Row],[SafetyStock]]</f>
        <v>93.690728067920674</v>
      </c>
      <c r="J93">
        <f>_xlfn.XLOOKUP(A93,SKU_Master[SKUID],SKU_Master[CurrentStockLevel],"Not Found", 0)</f>
        <v>178</v>
      </c>
      <c r="K93" t="str">
        <f xml:space="preserve"> IF(InventoryModel[[#This Row],[CurrentStockLevel]] &lt; InventoryModel[[#This Row],[ReorderPoint]], "At Risk", "OK")</f>
        <v>OK</v>
      </c>
      <c r="L93" s="7">
        <f>(InventoryModel[[#This Row],[ReorderPoint]] - InventoryModel[[#This Row],[CurrentStockLevel]]) / InventoryModel[[#This Row],[ReorderPoint]]</f>
        <v>-0.89986782759292572</v>
      </c>
      <c r="M93" s="3" t="str" cm="1">
        <f t="array" ref="M93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93" s="3">
        <f>AVERAGEIFS(DemandHistory[AbsPctError],DemandHistory[SKUID],A93)</f>
        <v>0.12733747789005964</v>
      </c>
      <c r="O93" s="3">
        <f>InventoryModel[[#This Row],[StdDevWeeklyDemand]] / InventoryModel[[#This Row],[AvgWeeklyDemand]]</f>
        <v>0.15139177493927231</v>
      </c>
      <c r="P93" s="3" t="str">
        <f>_xlfn.XLOOKUP(A93, SKU_Master[SKUID], SKU_Master[Category], "Not Found", 0)</f>
        <v>Chains &amp; Bars</v>
      </c>
    </row>
    <row r="94" spans="1:16" x14ac:dyDescent="0.25">
      <c r="A94" s="2" t="s">
        <v>201</v>
      </c>
      <c r="B94">
        <f>SUMIF(DemandHistory!A:A, A94, DemandHistory!C:C) * 2</f>
        <v>1628</v>
      </c>
      <c r="C94" s="4">
        <f>SQRT((2*B94*_xlfn.XLOOKUP(A94,SKU_Master!A:A,SKU_Master!E:E,,0))/_xlfn.XLOOKUP(A94,SKU_Master!A:A,SKU_Master!F:F,,0))</f>
        <v>66.393322208117027</v>
      </c>
      <c r="D94" s="3">
        <f>_xlfn.XLOOKUP(InventoryModel[[#This Row],[SKUID]], DemandSummary!$A:$A, DemandSummary!$B:$B)</f>
        <v>31.307692307692307</v>
      </c>
      <c r="E94" s="3">
        <f>_xlfn.XLOOKUP(InventoryModel[[#This Row],[SKUID]],DemandSummary!A:A,DemandSummary!C:C,,0)</f>
        <v>6.3609384890547744</v>
      </c>
      <c r="F94" s="3">
        <f>_xlfn.XLOOKUP(A94, SKU_Master[SKUID], SKU_Master[LeadTimeDaysStdDev], "Not Found", 0) / 7</f>
        <v>0.32857142857142857</v>
      </c>
      <c r="G94" s="3">
        <f>_xlfn.XLOOKUP(A94, SKU_Master[SKUID], SKU_Master[LeadTimeDaysAvg], "Not Found", 0) / 7</f>
        <v>2.7142857142857144</v>
      </c>
      <c r="H94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24.229883500855721</v>
      </c>
      <c r="I94" s="4">
        <f xml:space="preserve"> (InventoryModel[[#This Row],[AvgWeeklyDemand]] * InventoryModel[[#This Row],[LeadTimeWeeks]]) + InventoryModel[[#This Row],[SafetyStock]]</f>
        <v>109.20790547887771</v>
      </c>
      <c r="J94">
        <f>_xlfn.XLOOKUP(A94,SKU_Master[SKUID],SKU_Master[CurrentStockLevel],"Not Found", 0)</f>
        <v>190</v>
      </c>
      <c r="K94" t="str">
        <f xml:space="preserve"> IF(InventoryModel[[#This Row],[CurrentStockLevel]] &lt; InventoryModel[[#This Row],[ReorderPoint]], "At Risk", "OK")</f>
        <v>OK</v>
      </c>
      <c r="L94" s="7">
        <f>(InventoryModel[[#This Row],[ReorderPoint]] - InventoryModel[[#This Row],[CurrentStockLevel]]) / InventoryModel[[#This Row],[ReorderPoint]]</f>
        <v>-0.73980078792691972</v>
      </c>
      <c r="M94" s="3" t="str" cm="1">
        <f t="array" ref="M94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WatchOverstock</v>
      </c>
      <c r="N94" s="3">
        <f>AVERAGEIFS(DemandHistory[AbsPctError],DemandHistory[SKUID],A94)</f>
        <v>0.12389903836085926</v>
      </c>
      <c r="O94" s="3">
        <f>InventoryModel[[#This Row],[StdDevWeeklyDemand]] / InventoryModel[[#This Row],[AvgWeeklyDemand]]</f>
        <v>0.20317493945383802</v>
      </c>
      <c r="P94" s="3" t="str">
        <f>_xlfn.XLOOKUP(A94, SKU_Master[SKUID], SKU_Master[Category], "Not Found", 0)</f>
        <v>Accessories</v>
      </c>
    </row>
    <row r="95" spans="1:16" x14ac:dyDescent="0.25">
      <c r="A95" s="2" t="s">
        <v>203</v>
      </c>
      <c r="B95">
        <f>SUMIF(DemandHistory!A:A, A95, DemandHistory!C:C) * 2</f>
        <v>4798</v>
      </c>
      <c r="C95" s="4">
        <f>SQRT((2*B95*_xlfn.XLOOKUP(A95,SKU_Master!A:A,SKU_Master!E:E,,0))/_xlfn.XLOOKUP(A95,SKU_Master!A:A,SKU_Master!F:F,,0))</f>
        <v>122.3892231825152</v>
      </c>
      <c r="D95" s="3">
        <f>_xlfn.XLOOKUP(InventoryModel[[#This Row],[SKUID]], DemandSummary!$A:$A, DemandSummary!$B:$B)</f>
        <v>92.269230769230774</v>
      </c>
      <c r="E95" s="3">
        <f>_xlfn.XLOOKUP(InventoryModel[[#This Row],[SKUID]],DemandSummary!A:A,DemandSummary!C:C,,0)</f>
        <v>48.268049633112533</v>
      </c>
      <c r="F95" s="3">
        <f>_xlfn.XLOOKUP(A95, SKU_Master[SKUID], SKU_Master[LeadTimeDaysStdDev], "Not Found", 0) / 7</f>
        <v>1.0571428571428572</v>
      </c>
      <c r="G95" s="3">
        <f>_xlfn.XLOOKUP(A95, SKU_Master[SKUID], SKU_Master[LeadTimeDaysAvg], "Not Found", 0) / 7</f>
        <v>4.4285714285714288</v>
      </c>
      <c r="H95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232.36371124764517</v>
      </c>
      <c r="I95" s="4">
        <f xml:space="preserve"> (InventoryModel[[#This Row],[AvgWeeklyDemand]] * InventoryModel[[#This Row],[LeadTimeWeeks]]) + InventoryModel[[#This Row],[SafetyStock]]</f>
        <v>640.98459036852432</v>
      </c>
      <c r="J95">
        <f>_xlfn.XLOOKUP(A95,SKU_Master[SKUID],SKU_Master[CurrentStockLevel],"Not Found", 0)</f>
        <v>21</v>
      </c>
      <c r="K95" t="str">
        <f xml:space="preserve"> IF(InventoryModel[[#This Row],[CurrentStockLevel]] &lt; InventoryModel[[#This Row],[ReorderPoint]], "At Risk", "OK")</f>
        <v>At Risk</v>
      </c>
      <c r="L95" s="7">
        <f>(InventoryModel[[#This Row],[ReorderPoint]] - InventoryModel[[#This Row],[CurrentStockLevel]]) / InventoryModel[[#This Row],[ReorderPoint]]</f>
        <v>0.9672379019471804</v>
      </c>
      <c r="M95" s="3" t="str" cm="1">
        <f t="array" ref="M95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95" s="3">
        <f>AVERAGEIFS(DemandHistory[AbsPctError],DemandHistory[SKUID],A95)</f>
        <v>0.51593348703581643</v>
      </c>
      <c r="O95" s="3">
        <f>InventoryModel[[#This Row],[StdDevWeeklyDemand]] / InventoryModel[[#This Row],[AvgWeeklyDemand]]</f>
        <v>0.52312183845807658</v>
      </c>
      <c r="P95" s="3" t="str">
        <f>_xlfn.XLOOKUP(A95, SKU_Master[SKUID], SKU_Master[Category], "Not Found", 0)</f>
        <v>Blowers</v>
      </c>
    </row>
    <row r="96" spans="1:16" x14ac:dyDescent="0.25">
      <c r="A96" s="2" t="s">
        <v>205</v>
      </c>
      <c r="B96">
        <f>SUMIF(DemandHistory!A:A, A96, DemandHistory!C:C) * 2</f>
        <v>6316</v>
      </c>
      <c r="C96" s="4">
        <f>SQRT((2*B96*_xlfn.XLOOKUP(A96,SKU_Master!A:A,SKU_Master!E:E,,0))/_xlfn.XLOOKUP(A96,SKU_Master!A:A,SKU_Master!F:F,,0))</f>
        <v>120.26124980897369</v>
      </c>
      <c r="D96" s="3">
        <f>_xlfn.XLOOKUP(InventoryModel[[#This Row],[SKUID]], DemandSummary!$A:$A, DemandSummary!$B:$B)</f>
        <v>121.46153846153847</v>
      </c>
      <c r="E96" s="3">
        <f>_xlfn.XLOOKUP(InventoryModel[[#This Row],[SKUID]],DemandSummary!A:A,DemandSummary!C:C,,0)</f>
        <v>23.546092277455774</v>
      </c>
      <c r="F96" s="3">
        <f>_xlfn.XLOOKUP(A96, SKU_Master[SKUID], SKU_Master[LeadTimeDaysStdDev], "Not Found", 0) / 7</f>
        <v>0.45714285714285718</v>
      </c>
      <c r="G96" s="3">
        <f>_xlfn.XLOOKUP(A96, SKU_Master[SKUID], SKU_Master[LeadTimeDaysAvg], "Not Found", 0) / 7</f>
        <v>2.5714285714285716</v>
      </c>
      <c r="H96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110.79235337744305</v>
      </c>
      <c r="I96" s="4">
        <f xml:space="preserve"> (InventoryModel[[#This Row],[AvgWeeklyDemand]] * InventoryModel[[#This Row],[LeadTimeWeeks]]) + InventoryModel[[#This Row],[SafetyStock]]</f>
        <v>423.12202370711339</v>
      </c>
      <c r="J96">
        <f>_xlfn.XLOOKUP(A96,SKU_Master[SKUID],SKU_Master[CurrentStockLevel],"Not Found", 0)</f>
        <v>103</v>
      </c>
      <c r="K96" t="str">
        <f xml:space="preserve"> IF(InventoryModel[[#This Row],[CurrentStockLevel]] &lt; InventoryModel[[#This Row],[ReorderPoint]], "At Risk", "OK")</f>
        <v>At Risk</v>
      </c>
      <c r="L96" s="7">
        <f>(InventoryModel[[#This Row],[ReorderPoint]] - InventoryModel[[#This Row],[CurrentStockLevel]]) / InventoryModel[[#This Row],[ReorderPoint]]</f>
        <v>0.75657140439634274</v>
      </c>
      <c r="M96" s="3" t="str" cm="1">
        <f t="array" ref="M96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96" s="3">
        <f>AVERAGEIFS(DemandHistory[AbsPctError],DemandHistory[SKUID],A96)</f>
        <v>0.1443325614437112</v>
      </c>
      <c r="O96" s="3">
        <f>InventoryModel[[#This Row],[StdDevWeeklyDemand]] / InventoryModel[[#This Row],[AvgWeeklyDemand]]</f>
        <v>0.19385636453890123</v>
      </c>
      <c r="P96" s="3" t="str">
        <f>_xlfn.XLOOKUP(A96, SKU_Master[SKUID], SKU_Master[Category], "Not Found", 0)</f>
        <v>Blowers</v>
      </c>
    </row>
    <row r="97" spans="1:16" x14ac:dyDescent="0.25">
      <c r="A97" s="2" t="s">
        <v>207</v>
      </c>
      <c r="B97">
        <f>SUMIF(DemandHistory!A:A, A97, DemandHistory!C:C) * 2</f>
        <v>3252</v>
      </c>
      <c r="C97" s="4">
        <f>SQRT((2*B97*_xlfn.XLOOKUP(A97,SKU_Master!A:A,SKU_Master!E:E,,0))/_xlfn.XLOOKUP(A97,SKU_Master!A:A,SKU_Master!F:F,,0))</f>
        <v>149.57271524891482</v>
      </c>
      <c r="D97" s="3">
        <f>_xlfn.XLOOKUP(InventoryModel[[#This Row],[SKUID]], DemandSummary!$A:$A, DemandSummary!$B:$B)</f>
        <v>62.53846153846154</v>
      </c>
      <c r="E97" s="3">
        <f>_xlfn.XLOOKUP(InventoryModel[[#This Row],[SKUID]],DemandSummary!A:A,DemandSummary!C:C,,0)</f>
        <v>8.0310934211015912</v>
      </c>
      <c r="F97" s="3">
        <f>_xlfn.XLOOKUP(A97, SKU_Master[SKUID], SKU_Master[LeadTimeDaysStdDev], "Not Found", 0) / 7</f>
        <v>0.19999999999999998</v>
      </c>
      <c r="G97" s="3">
        <f>_xlfn.XLOOKUP(A97, SKU_Master[SKUID], SKU_Master[LeadTimeDaysAvg], "Not Found", 0) / 7</f>
        <v>2.2857142857142856</v>
      </c>
      <c r="H97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28.762459141646641</v>
      </c>
      <c r="I97" s="4">
        <f xml:space="preserve"> (InventoryModel[[#This Row],[AvgWeeklyDemand]] * InventoryModel[[#This Row],[LeadTimeWeeks]]) + InventoryModel[[#This Row],[SafetyStock]]</f>
        <v>171.70751408670159</v>
      </c>
      <c r="J97">
        <f>_xlfn.XLOOKUP(A97,SKU_Master[SKUID],SKU_Master[CurrentStockLevel],"Not Found", 0)</f>
        <v>178</v>
      </c>
      <c r="K97" t="str">
        <f xml:space="preserve"> IF(InventoryModel[[#This Row],[CurrentStockLevel]] &lt; InventoryModel[[#This Row],[ReorderPoint]], "At Risk", "OK")</f>
        <v>OK</v>
      </c>
      <c r="L97" s="7">
        <f>(InventoryModel[[#This Row],[ReorderPoint]] - InventoryModel[[#This Row],[CurrentStockLevel]]) / InventoryModel[[#This Row],[ReorderPoint]]</f>
        <v>-3.6646537845286688E-2</v>
      </c>
      <c r="M97" s="3" t="str" cm="1">
        <f t="array" ref="M97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97" s="3">
        <f>AVERAGEIFS(DemandHistory[AbsPctError],DemandHistory[SKUID],A97)</f>
        <v>7.3803923647807773E-2</v>
      </c>
      <c r="O97" s="3">
        <f>InventoryModel[[#This Row],[StdDevWeeklyDemand]] / InventoryModel[[#This Row],[AvgWeeklyDemand]]</f>
        <v>0.12841846798809431</v>
      </c>
      <c r="P97" s="3" t="str">
        <f>_xlfn.XLOOKUP(A97, SKU_Master[SKUID], SKU_Master[Category], "Not Found", 0)</f>
        <v>Batteries</v>
      </c>
    </row>
    <row r="98" spans="1:16" x14ac:dyDescent="0.25">
      <c r="A98" s="2" t="s">
        <v>209</v>
      </c>
      <c r="B98">
        <f>SUMIF(DemandHistory!A:A, A98, DemandHistory!C:C) * 2</f>
        <v>3640</v>
      </c>
      <c r="C98" s="4">
        <f>SQRT((2*B98*_xlfn.XLOOKUP(A98,SKU_Master!A:A,SKU_Master!E:E,,0))/_xlfn.XLOOKUP(A98,SKU_Master!A:A,SKU_Master!F:F,,0))</f>
        <v>279.35723890042664</v>
      </c>
      <c r="D98" s="3">
        <f>_xlfn.XLOOKUP(InventoryModel[[#This Row],[SKUID]], DemandSummary!$A:$A, DemandSummary!$B:$B)</f>
        <v>70</v>
      </c>
      <c r="E98" s="3">
        <f>_xlfn.XLOOKUP(InventoryModel[[#This Row],[SKUID]],DemandSummary!A:A,DemandSummary!C:C,,0)</f>
        <v>12.856126943990558</v>
      </c>
      <c r="F98" s="3">
        <f>_xlfn.XLOOKUP(A98, SKU_Master[SKUID], SKU_Master[LeadTimeDaysStdDev], "Not Found", 0) / 7</f>
        <v>0.32857142857142857</v>
      </c>
      <c r="G98" s="3">
        <f>_xlfn.XLOOKUP(A98, SKU_Master[SKUID], SKU_Master[LeadTimeDaysAvg], "Not Found", 0) / 7</f>
        <v>2.7142857142857144</v>
      </c>
      <c r="H98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51.590335058308852</v>
      </c>
      <c r="I98" s="4">
        <f xml:space="preserve"> (InventoryModel[[#This Row],[AvgWeeklyDemand]] * InventoryModel[[#This Row],[LeadTimeWeeks]]) + InventoryModel[[#This Row],[SafetyStock]]</f>
        <v>241.59033505830885</v>
      </c>
      <c r="J98">
        <f>_xlfn.XLOOKUP(A98,SKU_Master[SKUID],SKU_Master[CurrentStockLevel],"Not Found", 0)</f>
        <v>129</v>
      </c>
      <c r="K98" t="str">
        <f xml:space="preserve"> IF(InventoryModel[[#This Row],[CurrentStockLevel]] &lt; InventoryModel[[#This Row],[ReorderPoint]], "At Risk", "OK")</f>
        <v>At Risk</v>
      </c>
      <c r="L98" s="7">
        <f>(InventoryModel[[#This Row],[ReorderPoint]] - InventoryModel[[#This Row],[CurrentStockLevel]]) / InventoryModel[[#This Row],[ReorderPoint]]</f>
        <v>0.4660382420974527</v>
      </c>
      <c r="M98" s="3" t="str" cm="1">
        <f t="array" ref="M98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98" s="3">
        <f>AVERAGEIFS(DemandHistory[AbsPctError],DemandHistory[SKUID],A98)</f>
        <v>0.14996981516434293</v>
      </c>
      <c r="O98" s="3">
        <f>InventoryModel[[#This Row],[StdDevWeeklyDemand]] / InventoryModel[[#This Row],[AvgWeeklyDemand]]</f>
        <v>0.18365895634272225</v>
      </c>
      <c r="P98" s="3" t="str">
        <f>_xlfn.XLOOKUP(A98, SKU_Master[SKUID], SKU_Master[Category], "Not Found", 0)</f>
        <v>Blowers</v>
      </c>
    </row>
    <row r="99" spans="1:16" x14ac:dyDescent="0.25">
      <c r="A99" s="2" t="s">
        <v>211</v>
      </c>
      <c r="B99">
        <f>SUMIF(DemandHistory!A:A, A99, DemandHistory!C:C) * 2</f>
        <v>3894</v>
      </c>
      <c r="C99" s="4">
        <f>SQRT((2*B99*_xlfn.XLOOKUP(A99,SKU_Master!A:A,SKU_Master!E:E,,0))/_xlfn.XLOOKUP(A99,SKU_Master!A:A,SKU_Master!F:F,,0))</f>
        <v>174.62660249630125</v>
      </c>
      <c r="D99" s="3">
        <f>_xlfn.XLOOKUP(InventoryModel[[#This Row],[SKUID]], DemandSummary!$A:$A, DemandSummary!$B:$B)</f>
        <v>74.884615384615387</v>
      </c>
      <c r="E99" s="3">
        <f>_xlfn.XLOOKUP(InventoryModel[[#This Row],[SKUID]],DemandSummary!A:A,DemandSummary!C:C,,0)</f>
        <v>10.926397111864175</v>
      </c>
      <c r="F99" s="3">
        <f>_xlfn.XLOOKUP(A99, SKU_Master[SKUID], SKU_Master[LeadTimeDaysStdDev], "Not Found", 0) / 7</f>
        <v>0.55714285714285716</v>
      </c>
      <c r="G99" s="3">
        <f>_xlfn.XLOOKUP(A99, SKU_Master[SKUID], SKU_Master[LeadTimeDaysAvg], "Not Found", 0) / 7</f>
        <v>2.8571428571428572</v>
      </c>
      <c r="H99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75.28378641401379</v>
      </c>
      <c r="I99" s="4">
        <f xml:space="preserve"> (InventoryModel[[#This Row],[AvgWeeklyDemand]] * InventoryModel[[#This Row],[LeadTimeWeeks]]) + InventoryModel[[#This Row],[SafetyStock]]</f>
        <v>289.23983037005775</v>
      </c>
      <c r="J99">
        <f>_xlfn.XLOOKUP(A99,SKU_Master[SKUID],SKU_Master[CurrentStockLevel],"Not Found", 0)</f>
        <v>175</v>
      </c>
      <c r="K99" t="str">
        <f xml:space="preserve"> IF(InventoryModel[[#This Row],[CurrentStockLevel]] &lt; InventoryModel[[#This Row],[ReorderPoint]], "At Risk", "OK")</f>
        <v>At Risk</v>
      </c>
      <c r="L99" s="7">
        <f>(InventoryModel[[#This Row],[ReorderPoint]] - InventoryModel[[#This Row],[CurrentStockLevel]]) / InventoryModel[[#This Row],[ReorderPoint]]</f>
        <v>0.39496576326952482</v>
      </c>
      <c r="M99" s="3" t="str" cm="1">
        <f t="array" ref="M99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99" s="3">
        <f>AVERAGEIFS(DemandHistory[AbsPctError],DemandHistory[SKUID],A99)</f>
        <v>0.11611175051132376</v>
      </c>
      <c r="O99" s="3">
        <f>InventoryModel[[#This Row],[StdDevWeeklyDemand]] / InventoryModel[[#This Row],[AvgWeeklyDemand]]</f>
        <v>0.14590977139623448</v>
      </c>
      <c r="P99" s="3" t="str">
        <f>_xlfn.XLOOKUP(A99, SKU_Master[SKUID], SKU_Master[Category], "Not Found", 0)</f>
        <v>Chainsaws</v>
      </c>
    </row>
    <row r="100" spans="1:16" x14ac:dyDescent="0.25">
      <c r="A100" s="2" t="s">
        <v>213</v>
      </c>
      <c r="B100">
        <f>SUMIF(DemandHistory!A:A, A100, DemandHistory!C:C) * 2</f>
        <v>5990</v>
      </c>
      <c r="C100" s="4">
        <f>SQRT((2*B100*_xlfn.XLOOKUP(A100,SKU_Master!A:A,SKU_Master!E:E,,0))/_xlfn.XLOOKUP(A100,SKU_Master!A:A,SKU_Master!F:F,,0))</f>
        <v>340.70974187000905</v>
      </c>
      <c r="D100" s="3">
        <f>_xlfn.XLOOKUP(InventoryModel[[#This Row],[SKUID]], DemandSummary!$A:$A, DemandSummary!$B:$B)</f>
        <v>115.19230769230769</v>
      </c>
      <c r="E100" s="3">
        <f>_xlfn.XLOOKUP(InventoryModel[[#This Row],[SKUID]],DemandSummary!A:A,DemandSummary!C:C,,0)</f>
        <v>23.903170050466894</v>
      </c>
      <c r="F100" s="3">
        <f>_xlfn.XLOOKUP(A100, SKU_Master[SKUID], SKU_Master[LeadTimeDaysStdDev], "Not Found", 0) / 7</f>
        <v>0.55714285714285716</v>
      </c>
      <c r="G100" s="3">
        <f>_xlfn.XLOOKUP(A100, SKU_Master[SKUID], SKU_Master[LeadTimeDaysAvg], "Not Found", 0) / 7</f>
        <v>2.7142857142857144</v>
      </c>
      <c r="H100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124.24102823697288</v>
      </c>
      <c r="I100" s="4">
        <f xml:space="preserve"> (InventoryModel[[#This Row],[AvgWeeklyDemand]] * InventoryModel[[#This Row],[LeadTimeWeeks]]) + InventoryModel[[#This Row],[SafetyStock]]</f>
        <v>436.90586340180812</v>
      </c>
      <c r="J100">
        <f>_xlfn.XLOOKUP(A100,SKU_Master[SKUID],SKU_Master[CurrentStockLevel],"Not Found", 0)</f>
        <v>113</v>
      </c>
      <c r="K100" t="str">
        <f xml:space="preserve"> IF(InventoryModel[[#This Row],[CurrentStockLevel]] &lt; InventoryModel[[#This Row],[ReorderPoint]], "At Risk", "OK")</f>
        <v>At Risk</v>
      </c>
      <c r="L100" s="7">
        <f>(InventoryModel[[#This Row],[ReorderPoint]] - InventoryModel[[#This Row],[CurrentStockLevel]]) / InventoryModel[[#This Row],[ReorderPoint]]</f>
        <v>0.74136304987951707</v>
      </c>
      <c r="M100" s="3" t="str" cm="1">
        <f t="array" ref="M100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100" s="3">
        <f>AVERAGEIFS(DemandHistory[AbsPctError],DemandHistory[SKUID],A100)</f>
        <v>0.12413499732915365</v>
      </c>
      <c r="O100" s="3">
        <f>InventoryModel[[#This Row],[StdDevWeeklyDemand]] / InventoryModel[[#This Row],[AvgWeeklyDemand]]</f>
        <v>0.20750665152325184</v>
      </c>
      <c r="P100" s="3" t="str">
        <f>_xlfn.XLOOKUP(A100, SKU_Master[SKUID], SKU_Master[Category], "Not Found", 0)</f>
        <v>Chainsaws</v>
      </c>
    </row>
    <row r="101" spans="1:16" x14ac:dyDescent="0.25">
      <c r="A101" s="2" t="s">
        <v>215</v>
      </c>
      <c r="B101">
        <f>SUMIF(DemandHistory!A:A, A101, DemandHistory!C:C) * 2</f>
        <v>5172</v>
      </c>
      <c r="C101" s="4">
        <f>SQRT((2*B101*_xlfn.XLOOKUP(A101,SKU_Master!A:A,SKU_Master!E:E,,0))/_xlfn.XLOOKUP(A101,SKU_Master!A:A,SKU_Master!F:F,,0))</f>
        <v>112.78480159720856</v>
      </c>
      <c r="D101" s="3">
        <f>_xlfn.XLOOKUP(InventoryModel[[#This Row],[SKUID]], DemandSummary!$A:$A, DemandSummary!$B:$B)</f>
        <v>99.461538461538467</v>
      </c>
      <c r="E101" s="3">
        <f>_xlfn.XLOOKUP(InventoryModel[[#This Row],[SKUID]],DemandSummary!A:A,DemandSummary!C:C,,0)</f>
        <v>15.892717248427385</v>
      </c>
      <c r="F101" s="3">
        <f>_xlfn.XLOOKUP(A101, SKU_Master[SKUID], SKU_Master[LeadTimeDaysStdDev], "Not Found", 0) / 7</f>
        <v>0.54285714285714282</v>
      </c>
      <c r="G101" s="3">
        <f>_xlfn.XLOOKUP(A101, SKU_Master[SKUID], SKU_Master[LeadTimeDaysAvg], "Not Found", 0) / 7</f>
        <v>1.1428571428571428</v>
      </c>
      <c r="H101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93.395670674677703</v>
      </c>
      <c r="I101" s="4">
        <f xml:space="preserve"> (InventoryModel[[#This Row],[AvgWeeklyDemand]] * InventoryModel[[#This Row],[LeadTimeWeeks]]) + InventoryModel[[#This Row],[SafetyStock]]</f>
        <v>207.06600034500735</v>
      </c>
      <c r="J101">
        <f>_xlfn.XLOOKUP(A101,SKU_Master[SKUID],SKU_Master[CurrentStockLevel],"Not Found", 0)</f>
        <v>234</v>
      </c>
      <c r="K101" t="str">
        <f xml:space="preserve"> IF(InventoryModel[[#This Row],[CurrentStockLevel]] &lt; InventoryModel[[#This Row],[ReorderPoint]], "At Risk", "OK")</f>
        <v>OK</v>
      </c>
      <c r="L101" s="7">
        <f>(InventoryModel[[#This Row],[ReorderPoint]] - InventoryModel[[#This Row],[CurrentStockLevel]]) / InventoryModel[[#This Row],[ReorderPoint]]</f>
        <v>-0.13007446712698367</v>
      </c>
      <c r="M101" s="3" t="str" cm="1">
        <f t="array" ref="M101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101" s="3">
        <f>AVERAGEIFS(DemandHistory[AbsPctError],DemandHistory[SKUID],A101)</f>
        <v>0.13256574437049506</v>
      </c>
      <c r="O101" s="3">
        <f>InventoryModel[[#This Row],[StdDevWeeklyDemand]] / InventoryModel[[#This Row],[AvgWeeklyDemand]]</f>
        <v>0.15978756707622274</v>
      </c>
      <c r="P101" s="3" t="str">
        <f>_xlfn.XLOOKUP(A101, SKU_Master[SKUID], SKU_Master[Category], "Not Found", 0)</f>
        <v>Trimmers</v>
      </c>
    </row>
    <row r="102" spans="1:16" x14ac:dyDescent="0.25">
      <c r="A102" s="2" t="s">
        <v>217</v>
      </c>
      <c r="B102">
        <f>SUMIF(DemandHistory!A:A, A102, DemandHistory!C:C) * 2</f>
        <v>1346</v>
      </c>
      <c r="C102" s="4">
        <f>SQRT((2*B102*_xlfn.XLOOKUP(A102,SKU_Master!A:A,SKU_Master!E:E,,0))/_xlfn.XLOOKUP(A102,SKU_Master!A:A,SKU_Master!F:F,,0))</f>
        <v>197.19139039127558</v>
      </c>
      <c r="D102" s="3">
        <f>_xlfn.XLOOKUP(InventoryModel[[#This Row],[SKUID]], DemandSummary!$A:$A, DemandSummary!$B:$B)</f>
        <v>25.884615384615383</v>
      </c>
      <c r="E102" s="3">
        <f>_xlfn.XLOOKUP(InventoryModel[[#This Row],[SKUID]],DemandSummary!A:A,DemandSummary!C:C,,0)</f>
        <v>4.1019695081940704</v>
      </c>
      <c r="F102" s="3">
        <f>_xlfn.XLOOKUP(A102, SKU_Master[SKUID], SKU_Master[LeadTimeDaysStdDev], "Not Found", 0) / 7</f>
        <v>0.24285714285714285</v>
      </c>
      <c r="G102" s="3">
        <f>_xlfn.XLOOKUP(A102, SKU_Master[SKUID], SKU_Master[LeadTimeDaysAvg], "Not Found", 0) / 7</f>
        <v>1.2857142857142858</v>
      </c>
      <c r="H102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12.902824674228279</v>
      </c>
      <c r="I102" s="4">
        <f xml:space="preserve"> (InventoryModel[[#This Row],[AvgWeeklyDemand]] * InventoryModel[[#This Row],[LeadTimeWeeks]]) + InventoryModel[[#This Row],[SafetyStock]]</f>
        <v>46.183044454448059</v>
      </c>
      <c r="J102">
        <f>_xlfn.XLOOKUP(A102,SKU_Master[SKUID],SKU_Master[CurrentStockLevel],"Not Found", 0)</f>
        <v>285</v>
      </c>
      <c r="K102" t="str">
        <f xml:space="preserve"> IF(InventoryModel[[#This Row],[CurrentStockLevel]] &lt; InventoryModel[[#This Row],[ReorderPoint]], "At Risk", "OK")</f>
        <v>OK</v>
      </c>
      <c r="L102" s="7">
        <f>(InventoryModel[[#This Row],[ReorderPoint]] - InventoryModel[[#This Row],[CurrentStockLevel]]) / InventoryModel[[#This Row],[ReorderPoint]]</f>
        <v>-5.1710959804978947</v>
      </c>
      <c r="M102" s="3" t="str" cm="1">
        <f t="array" ref="M102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102" s="3">
        <f>AVERAGEIFS(DemandHistory[AbsPctError],DemandHistory[SKUID],A102)</f>
        <v>0.11458159748676355</v>
      </c>
      <c r="O102" s="3">
        <f>InventoryModel[[#This Row],[StdDevWeeklyDemand]] / InventoryModel[[#This Row],[AvgWeeklyDemand]]</f>
        <v>0.15847133315460005</v>
      </c>
      <c r="P102" s="3" t="str">
        <f>_xlfn.XLOOKUP(A102, SKU_Master[SKUID], SKU_Master[Category], "Not Found", 0)</f>
        <v>Accessories</v>
      </c>
    </row>
    <row r="103" spans="1:16" x14ac:dyDescent="0.25">
      <c r="A103" s="2" t="s">
        <v>219</v>
      </c>
      <c r="B103">
        <f>SUMIF(DemandHistory!A:A, A103, DemandHistory!C:C) * 2</f>
        <v>1122</v>
      </c>
      <c r="C103" s="4">
        <f>SQRT((2*B103*_xlfn.XLOOKUP(A103,SKU_Master!A:A,SKU_Master!E:E,,0))/_xlfn.XLOOKUP(A103,SKU_Master!A:A,SKU_Master!F:F,,0))</f>
        <v>49.234378917466685</v>
      </c>
      <c r="D103" s="3">
        <f>_xlfn.XLOOKUP(InventoryModel[[#This Row],[SKUID]], DemandSummary!$A:$A, DemandSummary!$B:$B)</f>
        <v>21.576923076923077</v>
      </c>
      <c r="E103" s="3">
        <f>_xlfn.XLOOKUP(InventoryModel[[#This Row],[SKUID]],DemandSummary!A:A,DemandSummary!C:C,,0)</f>
        <v>9.691947490254277</v>
      </c>
      <c r="F103" s="3">
        <f>_xlfn.XLOOKUP(A103, SKU_Master[SKUID], SKU_Master[LeadTimeDaysStdDev], "Not Found", 0) / 7</f>
        <v>1.3142857142857143</v>
      </c>
      <c r="G103" s="3">
        <f>_xlfn.XLOOKUP(A103, SKU_Master[SKUID], SKU_Master[LeadTimeDaysAvg], "Not Found", 0) / 7</f>
        <v>4.1428571428571432</v>
      </c>
      <c r="H103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56.998948039250777</v>
      </c>
      <c r="I103" s="4">
        <f xml:space="preserve"> (InventoryModel[[#This Row],[AvgWeeklyDemand]] * InventoryModel[[#This Row],[LeadTimeWeeks]]) + InventoryModel[[#This Row],[SafetyStock]]</f>
        <v>146.38905792936066</v>
      </c>
      <c r="J103">
        <f>_xlfn.XLOOKUP(A103,SKU_Master[SKUID],SKU_Master[CurrentStockLevel],"Not Found", 0)</f>
        <v>32</v>
      </c>
      <c r="K103" t="str">
        <f xml:space="preserve"> IF(InventoryModel[[#This Row],[CurrentStockLevel]] &lt; InventoryModel[[#This Row],[ReorderPoint]], "At Risk", "OK")</f>
        <v>At Risk</v>
      </c>
      <c r="L103" s="7">
        <f>(InventoryModel[[#This Row],[ReorderPoint]] - InventoryModel[[#This Row],[CurrentStockLevel]]) / InventoryModel[[#This Row],[ReorderPoint]]</f>
        <v>0.78140442699316059</v>
      </c>
      <c r="M103" s="3" t="str" cm="1">
        <f t="array" ref="M103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103" s="3">
        <f>AVERAGEIFS(DemandHistory[AbsPctError],DemandHistory[SKUID],A103)</f>
        <v>0.46031099915616053</v>
      </c>
      <c r="O103" s="3">
        <f>InventoryModel[[#This Row],[StdDevWeeklyDemand]] / InventoryModel[[#This Row],[AvgWeeklyDemand]]</f>
        <v>0.44918116710625883</v>
      </c>
      <c r="P103" s="3" t="str">
        <f>_xlfn.XLOOKUP(A103, SKU_Master[SKUID], SKU_Master[Category], "Not Found", 0)</f>
        <v>Chainsaws</v>
      </c>
    </row>
    <row r="104" spans="1:16" x14ac:dyDescent="0.25">
      <c r="A104" s="2" t="s">
        <v>221</v>
      </c>
      <c r="B104">
        <f>SUMIF(DemandHistory!A:A, A104, DemandHistory!C:C) * 2</f>
        <v>3484</v>
      </c>
      <c r="C104" s="4">
        <f>SQRT((2*B104*_xlfn.XLOOKUP(A104,SKU_Master!A:A,SKU_Master!E:E,,0))/_xlfn.XLOOKUP(A104,SKU_Master!A:A,SKU_Master!F:F,,0))</f>
        <v>157.32439362918151</v>
      </c>
      <c r="D104" s="3">
        <f>_xlfn.XLOOKUP(InventoryModel[[#This Row],[SKUID]], DemandSummary!$A:$A, DemandSummary!$B:$B)</f>
        <v>67</v>
      </c>
      <c r="E104" s="3">
        <f>_xlfn.XLOOKUP(InventoryModel[[#This Row],[SKUID]],DemandSummary!A:A,DemandSummary!C:C,,0)</f>
        <v>12.396773773849388</v>
      </c>
      <c r="F104" s="3">
        <f>_xlfn.XLOOKUP(A104, SKU_Master[SKUID], SKU_Master[LeadTimeDaysStdDev], "Not Found", 0) / 7</f>
        <v>0.31428571428571433</v>
      </c>
      <c r="G104" s="3">
        <f>_xlfn.XLOOKUP(A104, SKU_Master[SKUID], SKU_Master[LeadTimeDaysAvg], "Not Found", 0) / 7</f>
        <v>1.5714285714285714</v>
      </c>
      <c r="H104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43.181493272286104</v>
      </c>
      <c r="I104" s="4">
        <f xml:space="preserve"> (InventoryModel[[#This Row],[AvgWeeklyDemand]] * InventoryModel[[#This Row],[LeadTimeWeeks]]) + InventoryModel[[#This Row],[SafetyStock]]</f>
        <v>148.46720755800038</v>
      </c>
      <c r="J104">
        <f>_xlfn.XLOOKUP(A104,SKU_Master[SKUID],SKU_Master[CurrentStockLevel],"Not Found", 0)</f>
        <v>107</v>
      </c>
      <c r="K104" t="str">
        <f xml:space="preserve"> IF(InventoryModel[[#This Row],[CurrentStockLevel]] &lt; InventoryModel[[#This Row],[ReorderPoint]], "At Risk", "OK")</f>
        <v>At Risk</v>
      </c>
      <c r="L104" s="7">
        <f>(InventoryModel[[#This Row],[ReorderPoint]] - InventoryModel[[#This Row],[CurrentStockLevel]]) / InventoryModel[[#This Row],[ReorderPoint]]</f>
        <v>0.27930213169666274</v>
      </c>
      <c r="M104" s="3" t="str" cm="1">
        <f t="array" ref="M104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104" s="3">
        <f>AVERAGEIFS(DemandHistory[AbsPctError],DemandHistory[SKUID],A104)</f>
        <v>0.14707159854644289</v>
      </c>
      <c r="O104" s="3">
        <f>InventoryModel[[#This Row],[StdDevWeeklyDemand]] / InventoryModel[[#This Row],[AvgWeeklyDemand]]</f>
        <v>0.18502647423655802</v>
      </c>
      <c r="P104" s="3" t="str">
        <f>_xlfn.XLOOKUP(A104, SKU_Master[SKUID], SKU_Master[Category], "Not Found", 0)</f>
        <v>Trimmers</v>
      </c>
    </row>
    <row r="105" spans="1:16" x14ac:dyDescent="0.25">
      <c r="A105" s="2" t="s">
        <v>223</v>
      </c>
      <c r="B105">
        <f>SUMIF(DemandHistory!A:A, A105, DemandHistory!C:C) * 2</f>
        <v>4518</v>
      </c>
      <c r="C105" s="4">
        <f>SQRT((2*B105*_xlfn.XLOOKUP(A105,SKU_Master!A:A,SKU_Master!E:E,,0))/_xlfn.XLOOKUP(A105,SKU_Master!A:A,SKU_Master!F:F,,0))</f>
        <v>417.55154767289366</v>
      </c>
      <c r="D105" s="3">
        <f>_xlfn.XLOOKUP(InventoryModel[[#This Row],[SKUID]], DemandSummary!$A:$A, DemandSummary!$B:$B)</f>
        <v>86.884615384615387</v>
      </c>
      <c r="E105" s="3">
        <f>_xlfn.XLOOKUP(InventoryModel[[#This Row],[SKUID]],DemandSummary!A:A,DemandSummary!C:C,,0)</f>
        <v>13.842909876400762</v>
      </c>
      <c r="F105" s="3">
        <f>_xlfn.XLOOKUP(A105, SKU_Master[SKUID], SKU_Master[LeadTimeDaysStdDev], "Not Found", 0) / 7</f>
        <v>0.41428571428571426</v>
      </c>
      <c r="G105" s="3">
        <f>_xlfn.XLOOKUP(A105, SKU_Master[SKUID], SKU_Master[LeadTimeDaysAvg], "Not Found", 0) / 7</f>
        <v>2.1428571428571428</v>
      </c>
      <c r="H105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68.15661399204447</v>
      </c>
      <c r="I105" s="4">
        <f xml:space="preserve"> (InventoryModel[[#This Row],[AvgWeeklyDemand]] * InventoryModel[[#This Row],[LeadTimeWeeks]]) + InventoryModel[[#This Row],[SafetyStock]]</f>
        <v>254.33793267336316</v>
      </c>
      <c r="J105">
        <f>_xlfn.XLOOKUP(A105,SKU_Master[SKUID],SKU_Master[CurrentStockLevel],"Not Found", 0)</f>
        <v>276</v>
      </c>
      <c r="K105" t="str">
        <f xml:space="preserve"> IF(InventoryModel[[#This Row],[CurrentStockLevel]] &lt; InventoryModel[[#This Row],[ReorderPoint]], "At Risk", "OK")</f>
        <v>OK</v>
      </c>
      <c r="L105" s="7">
        <f>(InventoryModel[[#This Row],[ReorderPoint]] - InventoryModel[[#This Row],[CurrentStockLevel]]) / InventoryModel[[#This Row],[ReorderPoint]]</f>
        <v>-8.5170415198965385E-2</v>
      </c>
      <c r="M105" s="3" t="str" cm="1">
        <f t="array" ref="M105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105" s="3">
        <f>AVERAGEIFS(DemandHistory[AbsPctError],DemandHistory[SKUID],A105)</f>
        <v>0.15248900518763878</v>
      </c>
      <c r="O105" s="3">
        <f>InventoryModel[[#This Row],[StdDevWeeklyDemand]] / InventoryModel[[#This Row],[AvgWeeklyDemand]]</f>
        <v>0.15932521327420088</v>
      </c>
      <c r="P105" s="3" t="str">
        <f>_xlfn.XLOOKUP(A105, SKU_Master[SKUID], SKU_Master[Category], "Not Found", 0)</f>
        <v>Chainsaws</v>
      </c>
    </row>
    <row r="106" spans="1:16" x14ac:dyDescent="0.25">
      <c r="A106" s="2" t="s">
        <v>225</v>
      </c>
      <c r="B106">
        <f>SUMIF(DemandHistory!A:A, A106, DemandHistory!C:C) * 2</f>
        <v>6026</v>
      </c>
      <c r="C106" s="4">
        <f>SQRT((2*B106*_xlfn.XLOOKUP(A106,SKU_Master!A:A,SKU_Master!E:E,,0))/_xlfn.XLOOKUP(A106,SKU_Master!A:A,SKU_Master!F:F,,0))</f>
        <v>117.28710278101543</v>
      </c>
      <c r="D106" s="3">
        <f>_xlfn.XLOOKUP(InventoryModel[[#This Row],[SKUID]], DemandSummary!$A:$A, DemandSummary!$B:$B)</f>
        <v>115.88461538461539</v>
      </c>
      <c r="E106" s="3">
        <f>_xlfn.XLOOKUP(InventoryModel[[#This Row],[SKUID]],DemandSummary!A:A,DemandSummary!C:C,,0)</f>
        <v>19.938559472693981</v>
      </c>
      <c r="F106" s="3">
        <f>_xlfn.XLOOKUP(A106, SKU_Master[SKUID], SKU_Master[LeadTimeDaysStdDev], "Not Found", 0) / 7</f>
        <v>0.44285714285714289</v>
      </c>
      <c r="G106" s="3">
        <f>_xlfn.XLOOKUP(A106, SKU_Master[SKUID], SKU_Master[LeadTimeDaysAvg], "Not Found", 0) / 7</f>
        <v>2.5714285714285716</v>
      </c>
      <c r="H106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99.767544046033407</v>
      </c>
      <c r="I106" s="4">
        <f xml:space="preserve"> (InventoryModel[[#This Row],[AvgWeeklyDemand]] * InventoryModel[[#This Row],[LeadTimeWeeks]]) + InventoryModel[[#This Row],[SafetyStock]]</f>
        <v>397.75655503504447</v>
      </c>
      <c r="J106">
        <f>_xlfn.XLOOKUP(A106,SKU_Master[SKUID],SKU_Master[CurrentStockLevel],"Not Found", 0)</f>
        <v>128</v>
      </c>
      <c r="K106" t="str">
        <f xml:space="preserve"> IF(InventoryModel[[#This Row],[CurrentStockLevel]] &lt; InventoryModel[[#This Row],[ReorderPoint]], "At Risk", "OK")</f>
        <v>At Risk</v>
      </c>
      <c r="L106" s="7">
        <f>(InventoryModel[[#This Row],[ReorderPoint]] - InventoryModel[[#This Row],[CurrentStockLevel]]) / InventoryModel[[#This Row],[ReorderPoint]]</f>
        <v>0.67819512116218295</v>
      </c>
      <c r="M106" s="3" t="str" cm="1">
        <f t="array" ref="M106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106" s="3">
        <f>AVERAGEIFS(DemandHistory[AbsPctError],DemandHistory[SKUID],A106)</f>
        <v>0.10521467135281505</v>
      </c>
      <c r="O106" s="3">
        <f>InventoryModel[[#This Row],[StdDevWeeklyDemand]] / InventoryModel[[#This Row],[AvgWeeklyDemand]]</f>
        <v>0.17205527590110969</v>
      </c>
      <c r="P106" s="3" t="str">
        <f>_xlfn.XLOOKUP(A106, SKU_Master[SKUID], SKU_Master[Category], "Not Found", 0)</f>
        <v>Blowers</v>
      </c>
    </row>
    <row r="107" spans="1:16" x14ac:dyDescent="0.25">
      <c r="A107" s="2" t="s">
        <v>227</v>
      </c>
      <c r="B107">
        <f>SUMIF(DemandHistory!A:A, A107, DemandHistory!C:C) * 2</f>
        <v>6022</v>
      </c>
      <c r="C107" s="4">
        <f>SQRT((2*B107*_xlfn.XLOOKUP(A107,SKU_Master!A:A,SKU_Master!E:E,,0))/_xlfn.XLOOKUP(A107,SKU_Master!A:A,SKU_Master!F:F,,0))</f>
        <v>444.48317971792159</v>
      </c>
      <c r="D107" s="3">
        <f>_xlfn.XLOOKUP(InventoryModel[[#This Row],[SKUID]], DemandSummary!$A:$A, DemandSummary!$B:$B)</f>
        <v>115.80769230769231</v>
      </c>
      <c r="E107" s="3">
        <f>_xlfn.XLOOKUP(InventoryModel[[#This Row],[SKUID]],DemandSummary!A:A,DemandSummary!C:C,,0)</f>
        <v>12.425841559489545</v>
      </c>
      <c r="F107" s="3">
        <f>_xlfn.XLOOKUP(A107, SKU_Master[SKUID], SKU_Master[LeadTimeDaysStdDev], "Not Found", 0) / 7</f>
        <v>0.17142857142857143</v>
      </c>
      <c r="G107" s="3">
        <f>_xlfn.XLOOKUP(A107, SKU_Master[SKUID], SKU_Master[LeadTimeDaysAvg], "Not Found", 0) / 7</f>
        <v>2.5714285714285716</v>
      </c>
      <c r="H107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46.410605090294119</v>
      </c>
      <c r="I107" s="4">
        <f xml:space="preserve"> (InventoryModel[[#This Row],[AvgWeeklyDemand]] * InventoryModel[[#This Row],[LeadTimeWeeks]]) + InventoryModel[[#This Row],[SafetyStock]]</f>
        <v>344.20181388150291</v>
      </c>
      <c r="J107">
        <f>_xlfn.XLOOKUP(A107,SKU_Master[SKUID],SKU_Master[CurrentStockLevel],"Not Found", 0)</f>
        <v>108</v>
      </c>
      <c r="K107" t="str">
        <f xml:space="preserve"> IF(InventoryModel[[#This Row],[CurrentStockLevel]] &lt; InventoryModel[[#This Row],[ReorderPoint]], "At Risk", "OK")</f>
        <v>At Risk</v>
      </c>
      <c r="L107" s="7">
        <f>(InventoryModel[[#This Row],[ReorderPoint]] - InventoryModel[[#This Row],[CurrentStockLevel]]) / InventoryModel[[#This Row],[ReorderPoint]]</f>
        <v>0.68623059018166366</v>
      </c>
      <c r="M107" s="3" t="str" cm="1">
        <f t="array" ref="M107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107" s="3">
        <f>AVERAGEIFS(DemandHistory[AbsPctError],DemandHistory[SKUID],A107)</f>
        <v>6.4850452993615859E-2</v>
      </c>
      <c r="O107" s="3">
        <f>InventoryModel[[#This Row],[StdDevWeeklyDemand]] / InventoryModel[[#This Row],[AvgWeeklyDemand]]</f>
        <v>0.10729720376842516</v>
      </c>
      <c r="P107" s="3" t="str">
        <f>_xlfn.XLOOKUP(A107, SKU_Master[SKUID], SKU_Master[Category], "Not Found", 0)</f>
        <v>Chainsaws</v>
      </c>
    </row>
    <row r="108" spans="1:16" x14ac:dyDescent="0.25">
      <c r="A108" s="2" t="s">
        <v>229</v>
      </c>
      <c r="B108">
        <f>SUMIF(DemandHistory!A:A, A108, DemandHistory!C:C) * 2</f>
        <v>6282</v>
      </c>
      <c r="C108" s="4">
        <f>SQRT((2*B108*_xlfn.XLOOKUP(A108,SKU_Master!A:A,SKU_Master!E:E,,0))/_xlfn.XLOOKUP(A108,SKU_Master!A:A,SKU_Master!F:F,,0))</f>
        <v>93.622812390197382</v>
      </c>
      <c r="D108" s="3">
        <f>_xlfn.XLOOKUP(InventoryModel[[#This Row],[SKUID]], DemandSummary!$A:$A, DemandSummary!$B:$B)</f>
        <v>120.80769230769231</v>
      </c>
      <c r="E108" s="3">
        <f>_xlfn.XLOOKUP(InventoryModel[[#This Row],[SKUID]],DemandSummary!A:A,DemandSummary!C:C,,0)</f>
        <v>12.445141158763027</v>
      </c>
      <c r="F108" s="3">
        <f>_xlfn.XLOOKUP(A108, SKU_Master[SKUID], SKU_Master[LeadTimeDaysStdDev], "Not Found", 0) / 7</f>
        <v>0.45714285714285718</v>
      </c>
      <c r="G108" s="3">
        <f>_xlfn.XLOOKUP(A108, SKU_Master[SKUID], SKU_Master[LeadTimeDaysAvg], "Not Found", 0) / 7</f>
        <v>2.1428571428571428</v>
      </c>
      <c r="H108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95.953442297498</v>
      </c>
      <c r="I108" s="4">
        <f xml:space="preserve"> (InventoryModel[[#This Row],[AvgWeeklyDemand]] * InventoryModel[[#This Row],[LeadTimeWeeks]]) + InventoryModel[[#This Row],[SafetyStock]]</f>
        <v>354.82706867112432</v>
      </c>
      <c r="J108">
        <f>_xlfn.XLOOKUP(A108,SKU_Master[SKUID],SKU_Master[CurrentStockLevel],"Not Found", 0)</f>
        <v>142</v>
      </c>
      <c r="K108" t="str">
        <f xml:space="preserve"> IF(InventoryModel[[#This Row],[CurrentStockLevel]] &lt; InventoryModel[[#This Row],[ReorderPoint]], "At Risk", "OK")</f>
        <v>At Risk</v>
      </c>
      <c r="L108" s="7">
        <f>(InventoryModel[[#This Row],[ReorderPoint]] - InventoryModel[[#This Row],[CurrentStockLevel]]) / InventoryModel[[#This Row],[ReorderPoint]]</f>
        <v>0.59980505283373864</v>
      </c>
      <c r="M108" s="3" t="str" cm="1">
        <f t="array" ref="M108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108" s="3">
        <f>AVERAGEIFS(DemandHistory[AbsPctError],DemandHistory[SKUID],A108)</f>
        <v>5.5010417856546867E-2</v>
      </c>
      <c r="O108" s="3">
        <f>InventoryModel[[#This Row],[StdDevWeeklyDemand]] / InventoryModel[[#This Row],[AvgWeeklyDemand]]</f>
        <v>0.1030161318458576</v>
      </c>
      <c r="P108" s="3" t="str">
        <f>_xlfn.XLOOKUP(A108, SKU_Master[SKUID], SKU_Master[Category], "Not Found", 0)</f>
        <v>Batteries</v>
      </c>
    </row>
    <row r="109" spans="1:16" x14ac:dyDescent="0.25">
      <c r="A109" s="2" t="s">
        <v>231</v>
      </c>
      <c r="B109">
        <f>SUMIF(DemandHistory!A:A, A109, DemandHistory!C:C) * 2</f>
        <v>5898</v>
      </c>
      <c r="C109" s="4">
        <f>SQRT((2*B109*_xlfn.XLOOKUP(A109,SKU_Master!A:A,SKU_Master!E:E,,0))/_xlfn.XLOOKUP(A109,SKU_Master!A:A,SKU_Master!F:F,,0))</f>
        <v>218.7003332160065</v>
      </c>
      <c r="D109" s="3">
        <f>_xlfn.XLOOKUP(InventoryModel[[#This Row],[SKUID]], DemandSummary!$A:$A, DemandSummary!$B:$B)</f>
        <v>113.42307692307692</v>
      </c>
      <c r="E109" s="3">
        <f>_xlfn.XLOOKUP(InventoryModel[[#This Row],[SKUID]],DemandSummary!A:A,DemandSummary!C:C,,0)</f>
        <v>41.872351810638065</v>
      </c>
      <c r="F109" s="3">
        <f>_xlfn.XLOOKUP(A109, SKU_Master[SKUID], SKU_Master[LeadTimeDaysStdDev], "Not Found", 0) / 7</f>
        <v>0.91428571428571437</v>
      </c>
      <c r="G109" s="3">
        <f>_xlfn.XLOOKUP(A109, SKU_Master[SKUID], SKU_Master[LeadTimeDaysAvg], "Not Found", 0) / 7</f>
        <v>5.2857142857142856</v>
      </c>
      <c r="H109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233.46962573635662</v>
      </c>
      <c r="I109" s="4">
        <f xml:space="preserve"> (InventoryModel[[#This Row],[AvgWeeklyDemand]] * InventoryModel[[#This Row],[LeadTimeWeeks]]) + InventoryModel[[#This Row],[SafetyStock]]</f>
        <v>832.99160375833469</v>
      </c>
      <c r="J109">
        <f>_xlfn.XLOOKUP(A109,SKU_Master[SKUID],SKU_Master[CurrentStockLevel],"Not Found", 0)</f>
        <v>36</v>
      </c>
      <c r="K109" t="str">
        <f xml:space="preserve"> IF(InventoryModel[[#This Row],[CurrentStockLevel]] &lt; InventoryModel[[#This Row],[ReorderPoint]], "At Risk", "OK")</f>
        <v>At Risk</v>
      </c>
      <c r="L109" s="7">
        <f>(InventoryModel[[#This Row],[ReorderPoint]] - InventoryModel[[#This Row],[CurrentStockLevel]]) / InventoryModel[[#This Row],[ReorderPoint]]</f>
        <v>0.95678227747125744</v>
      </c>
      <c r="M109" s="3" t="str" cm="1">
        <f t="array" ref="M109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109" s="3">
        <f>AVERAGEIFS(DemandHistory[AbsPctError],DemandHistory[SKUID],A109)</f>
        <v>0.47316915775835611</v>
      </c>
      <c r="O109" s="3">
        <f>InventoryModel[[#This Row],[StdDevWeeklyDemand]] / InventoryModel[[#This Row],[AvgWeeklyDemand]]</f>
        <v>0.36916959887303824</v>
      </c>
      <c r="P109" s="3" t="str">
        <f>_xlfn.XLOOKUP(A109, SKU_Master[SKUID], SKU_Master[Category], "Not Found", 0)</f>
        <v>Batteries</v>
      </c>
    </row>
    <row r="110" spans="1:16" x14ac:dyDescent="0.25">
      <c r="A110" s="2" t="s">
        <v>233</v>
      </c>
      <c r="B110">
        <f>SUMIF(DemandHistory!A:A, A110, DemandHistory!C:C) * 2</f>
        <v>1926</v>
      </c>
      <c r="C110" s="4">
        <f>SQRT((2*B110*_xlfn.XLOOKUP(A110,SKU_Master!A:A,SKU_Master!E:E,,0))/_xlfn.XLOOKUP(A110,SKU_Master!A:A,SKU_Master!F:F,,0))</f>
        <v>122.90481891364198</v>
      </c>
      <c r="D110" s="3">
        <f>_xlfn.XLOOKUP(InventoryModel[[#This Row],[SKUID]], DemandSummary!$A:$A, DemandSummary!$B:$B)</f>
        <v>37.03846153846154</v>
      </c>
      <c r="E110" s="3">
        <f>_xlfn.XLOOKUP(InventoryModel[[#This Row],[SKUID]],DemandSummary!A:A,DemandSummary!C:C,,0)</f>
        <v>5.517106264923811</v>
      </c>
      <c r="F110" s="3">
        <f>_xlfn.XLOOKUP(A110, SKU_Master[SKUID], SKU_Master[LeadTimeDaysStdDev], "Not Found", 0) / 7</f>
        <v>0.25714285714285717</v>
      </c>
      <c r="G110" s="3">
        <f>_xlfn.XLOOKUP(A110, SKU_Master[SKUID], SKU_Master[LeadTimeDaysAvg], "Not Found", 0) / 7</f>
        <v>1.7142857142857142</v>
      </c>
      <c r="H110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19.723549871094971</v>
      </c>
      <c r="I110" s="4">
        <f xml:space="preserve"> (InventoryModel[[#This Row],[AvgWeeklyDemand]] * InventoryModel[[#This Row],[LeadTimeWeeks]]) + InventoryModel[[#This Row],[SafetyStock]]</f>
        <v>83.218055365600463</v>
      </c>
      <c r="J110">
        <f>_xlfn.XLOOKUP(A110,SKU_Master[SKUID],SKU_Master[CurrentStockLevel],"Not Found", 0)</f>
        <v>277</v>
      </c>
      <c r="K110" t="str">
        <f xml:space="preserve"> IF(InventoryModel[[#This Row],[CurrentStockLevel]] &lt; InventoryModel[[#This Row],[ReorderPoint]], "At Risk", "OK")</f>
        <v>OK</v>
      </c>
      <c r="L110" s="7">
        <f>(InventoryModel[[#This Row],[ReorderPoint]] - InventoryModel[[#This Row],[CurrentStockLevel]]) / InventoryModel[[#This Row],[ReorderPoint]]</f>
        <v>-2.3286045772526243</v>
      </c>
      <c r="M110" s="3" t="str" cm="1">
        <f t="array" ref="M110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110" s="3">
        <f>AVERAGEIFS(DemandHistory[AbsPctError],DemandHistory[SKUID],A110)</f>
        <v>9.2663879852576292E-2</v>
      </c>
      <c r="O110" s="3">
        <f>InventoryModel[[#This Row],[StdDevWeeklyDemand]] / InventoryModel[[#This Row],[AvgWeeklyDemand]]</f>
        <v>0.14895614007063249</v>
      </c>
      <c r="P110" s="3" t="str">
        <f>_xlfn.XLOOKUP(A110, SKU_Master[SKUID], SKU_Master[Category], "Not Found", 0)</f>
        <v>Blowers</v>
      </c>
    </row>
    <row r="111" spans="1:16" x14ac:dyDescent="0.25">
      <c r="A111" s="2" t="s">
        <v>235</v>
      </c>
      <c r="B111">
        <f>SUMIF(DemandHistory!A:A, A111, DemandHistory!C:C) * 2</f>
        <v>7456</v>
      </c>
      <c r="C111" s="4">
        <f>SQRT((2*B111*_xlfn.XLOOKUP(A111,SKU_Master!A:A,SKU_Master!E:E,,0))/_xlfn.XLOOKUP(A111,SKU_Master!A:A,SKU_Master!F:F,,0))</f>
        <v>305.26863200378108</v>
      </c>
      <c r="D111" s="3">
        <f>_xlfn.XLOOKUP(InventoryModel[[#This Row],[SKUID]], DemandSummary!$A:$A, DemandSummary!$B:$B)</f>
        <v>143.38461538461539</v>
      </c>
      <c r="E111" s="3">
        <f>_xlfn.XLOOKUP(InventoryModel[[#This Row],[SKUID]],DemandSummary!A:A,DemandSummary!C:C,,0)</f>
        <v>27.767717836476134</v>
      </c>
      <c r="F111" s="3">
        <f>_xlfn.XLOOKUP(A111, SKU_Master[SKUID], SKU_Master[LeadTimeDaysStdDev], "Not Found", 0) / 7</f>
        <v>0.35714285714285715</v>
      </c>
      <c r="G111" s="3">
        <f>_xlfn.XLOOKUP(A111, SKU_Master[SKUID], SKU_Master[LeadTimeDaysAvg], "Not Found", 0) / 7</f>
        <v>1.7142857142857142</v>
      </c>
      <c r="H111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103.62385829629957</v>
      </c>
      <c r="I111" s="4">
        <f xml:space="preserve"> (InventoryModel[[#This Row],[AvgWeeklyDemand]] * InventoryModel[[#This Row],[LeadTimeWeeks]]) + InventoryModel[[#This Row],[SafetyStock]]</f>
        <v>349.42605609849738</v>
      </c>
      <c r="J111">
        <f>_xlfn.XLOOKUP(A111,SKU_Master[SKUID],SKU_Master[CurrentStockLevel],"Not Found", 0)</f>
        <v>283</v>
      </c>
      <c r="K111" t="str">
        <f xml:space="preserve"> IF(InventoryModel[[#This Row],[CurrentStockLevel]] &lt; InventoryModel[[#This Row],[ReorderPoint]], "At Risk", "OK")</f>
        <v>At Risk</v>
      </c>
      <c r="L111" s="7">
        <f>(InventoryModel[[#This Row],[ReorderPoint]] - InventoryModel[[#This Row],[CurrentStockLevel]]) / InventoryModel[[#This Row],[ReorderPoint]]</f>
        <v>0.19010046600466735</v>
      </c>
      <c r="M111" s="3" t="str" cm="1">
        <f t="array" ref="M111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111" s="3">
        <f>AVERAGEIFS(DemandHistory[AbsPctError],DemandHistory[SKUID],A111)</f>
        <v>0.15130269328029891</v>
      </c>
      <c r="O111" s="3">
        <f>InventoryModel[[#This Row],[StdDevWeeklyDemand]] / InventoryModel[[#This Row],[AvgWeeklyDemand]]</f>
        <v>0.19365897632735501</v>
      </c>
      <c r="P111" s="3" t="str">
        <f>_xlfn.XLOOKUP(A111, SKU_Master[SKUID], SKU_Master[Category], "Not Found", 0)</f>
        <v>Chains &amp; Bars</v>
      </c>
    </row>
    <row r="112" spans="1:16" x14ac:dyDescent="0.25">
      <c r="A112" s="2" t="s">
        <v>237</v>
      </c>
      <c r="B112">
        <f>SUMIF(DemandHistory!A:A, A112, DemandHistory!C:C) * 2</f>
        <v>3198</v>
      </c>
      <c r="C112" s="4">
        <f>SQRT((2*B112*_xlfn.XLOOKUP(A112,SKU_Master!A:A,SKU_Master!E:E,,0))/_xlfn.XLOOKUP(A112,SKU_Master!A:A,SKU_Master!F:F,,0))</f>
        <v>52.661328424922985</v>
      </c>
      <c r="D112" s="3">
        <f>_xlfn.XLOOKUP(InventoryModel[[#This Row],[SKUID]], DemandSummary!$A:$A, DemandSummary!$B:$B)</f>
        <v>61.5</v>
      </c>
      <c r="E112" s="3">
        <f>_xlfn.XLOOKUP(InventoryModel[[#This Row],[SKUID]],DemandSummary!A:A,DemandSummary!C:C,,0)</f>
        <v>9.1749659399912762</v>
      </c>
      <c r="F112" s="3">
        <f>_xlfn.XLOOKUP(A112, SKU_Master[SKUID], SKU_Master[LeadTimeDaysStdDev], "Not Found", 0) / 7</f>
        <v>0.15714285714285717</v>
      </c>
      <c r="G112" s="3">
        <f>_xlfn.XLOOKUP(A112, SKU_Master[SKUID], SKU_Master[LeadTimeDaysAvg], "Not Found", 0) / 7</f>
        <v>1.5714285714285714</v>
      </c>
      <c r="H112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24.787441832035242</v>
      </c>
      <c r="I112" s="4">
        <f xml:space="preserve"> (InventoryModel[[#This Row],[AvgWeeklyDemand]] * InventoryModel[[#This Row],[LeadTimeWeeks]]) + InventoryModel[[#This Row],[SafetyStock]]</f>
        <v>121.43029897489238</v>
      </c>
      <c r="J112">
        <f>_xlfn.XLOOKUP(A112,SKU_Master[SKUID],SKU_Master[CurrentStockLevel],"Not Found", 0)</f>
        <v>202</v>
      </c>
      <c r="K112" t="str">
        <f xml:space="preserve"> IF(InventoryModel[[#This Row],[CurrentStockLevel]] &lt; InventoryModel[[#This Row],[ReorderPoint]], "At Risk", "OK")</f>
        <v>OK</v>
      </c>
      <c r="L112" s="7">
        <f>(InventoryModel[[#This Row],[ReorderPoint]] - InventoryModel[[#This Row],[CurrentStockLevel]]) / InventoryModel[[#This Row],[ReorderPoint]]</f>
        <v>-0.66350574531457485</v>
      </c>
      <c r="M112" s="3" t="str" cm="1">
        <f t="array" ref="M112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WatchOverstock</v>
      </c>
      <c r="N112" s="3">
        <f>AVERAGEIFS(DemandHistory[AbsPctError],DemandHistory[SKUID],A112)</f>
        <v>0.11231678958641672</v>
      </c>
      <c r="O112" s="3">
        <f>InventoryModel[[#This Row],[StdDevWeeklyDemand]] / InventoryModel[[#This Row],[AvgWeeklyDemand]]</f>
        <v>0.14918643804863863</v>
      </c>
      <c r="P112" s="3" t="str">
        <f>_xlfn.XLOOKUP(A112, SKU_Master[SKUID], SKU_Master[Category], "Not Found", 0)</f>
        <v>Chainsaws</v>
      </c>
    </row>
    <row r="113" spans="1:16" x14ac:dyDescent="0.25">
      <c r="A113" s="2" t="s">
        <v>239</v>
      </c>
      <c r="B113">
        <f>SUMIF(DemandHistory!A:A, A113, DemandHistory!C:C) * 2</f>
        <v>3248</v>
      </c>
      <c r="C113" s="4">
        <f>SQRT((2*B113*_xlfn.XLOOKUP(A113,SKU_Master!A:A,SKU_Master!E:E,,0))/_xlfn.XLOOKUP(A113,SKU_Master!A:A,SKU_Master!F:F,,0))</f>
        <v>131.94908390073849</v>
      </c>
      <c r="D113" s="3">
        <f>_xlfn.XLOOKUP(InventoryModel[[#This Row],[SKUID]], DemandSummary!$A:$A, DemandSummary!$B:$B)</f>
        <v>62.46153846153846</v>
      </c>
      <c r="E113" s="3">
        <f>_xlfn.XLOOKUP(InventoryModel[[#This Row],[SKUID]],DemandSummary!A:A,DemandSummary!C:C,,0)</f>
        <v>20.284438901247952</v>
      </c>
      <c r="F113" s="3">
        <f>_xlfn.XLOOKUP(A113, SKU_Master[SKUID], SKU_Master[LeadTimeDaysStdDev], "Not Found", 0) / 7</f>
        <v>1.6285714285714286</v>
      </c>
      <c r="G113" s="3">
        <f>_xlfn.XLOOKUP(A113, SKU_Master[SKUID], SKU_Master[LeadTimeDaysAvg], "Not Found", 0) / 7</f>
        <v>5</v>
      </c>
      <c r="H113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183.77235041947472</v>
      </c>
      <c r="I113" s="4">
        <f xml:space="preserve"> (InventoryModel[[#This Row],[AvgWeeklyDemand]] * InventoryModel[[#This Row],[LeadTimeWeeks]]) + InventoryModel[[#This Row],[SafetyStock]]</f>
        <v>496.08004272716704</v>
      </c>
      <c r="J113">
        <f>_xlfn.XLOOKUP(A113,SKU_Master[SKUID],SKU_Master[CurrentStockLevel],"Not Found", 0)</f>
        <v>25</v>
      </c>
      <c r="K113" t="str">
        <f xml:space="preserve"> IF(InventoryModel[[#This Row],[CurrentStockLevel]] &lt; InventoryModel[[#This Row],[ReorderPoint]], "At Risk", "OK")</f>
        <v>At Risk</v>
      </c>
      <c r="L113" s="7">
        <f>(InventoryModel[[#This Row],[ReorderPoint]] - InventoryModel[[#This Row],[CurrentStockLevel]]) / InventoryModel[[#This Row],[ReorderPoint]]</f>
        <v>0.94960490677559983</v>
      </c>
      <c r="M113" s="3" t="str" cm="1">
        <f t="array" ref="M113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113" s="3">
        <f>AVERAGEIFS(DemandHistory[AbsPctError],DemandHistory[SKUID],A113)</f>
        <v>0.37383422083131745</v>
      </c>
      <c r="O113" s="3">
        <f>InventoryModel[[#This Row],[StdDevWeeklyDemand]] / InventoryModel[[#This Row],[AvgWeeklyDemand]]</f>
        <v>0.32475086910864948</v>
      </c>
      <c r="P113" s="3" t="str">
        <f>_xlfn.XLOOKUP(A113, SKU_Master[SKUID], SKU_Master[Category], "Not Found", 0)</f>
        <v>Mowers</v>
      </c>
    </row>
    <row r="114" spans="1:16" x14ac:dyDescent="0.25">
      <c r="A114" s="2" t="s">
        <v>241</v>
      </c>
      <c r="B114">
        <f>SUMIF(DemandHistory!A:A, A114, DemandHistory!C:C) * 2</f>
        <v>2872</v>
      </c>
      <c r="C114" s="4">
        <f>SQRT((2*B114*_xlfn.XLOOKUP(A114,SKU_Master!A:A,SKU_Master!E:E,,0))/_xlfn.XLOOKUP(A114,SKU_Master!A:A,SKU_Master!F:F,,0))</f>
        <v>85.214862162349263</v>
      </c>
      <c r="D114" s="3">
        <f>_xlfn.XLOOKUP(InventoryModel[[#This Row],[SKUID]], DemandSummary!$A:$A, DemandSummary!$B:$B)</f>
        <v>55.230769230769234</v>
      </c>
      <c r="E114" s="3">
        <f>_xlfn.XLOOKUP(InventoryModel[[#This Row],[SKUID]],DemandSummary!A:A,DemandSummary!C:C,,0)</f>
        <v>7.8450376279923359</v>
      </c>
      <c r="F114" s="3">
        <f>_xlfn.XLOOKUP(A114, SKU_Master[SKUID], SKU_Master[LeadTimeDaysStdDev], "Not Found", 0) / 7</f>
        <v>0.42857142857142855</v>
      </c>
      <c r="G114" s="3">
        <f>_xlfn.XLOOKUP(A114, SKU_Master[SKUID], SKU_Master[LeadTimeDaysAvg], "Not Found", 0) / 7</f>
        <v>1.4285714285714286</v>
      </c>
      <c r="H114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42.008798636750271</v>
      </c>
      <c r="I114" s="4">
        <f xml:space="preserve"> (InventoryModel[[#This Row],[AvgWeeklyDemand]] * InventoryModel[[#This Row],[LeadTimeWeeks]]) + InventoryModel[[#This Row],[SafetyStock]]</f>
        <v>120.90989753784918</v>
      </c>
      <c r="J114">
        <f>_xlfn.XLOOKUP(A114,SKU_Master[SKUID],SKU_Master[CurrentStockLevel],"Not Found", 0)</f>
        <v>184</v>
      </c>
      <c r="K114" t="str">
        <f xml:space="preserve"> IF(InventoryModel[[#This Row],[CurrentStockLevel]] &lt; InventoryModel[[#This Row],[ReorderPoint]], "At Risk", "OK")</f>
        <v>OK</v>
      </c>
      <c r="L114" s="7">
        <f>(InventoryModel[[#This Row],[ReorderPoint]] - InventoryModel[[#This Row],[CurrentStockLevel]]) / InventoryModel[[#This Row],[ReorderPoint]]</f>
        <v>-0.52179435883155334</v>
      </c>
      <c r="M114" s="3" t="str" cm="1">
        <f t="array" ref="M114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WatchOverstock</v>
      </c>
      <c r="N114" s="3">
        <f>AVERAGEIFS(DemandHistory[AbsPctError],DemandHistory[SKUID],A114)</f>
        <v>9.6083670967203355E-2</v>
      </c>
      <c r="O114" s="3">
        <f>InventoryModel[[#This Row],[StdDevWeeklyDemand]] / InventoryModel[[#This Row],[AvgWeeklyDemand]]</f>
        <v>0.14204107125891416</v>
      </c>
      <c r="P114" s="3" t="str">
        <f>_xlfn.XLOOKUP(A114, SKU_Master[SKUID], SKU_Master[Category], "Not Found", 0)</f>
        <v>Trimmers</v>
      </c>
    </row>
    <row r="115" spans="1:16" x14ac:dyDescent="0.25">
      <c r="A115" s="2" t="s">
        <v>243</v>
      </c>
      <c r="B115">
        <f>SUMIF(DemandHistory!A:A, A115, DemandHistory!C:C) * 2</f>
        <v>4572</v>
      </c>
      <c r="C115" s="4">
        <f>SQRT((2*B115*_xlfn.XLOOKUP(A115,SKU_Master!A:A,SKU_Master!E:E,,0))/_xlfn.XLOOKUP(A115,SKU_Master!A:A,SKU_Master!F:F,,0))</f>
        <v>416.72193656417119</v>
      </c>
      <c r="D115" s="3">
        <f>_xlfn.XLOOKUP(InventoryModel[[#This Row],[SKUID]], DemandSummary!$A:$A, DemandSummary!$B:$B)</f>
        <v>87.92307692307692</v>
      </c>
      <c r="E115" s="3">
        <f>_xlfn.XLOOKUP(InventoryModel[[#This Row],[SKUID]],DemandSummary!A:A,DemandSummary!C:C,,0)</f>
        <v>10.345716319030124</v>
      </c>
      <c r="F115" s="3">
        <f>_xlfn.XLOOKUP(A115, SKU_Master[SKUID], SKU_Master[LeadTimeDaysStdDev], "Not Found", 0) / 7</f>
        <v>0.5714285714285714</v>
      </c>
      <c r="G115" s="3">
        <f>_xlfn.XLOOKUP(A115, SKU_Master[SKUID], SKU_Master[LeadTimeDaysAvg], "Not Found", 0) / 7</f>
        <v>2.2857142857142856</v>
      </c>
      <c r="H115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86.823292597501265</v>
      </c>
      <c r="I115" s="4">
        <f xml:space="preserve"> (InventoryModel[[#This Row],[AvgWeeklyDemand]] * InventoryModel[[#This Row],[LeadTimeWeeks]]) + InventoryModel[[#This Row],[SafetyStock]]</f>
        <v>287.79032556453421</v>
      </c>
      <c r="J115">
        <f>_xlfn.XLOOKUP(A115,SKU_Master[SKUID],SKU_Master[CurrentStockLevel],"Not Found", 0)</f>
        <v>163</v>
      </c>
      <c r="K115" t="str">
        <f xml:space="preserve"> IF(InventoryModel[[#This Row],[CurrentStockLevel]] &lt; InventoryModel[[#This Row],[ReorderPoint]], "At Risk", "OK")</f>
        <v>At Risk</v>
      </c>
      <c r="L115" s="7">
        <f>(InventoryModel[[#This Row],[ReorderPoint]] - InventoryModel[[#This Row],[CurrentStockLevel]]) / InventoryModel[[#This Row],[ReorderPoint]]</f>
        <v>0.43361542928777563</v>
      </c>
      <c r="M115" s="3" t="str" cm="1">
        <f t="array" ref="M115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115" s="3">
        <f>AVERAGEIFS(DemandHistory[AbsPctError],DemandHistory[SKUID],A115)</f>
        <v>6.754853959539836E-2</v>
      </c>
      <c r="O115" s="3">
        <f>InventoryModel[[#This Row],[StdDevWeeklyDemand]] / InventoryModel[[#This Row],[AvgWeeklyDemand]]</f>
        <v>0.11766781465213615</v>
      </c>
      <c r="P115" s="3" t="str">
        <f>_xlfn.XLOOKUP(A115, SKU_Master[SKUID], SKU_Master[Category], "Not Found", 0)</f>
        <v>Accessories</v>
      </c>
    </row>
    <row r="116" spans="1:16" x14ac:dyDescent="0.25">
      <c r="A116" s="2" t="s">
        <v>245</v>
      </c>
      <c r="B116">
        <f>SUMIF(DemandHistory!A:A, A116, DemandHistory!C:C) * 2</f>
        <v>3882</v>
      </c>
      <c r="C116" s="4">
        <f>SQRT((2*B116*_xlfn.XLOOKUP(A116,SKU_Master!A:A,SKU_Master!E:E,,0))/_xlfn.XLOOKUP(A116,SKU_Master!A:A,SKU_Master!F:F,,0))</f>
        <v>167.3541135813272</v>
      </c>
      <c r="D116" s="3">
        <f>_xlfn.XLOOKUP(InventoryModel[[#This Row],[SKUID]], DemandSummary!$A:$A, DemandSummary!$B:$B)</f>
        <v>74.65384615384616</v>
      </c>
      <c r="E116" s="3">
        <f>_xlfn.XLOOKUP(InventoryModel[[#This Row],[SKUID]],DemandSummary!A:A,DemandSummary!C:C,,0)</f>
        <v>7.2329374817832468</v>
      </c>
      <c r="F116" s="3">
        <f>_xlfn.XLOOKUP(A116, SKU_Master[SKUID], SKU_Master[LeadTimeDaysStdDev], "Not Found", 0) / 7</f>
        <v>0.55714285714285716</v>
      </c>
      <c r="G116" s="3">
        <f>_xlfn.XLOOKUP(A116, SKU_Master[SKUID], SKU_Master[LeadTimeDaysAvg], "Not Found", 0) / 7</f>
        <v>2.5714285714285716</v>
      </c>
      <c r="H116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71.246591893826633</v>
      </c>
      <c r="I116" s="4">
        <f xml:space="preserve"> (InventoryModel[[#This Row],[AvgWeeklyDemand]] * InventoryModel[[#This Row],[LeadTimeWeeks]]) + InventoryModel[[#This Row],[SafetyStock]]</f>
        <v>263.21362486085962</v>
      </c>
      <c r="J116">
        <f>_xlfn.XLOOKUP(A116,SKU_Master[SKUID],SKU_Master[CurrentStockLevel],"Not Found", 0)</f>
        <v>81</v>
      </c>
      <c r="K116" t="str">
        <f xml:space="preserve"> IF(InventoryModel[[#This Row],[CurrentStockLevel]] &lt; InventoryModel[[#This Row],[ReorderPoint]], "At Risk", "OK")</f>
        <v>At Risk</v>
      </c>
      <c r="L116" s="7">
        <f>(InventoryModel[[#This Row],[ReorderPoint]] - InventoryModel[[#This Row],[CurrentStockLevel]]) / InventoryModel[[#This Row],[ReorderPoint]]</f>
        <v>0.69226517038083291</v>
      </c>
      <c r="M116" s="3" t="str" cm="1">
        <f t="array" ref="M116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116" s="3">
        <f>AVERAGEIFS(DemandHistory[AbsPctError],DemandHistory[SKUID],A116)</f>
        <v>5.3260354541216304E-2</v>
      </c>
      <c r="O116" s="3">
        <f>InventoryModel[[#This Row],[StdDevWeeklyDemand]] / InventoryModel[[#This Row],[AvgWeeklyDemand]]</f>
        <v>9.6886334119713757E-2</v>
      </c>
      <c r="P116" s="3" t="str">
        <f>_xlfn.XLOOKUP(A116, SKU_Master[SKUID], SKU_Master[Category], "Not Found", 0)</f>
        <v>Mowers</v>
      </c>
    </row>
    <row r="117" spans="1:16" x14ac:dyDescent="0.25">
      <c r="A117" s="2" t="s">
        <v>247</v>
      </c>
      <c r="B117">
        <f>SUMIF(DemandHistory!A:A, A117, DemandHistory!C:C) * 2</f>
        <v>6572</v>
      </c>
      <c r="C117" s="4">
        <f>SQRT((2*B117*_xlfn.XLOOKUP(A117,SKU_Master!A:A,SKU_Master!E:E,,0))/_xlfn.XLOOKUP(A117,SKU_Master!A:A,SKU_Master!F:F,,0))</f>
        <v>191.32509814924487</v>
      </c>
      <c r="D117" s="3">
        <f>_xlfn.XLOOKUP(InventoryModel[[#This Row],[SKUID]], DemandSummary!$A:$A, DemandSummary!$B:$B)</f>
        <v>126.38461538461539</v>
      </c>
      <c r="E117" s="3">
        <f>_xlfn.XLOOKUP(InventoryModel[[#This Row],[SKUID]],DemandSummary!A:A,DemandSummary!C:C,,0)</f>
        <v>16.010189063410678</v>
      </c>
      <c r="F117" s="3">
        <f>_xlfn.XLOOKUP(A117, SKU_Master[SKUID], SKU_Master[LeadTimeDaysStdDev], "Not Found", 0) / 7</f>
        <v>0.18571428571428572</v>
      </c>
      <c r="G117" s="3">
        <f>_xlfn.XLOOKUP(A117, SKU_Master[SKUID], SKU_Master[LeadTimeDaysAvg], "Not Found", 0) / 7</f>
        <v>2.5714285714285716</v>
      </c>
      <c r="H117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57.396106888102835</v>
      </c>
      <c r="I117" s="4">
        <f xml:space="preserve"> (InventoryModel[[#This Row],[AvgWeeklyDemand]] * InventoryModel[[#This Row],[LeadTimeWeeks]]) + InventoryModel[[#This Row],[SafetyStock]]</f>
        <v>382.38511787711388</v>
      </c>
      <c r="J117">
        <f>_xlfn.XLOOKUP(A117,SKU_Master[SKUID],SKU_Master[CurrentStockLevel],"Not Found", 0)</f>
        <v>230</v>
      </c>
      <c r="K117" t="str">
        <f xml:space="preserve"> IF(InventoryModel[[#This Row],[CurrentStockLevel]] &lt; InventoryModel[[#This Row],[ReorderPoint]], "At Risk", "OK")</f>
        <v>At Risk</v>
      </c>
      <c r="L117" s="7">
        <f>(InventoryModel[[#This Row],[ReorderPoint]] - InventoryModel[[#This Row],[CurrentStockLevel]]) / InventoryModel[[#This Row],[ReorderPoint]]</f>
        <v>0.39851215633890202</v>
      </c>
      <c r="M117" s="3" t="str" cm="1">
        <f t="array" ref="M117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117" s="3">
        <f>AVERAGEIFS(DemandHistory[AbsPctError],DemandHistory[SKUID],A117)</f>
        <v>6.9954814419728784E-2</v>
      </c>
      <c r="O117" s="3">
        <f>InventoryModel[[#This Row],[StdDevWeeklyDemand]] / InventoryModel[[#This Row],[AvgWeeklyDemand]]</f>
        <v>0.12667830664901936</v>
      </c>
      <c r="P117" s="3" t="str">
        <f>_xlfn.XLOOKUP(A117, SKU_Master[SKUID], SKU_Master[Category], "Not Found", 0)</f>
        <v>Blowers</v>
      </c>
    </row>
    <row r="118" spans="1:16" x14ac:dyDescent="0.25">
      <c r="A118" s="2" t="s">
        <v>249</v>
      </c>
      <c r="B118">
        <f>SUMIF(DemandHistory!A:A, A118, DemandHistory!C:C) * 2</f>
        <v>2228</v>
      </c>
      <c r="C118" s="4">
        <f>SQRT((2*B118*_xlfn.XLOOKUP(A118,SKU_Master!A:A,SKU_Master!E:E,,0))/_xlfn.XLOOKUP(A118,SKU_Master!A:A,SKU_Master!F:F,,0))</f>
        <v>128.00710959091339</v>
      </c>
      <c r="D118" s="3">
        <f>_xlfn.XLOOKUP(InventoryModel[[#This Row],[SKUID]], DemandSummary!$A:$A, DemandSummary!$B:$B)</f>
        <v>42.846153846153847</v>
      </c>
      <c r="E118" s="3">
        <f>_xlfn.XLOOKUP(InventoryModel[[#This Row],[SKUID]],DemandSummary!A:A,DemandSummary!C:C,,0)</f>
        <v>4.2491628134709876</v>
      </c>
      <c r="F118" s="3">
        <f>_xlfn.XLOOKUP(A118, SKU_Master[SKUID], SKU_Master[LeadTimeDaysStdDev], "Not Found", 0) / 7</f>
        <v>0.3</v>
      </c>
      <c r="G118" s="3">
        <f>_xlfn.XLOOKUP(A118, SKU_Master[SKUID], SKU_Master[LeadTimeDaysAvg], "Not Found", 0) / 7</f>
        <v>2.1428571428571428</v>
      </c>
      <c r="H118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23.56159967729991</v>
      </c>
      <c r="I118" s="4">
        <f xml:space="preserve"> (InventoryModel[[#This Row],[AvgWeeklyDemand]] * InventoryModel[[#This Row],[LeadTimeWeeks]]) + InventoryModel[[#This Row],[SafetyStock]]</f>
        <v>115.37478649048673</v>
      </c>
      <c r="J118">
        <f>_xlfn.XLOOKUP(A118,SKU_Master[SKUID],SKU_Master[CurrentStockLevel],"Not Found", 0)</f>
        <v>279</v>
      </c>
      <c r="K118" t="str">
        <f xml:space="preserve"> IF(InventoryModel[[#This Row],[CurrentStockLevel]] &lt; InventoryModel[[#This Row],[ReorderPoint]], "At Risk", "OK")</f>
        <v>OK</v>
      </c>
      <c r="L118" s="7">
        <f>(InventoryModel[[#This Row],[ReorderPoint]] - InventoryModel[[#This Row],[CurrentStockLevel]]) / InventoryModel[[#This Row],[ReorderPoint]]</f>
        <v>-1.4182059918525185</v>
      </c>
      <c r="M118" s="3" t="str" cm="1">
        <f t="array" ref="M118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118" s="3">
        <f>AVERAGEIFS(DemandHistory[AbsPctError],DemandHistory[SKUID],A118)</f>
        <v>5.0740724605096439E-2</v>
      </c>
      <c r="O118" s="3">
        <f>InventoryModel[[#This Row],[StdDevWeeklyDemand]] / InventoryModel[[#This Row],[AvgWeeklyDemand]]</f>
        <v>9.917256117616309E-2</v>
      </c>
      <c r="P118" s="3" t="str">
        <f>_xlfn.XLOOKUP(A118, SKU_Master[SKUID], SKU_Master[Category], "Not Found", 0)</f>
        <v>Accessories</v>
      </c>
    </row>
    <row r="119" spans="1:16" x14ac:dyDescent="0.25">
      <c r="A119" s="2" t="s">
        <v>251</v>
      </c>
      <c r="B119">
        <f>SUMIF(DemandHistory!A:A, A119, DemandHistory!C:C) * 2</f>
        <v>4422</v>
      </c>
      <c r="C119" s="4">
        <f>SQRT((2*B119*_xlfn.XLOOKUP(A119,SKU_Master!A:A,SKU_Master!E:E,,0))/_xlfn.XLOOKUP(A119,SKU_Master!A:A,SKU_Master!F:F,,0))</f>
        <v>313.27678361833028</v>
      </c>
      <c r="D119" s="3">
        <f>_xlfn.XLOOKUP(InventoryModel[[#This Row],[SKUID]], DemandSummary!$A:$A, DemandSummary!$B:$B)</f>
        <v>85.038461538461533</v>
      </c>
      <c r="E119" s="3">
        <f>_xlfn.XLOOKUP(InventoryModel[[#This Row],[SKUID]],DemandSummary!A:A,DemandSummary!C:C,,0)</f>
        <v>12.356312619000107</v>
      </c>
      <c r="F119" s="3">
        <f>_xlfn.XLOOKUP(A119, SKU_Master[SKUID], SKU_Master[LeadTimeDaysStdDev], "Not Found", 0) / 7</f>
        <v>0.15714285714285717</v>
      </c>
      <c r="G119" s="3">
        <f>_xlfn.XLOOKUP(A119, SKU_Master[SKUID], SKU_Master[LeadTimeDaysAvg], "Not Found", 0) / 7</f>
        <v>2.4285714285714284</v>
      </c>
      <c r="H119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38.673596417851584</v>
      </c>
      <c r="I119" s="4">
        <f xml:space="preserve"> (InventoryModel[[#This Row],[AvgWeeklyDemand]] * InventoryModel[[#This Row],[LeadTimeWeeks]]) + InventoryModel[[#This Row],[SafetyStock]]</f>
        <v>245.19557443982956</v>
      </c>
      <c r="J119">
        <f>_xlfn.XLOOKUP(A119,SKU_Master[SKUID],SKU_Master[CurrentStockLevel],"Not Found", 0)</f>
        <v>58</v>
      </c>
      <c r="K119" t="str">
        <f xml:space="preserve"> IF(InventoryModel[[#This Row],[CurrentStockLevel]] &lt; InventoryModel[[#This Row],[ReorderPoint]], "At Risk", "OK")</f>
        <v>At Risk</v>
      </c>
      <c r="L119" s="7">
        <f>(InventoryModel[[#This Row],[ReorderPoint]] - InventoryModel[[#This Row],[CurrentStockLevel]]) / InventoryModel[[#This Row],[ReorderPoint]]</f>
        <v>0.763454131941386</v>
      </c>
      <c r="M119" s="3" t="str" cm="1">
        <f t="array" ref="M119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119" s="3">
        <f>AVERAGEIFS(DemandHistory[AbsPctError],DemandHistory[SKUID],A119)</f>
        <v>0.12208176695768709</v>
      </c>
      <c r="O119" s="3">
        <f>InventoryModel[[#This Row],[StdDevWeeklyDemand]] / InventoryModel[[#This Row],[AvgWeeklyDemand]]</f>
        <v>0.1453026359538683</v>
      </c>
      <c r="P119" s="3" t="str">
        <f>_xlfn.XLOOKUP(A119, SKU_Master[SKUID], SKU_Master[Category], "Not Found", 0)</f>
        <v>Accessories</v>
      </c>
    </row>
    <row r="120" spans="1:16" x14ac:dyDescent="0.25">
      <c r="A120" s="2" t="s">
        <v>253</v>
      </c>
      <c r="B120">
        <f>SUMIF(DemandHistory!A:A, A120, DemandHistory!C:C) * 2</f>
        <v>1028</v>
      </c>
      <c r="C120" s="4">
        <f>SQRT((2*B120*_xlfn.XLOOKUP(A120,SKU_Master!A:A,SKU_Master!E:E,,0))/_xlfn.XLOOKUP(A120,SKU_Master!A:A,SKU_Master!F:F,,0))</f>
        <v>184.62868740363558</v>
      </c>
      <c r="D120" s="3">
        <f>_xlfn.XLOOKUP(InventoryModel[[#This Row],[SKUID]], DemandSummary!$A:$A, DemandSummary!$B:$B)</f>
        <v>19.76923076923077</v>
      </c>
      <c r="E120" s="3">
        <f>_xlfn.XLOOKUP(InventoryModel[[#This Row],[SKUID]],DemandSummary!A:A,DemandSummary!C:C,,0)</f>
        <v>3.2778980131504074</v>
      </c>
      <c r="F120" s="3">
        <f>_xlfn.XLOOKUP(A120, SKU_Master[SKUID], SKU_Master[LeadTimeDaysStdDev], "Not Found", 0) / 7</f>
        <v>0.52857142857142858</v>
      </c>
      <c r="G120" s="3">
        <f>_xlfn.XLOOKUP(A120, SKU_Master[SKUID], SKU_Master[LeadTimeDaysAvg], "Not Found", 0) / 7</f>
        <v>1</v>
      </c>
      <c r="H120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18.069996086964178</v>
      </c>
      <c r="I120" s="4">
        <f xml:space="preserve"> (InventoryModel[[#This Row],[AvgWeeklyDemand]] * InventoryModel[[#This Row],[LeadTimeWeeks]]) + InventoryModel[[#This Row],[SafetyStock]]</f>
        <v>37.839226856194948</v>
      </c>
      <c r="J120">
        <f>_xlfn.XLOOKUP(A120,SKU_Master[SKUID],SKU_Master[CurrentStockLevel],"Not Found", 0)</f>
        <v>136</v>
      </c>
      <c r="K120" t="str">
        <f xml:space="preserve"> IF(InventoryModel[[#This Row],[CurrentStockLevel]] &lt; InventoryModel[[#This Row],[ReorderPoint]], "At Risk", "OK")</f>
        <v>OK</v>
      </c>
      <c r="L120" s="7">
        <f>(InventoryModel[[#This Row],[ReorderPoint]] - InventoryModel[[#This Row],[CurrentStockLevel]]) / InventoryModel[[#This Row],[ReorderPoint]]</f>
        <v>-2.594153773724222</v>
      </c>
      <c r="M120" s="3" t="str" cm="1">
        <f t="array" ref="M120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120" s="3">
        <f>AVERAGEIFS(DemandHistory[AbsPctError],DemandHistory[SKUID],A120)</f>
        <v>0.15391416020599274</v>
      </c>
      <c r="O120" s="3">
        <f>InventoryModel[[#This Row],[StdDevWeeklyDemand]] / InventoryModel[[#This Row],[AvgWeeklyDemand]]</f>
        <v>0.16580807070410619</v>
      </c>
      <c r="P120" s="3" t="str">
        <f>_xlfn.XLOOKUP(A120, SKU_Master[SKUID], SKU_Master[Category], "Not Found", 0)</f>
        <v>Accessories</v>
      </c>
    </row>
    <row r="121" spans="1:16" x14ac:dyDescent="0.25">
      <c r="A121" s="2" t="s">
        <v>255</v>
      </c>
      <c r="B121">
        <f>SUMIF(DemandHistory!A:A, A121, DemandHistory!C:C) * 2</f>
        <v>2776</v>
      </c>
      <c r="C121" s="4">
        <f>SQRT((2*B121*_xlfn.XLOOKUP(A121,SKU_Master!A:A,SKU_Master!E:E,,0))/_xlfn.XLOOKUP(A121,SKU_Master!A:A,SKU_Master!F:F,,0))</f>
        <v>144.56742041609641</v>
      </c>
      <c r="D121" s="3">
        <f>_xlfn.XLOOKUP(InventoryModel[[#This Row],[SKUID]], DemandSummary!$A:$A, DemandSummary!$B:$B)</f>
        <v>53.384615384615387</v>
      </c>
      <c r="E121" s="3">
        <f>_xlfn.XLOOKUP(InventoryModel[[#This Row],[SKUID]],DemandSummary!A:A,DemandSummary!C:C,,0)</f>
        <v>8.4193915365751799</v>
      </c>
      <c r="F121" s="3">
        <f>_xlfn.XLOOKUP(A121, SKU_Master[SKUID], SKU_Master[LeadTimeDaysStdDev], "Not Found", 0) / 7</f>
        <v>0.45714285714285718</v>
      </c>
      <c r="G121" s="3">
        <f>_xlfn.XLOOKUP(A121, SKU_Master[SKUID], SKU_Master[LeadTimeDaysAvg], "Not Found", 0) / 7</f>
        <v>1.8571428571428572</v>
      </c>
      <c r="H121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44.495585184982012</v>
      </c>
      <c r="I121" s="4">
        <f xml:space="preserve"> (InventoryModel[[#This Row],[AvgWeeklyDemand]] * InventoryModel[[#This Row],[LeadTimeWeeks]]) + InventoryModel[[#This Row],[SafetyStock]]</f>
        <v>143.63844232783916</v>
      </c>
      <c r="J121">
        <f>_xlfn.XLOOKUP(A121,SKU_Master[SKUID],SKU_Master[CurrentStockLevel],"Not Found", 0)</f>
        <v>226</v>
      </c>
      <c r="K121" t="str">
        <f xml:space="preserve"> IF(InventoryModel[[#This Row],[CurrentStockLevel]] &lt; InventoryModel[[#This Row],[ReorderPoint]], "At Risk", "OK")</f>
        <v>OK</v>
      </c>
      <c r="L121" s="7">
        <f>(InventoryModel[[#This Row],[ReorderPoint]] - InventoryModel[[#This Row],[CurrentStockLevel]]) / InventoryModel[[#This Row],[ReorderPoint]]</f>
        <v>-0.57339495150037567</v>
      </c>
      <c r="M121" s="3" t="str" cm="1">
        <f t="array" ref="M121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WatchOverstock</v>
      </c>
      <c r="N121" s="3">
        <f>AVERAGEIFS(DemandHistory[AbsPctError],DemandHistory[SKUID],A121)</f>
        <v>0.12014283534650459</v>
      </c>
      <c r="O121" s="3">
        <f>InventoryModel[[#This Row],[StdDevWeeklyDemand]] / InventoryModel[[#This Row],[AvgWeeklyDemand]]</f>
        <v>0.15771194520962151</v>
      </c>
      <c r="P121" s="3" t="str">
        <f>_xlfn.XLOOKUP(A121, SKU_Master[SKUID], SKU_Master[Category], "Not Found", 0)</f>
        <v>Small Parts</v>
      </c>
    </row>
    <row r="122" spans="1:16" x14ac:dyDescent="0.25">
      <c r="A122" s="2" t="s">
        <v>257</v>
      </c>
      <c r="B122">
        <f>SUMIF(DemandHistory!A:A, A122, DemandHistory!C:C) * 2</f>
        <v>1764</v>
      </c>
      <c r="C122" s="4">
        <f>SQRT((2*B122*_xlfn.XLOOKUP(A122,SKU_Master!A:A,SKU_Master!E:E,,0))/_xlfn.XLOOKUP(A122,SKU_Master!A:A,SKU_Master!F:F,,0))</f>
        <v>41.651430095007257</v>
      </c>
      <c r="D122" s="3">
        <f>_xlfn.XLOOKUP(InventoryModel[[#This Row],[SKUID]], DemandSummary!$A:$A, DemandSummary!$B:$B)</f>
        <v>33.92307692307692</v>
      </c>
      <c r="E122" s="3">
        <f>_xlfn.XLOOKUP(InventoryModel[[#This Row],[SKUID]],DemandSummary!A:A,DemandSummary!C:C,,0)</f>
        <v>6.260498874198932</v>
      </c>
      <c r="F122" s="3">
        <f>_xlfn.XLOOKUP(A122, SKU_Master[SKUID], SKU_Master[LeadTimeDaysStdDev], "Not Found", 0) / 7</f>
        <v>0.15714285714285717</v>
      </c>
      <c r="G122" s="3">
        <f>_xlfn.XLOOKUP(A122, SKU_Master[SKUID], SKU_Master[LeadTimeDaysAvg], "Not Found", 0) / 7</f>
        <v>1</v>
      </c>
      <c r="H122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13.567269530557457</v>
      </c>
      <c r="I122" s="4">
        <f xml:space="preserve"> (InventoryModel[[#This Row],[AvgWeeklyDemand]] * InventoryModel[[#This Row],[LeadTimeWeeks]]) + InventoryModel[[#This Row],[SafetyStock]]</f>
        <v>47.490346453634373</v>
      </c>
      <c r="J122">
        <f>_xlfn.XLOOKUP(A122,SKU_Master[SKUID],SKU_Master[CurrentStockLevel],"Not Found", 0)</f>
        <v>109</v>
      </c>
      <c r="K122" t="str">
        <f xml:space="preserve"> IF(InventoryModel[[#This Row],[CurrentStockLevel]] &lt; InventoryModel[[#This Row],[ReorderPoint]], "At Risk", "OK")</f>
        <v>OK</v>
      </c>
      <c r="L122" s="7">
        <f>(InventoryModel[[#This Row],[ReorderPoint]] - InventoryModel[[#This Row],[CurrentStockLevel]]) / InventoryModel[[#This Row],[ReorderPoint]]</f>
        <v>-1.2952033021367519</v>
      </c>
      <c r="M122" s="3" t="str" cm="1">
        <f t="array" ref="M122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122" s="3">
        <f>AVERAGEIFS(DemandHistory[AbsPctError],DemandHistory[SKUID],A122)</f>
        <v>0.11835676576137219</v>
      </c>
      <c r="O122" s="3">
        <f>InventoryModel[[#This Row],[StdDevWeeklyDemand]] / InventoryModel[[#This Row],[AvgWeeklyDemand]]</f>
        <v>0.18454985343443567</v>
      </c>
      <c r="P122" s="3" t="str">
        <f>_xlfn.XLOOKUP(A122, SKU_Master[SKUID], SKU_Master[Category], "Not Found", 0)</f>
        <v>Small Parts</v>
      </c>
    </row>
    <row r="123" spans="1:16" x14ac:dyDescent="0.25">
      <c r="A123" s="2" t="s">
        <v>259</v>
      </c>
      <c r="B123">
        <f>SUMIF(DemandHistory!A:A, A123, DemandHistory!C:C) * 2</f>
        <v>6792</v>
      </c>
      <c r="C123" s="4">
        <f>SQRT((2*B123*_xlfn.XLOOKUP(A123,SKU_Master!A:A,SKU_Master!E:E,,0))/_xlfn.XLOOKUP(A123,SKU_Master!A:A,SKU_Master!F:F,,0))</f>
        <v>157.78845616902905</v>
      </c>
      <c r="D123" s="3">
        <f>_xlfn.XLOOKUP(InventoryModel[[#This Row],[SKUID]], DemandSummary!$A:$A, DemandSummary!$B:$B)</f>
        <v>130.61538461538461</v>
      </c>
      <c r="E123" s="3">
        <f>_xlfn.XLOOKUP(InventoryModel[[#This Row],[SKUID]],DemandSummary!A:A,DemandSummary!C:C,,0)</f>
        <v>17.68858823779204</v>
      </c>
      <c r="F123" s="3">
        <f>_xlfn.XLOOKUP(A123, SKU_Master[SKUID], SKU_Master[LeadTimeDaysStdDev], "Not Found", 0) / 7</f>
        <v>0.48571428571428571</v>
      </c>
      <c r="G123" s="3">
        <f>_xlfn.XLOOKUP(A123, SKU_Master[SKUID], SKU_Master[LeadTimeDaysAvg], "Not Found", 0) / 7</f>
        <v>2.4285714285714284</v>
      </c>
      <c r="H123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114.13329285301168</v>
      </c>
      <c r="I123" s="4">
        <f xml:space="preserve"> (InventoryModel[[#This Row],[AvgWeeklyDemand]] * InventoryModel[[#This Row],[LeadTimeWeeks]]) + InventoryModel[[#This Row],[SafetyStock]]</f>
        <v>431.34208406180289</v>
      </c>
      <c r="J123">
        <f>_xlfn.XLOOKUP(A123,SKU_Master[SKUID],SKU_Master[CurrentStockLevel],"Not Found", 0)</f>
        <v>283</v>
      </c>
      <c r="K123" t="str">
        <f xml:space="preserve"> IF(InventoryModel[[#This Row],[CurrentStockLevel]] &lt; InventoryModel[[#This Row],[ReorderPoint]], "At Risk", "OK")</f>
        <v>At Risk</v>
      </c>
      <c r="L123" s="7">
        <f>(InventoryModel[[#This Row],[ReorderPoint]] - InventoryModel[[#This Row],[CurrentStockLevel]]) / InventoryModel[[#This Row],[ReorderPoint]]</f>
        <v>0.3439082100798409</v>
      </c>
      <c r="M123" s="3" t="str" cm="1">
        <f t="array" ref="M123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123" s="3">
        <f>AVERAGEIFS(DemandHistory[AbsPctError],DemandHistory[SKUID],A123)</f>
        <v>8.4940338941254537E-2</v>
      </c>
      <c r="O123" s="3">
        <f>InventoryModel[[#This Row],[StdDevWeeklyDemand]] / InventoryModel[[#This Row],[AvgWeeklyDemand]]</f>
        <v>0.13542499828698265</v>
      </c>
      <c r="P123" s="3" t="str">
        <f>_xlfn.XLOOKUP(A123, SKU_Master[SKUID], SKU_Master[Category], "Not Found", 0)</f>
        <v>Trimmers</v>
      </c>
    </row>
    <row r="124" spans="1:16" x14ac:dyDescent="0.25">
      <c r="A124" s="2" t="s">
        <v>261</v>
      </c>
      <c r="B124">
        <f>SUMIF(DemandHistory!A:A, A124, DemandHistory!C:C) * 2</f>
        <v>2180</v>
      </c>
      <c r="C124" s="4">
        <f>SQRT((2*B124*_xlfn.XLOOKUP(A124,SKU_Master!A:A,SKU_Master!E:E,,0))/_xlfn.XLOOKUP(A124,SKU_Master!A:A,SKU_Master!F:F,,0))</f>
        <v>44.996549510329515</v>
      </c>
      <c r="D124" s="3">
        <f>_xlfn.XLOOKUP(InventoryModel[[#This Row],[SKUID]], DemandSummary!$A:$A, DemandSummary!$B:$B)</f>
        <v>41.92307692307692</v>
      </c>
      <c r="E124" s="3">
        <f>_xlfn.XLOOKUP(InventoryModel[[#This Row],[SKUID]],DemandSummary!A:A,DemandSummary!C:C,,0)</f>
        <v>5.2070957504012005</v>
      </c>
      <c r="F124" s="3">
        <f>_xlfn.XLOOKUP(A124, SKU_Master[SKUID], SKU_Master[LeadTimeDaysStdDev], "Not Found", 0) / 7</f>
        <v>0.48571428571428571</v>
      </c>
      <c r="G124" s="3">
        <f>_xlfn.XLOOKUP(A124, SKU_Master[SKUID], SKU_Master[LeadTimeDaysAvg], "Not Found", 0) / 7</f>
        <v>0.7142857142857143</v>
      </c>
      <c r="H124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34.374059706980219</v>
      </c>
      <c r="I124" s="4">
        <f xml:space="preserve"> (InventoryModel[[#This Row],[AvgWeeklyDemand]] * InventoryModel[[#This Row],[LeadTimeWeeks]]) + InventoryModel[[#This Row],[SafetyStock]]</f>
        <v>64.319114652035154</v>
      </c>
      <c r="J124">
        <f>_xlfn.XLOOKUP(A124,SKU_Master[SKUID],SKU_Master[CurrentStockLevel],"Not Found", 0)</f>
        <v>239</v>
      </c>
      <c r="K124" t="str">
        <f xml:space="preserve"> IF(InventoryModel[[#This Row],[CurrentStockLevel]] &lt; InventoryModel[[#This Row],[ReorderPoint]], "At Risk", "OK")</f>
        <v>OK</v>
      </c>
      <c r="L124" s="7">
        <f>(InventoryModel[[#This Row],[ReorderPoint]] - InventoryModel[[#This Row],[CurrentStockLevel]]) / InventoryModel[[#This Row],[ReorderPoint]]</f>
        <v>-2.7158471675641711</v>
      </c>
      <c r="M124" s="3" t="str" cm="1">
        <f t="array" ref="M124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124" s="3">
        <f>AVERAGEIFS(DemandHistory[AbsPctError],DemandHistory[SKUID],A124)</f>
        <v>0.10083368400407161</v>
      </c>
      <c r="O124" s="3">
        <f>InventoryModel[[#This Row],[StdDevWeeklyDemand]] / InventoryModel[[#This Row],[AvgWeeklyDemand]]</f>
        <v>0.1242059536792947</v>
      </c>
      <c r="P124" s="3" t="str">
        <f>_xlfn.XLOOKUP(A124, SKU_Master[SKUID], SKU_Master[Category], "Not Found", 0)</f>
        <v>Batteries</v>
      </c>
    </row>
    <row r="125" spans="1:16" x14ac:dyDescent="0.25">
      <c r="A125" s="2" t="s">
        <v>263</v>
      </c>
      <c r="B125">
        <f>SUMIF(DemandHistory!A:A, A125, DemandHistory!C:C) * 2</f>
        <v>1464</v>
      </c>
      <c r="C125" s="4">
        <f>SQRT((2*B125*_xlfn.XLOOKUP(A125,SKU_Master!A:A,SKU_Master!E:E,,0))/_xlfn.XLOOKUP(A125,SKU_Master!A:A,SKU_Master!F:F,,0))</f>
        <v>56.838785469363145</v>
      </c>
      <c r="D125" s="3">
        <f>_xlfn.XLOOKUP(InventoryModel[[#This Row],[SKUID]], DemandSummary!$A:$A, DemandSummary!$B:$B)</f>
        <v>28.153846153846153</v>
      </c>
      <c r="E125" s="3">
        <f>_xlfn.XLOOKUP(InventoryModel[[#This Row],[SKUID]],DemandSummary!A:A,DemandSummary!C:C,,0)</f>
        <v>3.9465661802869443</v>
      </c>
      <c r="F125" s="3">
        <f>_xlfn.XLOOKUP(A125, SKU_Master[SKUID], SKU_Master[LeadTimeDaysStdDev], "Not Found", 0) / 7</f>
        <v>0.51428571428571435</v>
      </c>
      <c r="G125" s="3">
        <f>_xlfn.XLOOKUP(A125, SKU_Master[SKUID], SKU_Master[LeadTimeDaysAvg], "Not Found", 0) / 7</f>
        <v>2.1428571428571428</v>
      </c>
      <c r="H125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25.72205346327992</v>
      </c>
      <c r="I125" s="4">
        <f xml:space="preserve"> (InventoryModel[[#This Row],[AvgWeeklyDemand]] * InventoryModel[[#This Row],[LeadTimeWeeks]]) + InventoryModel[[#This Row],[SafetyStock]]</f>
        <v>86.051723792950241</v>
      </c>
      <c r="J125">
        <f>_xlfn.XLOOKUP(A125,SKU_Master[SKUID],SKU_Master[CurrentStockLevel],"Not Found", 0)</f>
        <v>167</v>
      </c>
      <c r="K125" t="str">
        <f xml:space="preserve"> IF(InventoryModel[[#This Row],[CurrentStockLevel]] &lt; InventoryModel[[#This Row],[ReorderPoint]], "At Risk", "OK")</f>
        <v>OK</v>
      </c>
      <c r="L125" s="7">
        <f>(InventoryModel[[#This Row],[ReorderPoint]] - InventoryModel[[#This Row],[CurrentStockLevel]]) / InventoryModel[[#This Row],[ReorderPoint]]</f>
        <v>-0.94069325562634942</v>
      </c>
      <c r="M125" s="3" t="str" cm="1">
        <f t="array" ref="M125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125" s="3">
        <f>AVERAGEIFS(DemandHistory[AbsPctError],DemandHistory[SKUID],A125)</f>
        <v>0.12482719094621872</v>
      </c>
      <c r="O125" s="3">
        <f>InventoryModel[[#This Row],[StdDevWeeklyDemand]] / InventoryModel[[#This Row],[AvgWeeklyDemand]]</f>
        <v>0.14017858017412643</v>
      </c>
      <c r="P125" s="3" t="str">
        <f>_xlfn.XLOOKUP(A125, SKU_Master[SKUID], SKU_Master[Category], "Not Found", 0)</f>
        <v>Chains &amp; Bars</v>
      </c>
    </row>
    <row r="126" spans="1:16" x14ac:dyDescent="0.25">
      <c r="A126" s="2" t="s">
        <v>265</v>
      </c>
      <c r="B126">
        <f>SUMIF(DemandHistory!A:A, A126, DemandHistory!C:C) * 2</f>
        <v>5764</v>
      </c>
      <c r="C126" s="4">
        <f>SQRT((2*B126*_xlfn.XLOOKUP(A126,SKU_Master!A:A,SKU_Master!E:E,,0))/_xlfn.XLOOKUP(A126,SKU_Master!A:A,SKU_Master!F:F,,0))</f>
        <v>107.41461222994897</v>
      </c>
      <c r="D126" s="3">
        <f>_xlfn.XLOOKUP(InventoryModel[[#This Row],[SKUID]], DemandSummary!$A:$A, DemandSummary!$B:$B)</f>
        <v>110.84615384615384</v>
      </c>
      <c r="E126" s="3">
        <f>_xlfn.XLOOKUP(InventoryModel[[#This Row],[SKUID]],DemandSummary!A:A,DemandSummary!C:C,,0)</f>
        <v>13.436345657037295</v>
      </c>
      <c r="F126" s="3">
        <f>_xlfn.XLOOKUP(A126, SKU_Master[SKUID], SKU_Master[LeadTimeDaysStdDev], "Not Found", 0) / 7</f>
        <v>0.47142857142857142</v>
      </c>
      <c r="G126" s="3">
        <f>_xlfn.XLOOKUP(A126, SKU_Master[SKUID], SKU_Master[LeadTimeDaysAvg], "Not Found", 0) / 7</f>
        <v>2.4285714285714284</v>
      </c>
      <c r="H126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92.886899214441598</v>
      </c>
      <c r="I126" s="4">
        <f xml:space="preserve"> (InventoryModel[[#This Row],[AvgWeeklyDemand]] * InventoryModel[[#This Row],[LeadTimeWeeks]]) + InventoryModel[[#This Row],[SafetyStock]]</f>
        <v>362.08470141224376</v>
      </c>
      <c r="J126">
        <f>_xlfn.XLOOKUP(A126,SKU_Master[SKUID],SKU_Master[CurrentStockLevel],"Not Found", 0)</f>
        <v>113</v>
      </c>
      <c r="K126" t="str">
        <f xml:space="preserve"> IF(InventoryModel[[#This Row],[CurrentStockLevel]] &lt; InventoryModel[[#This Row],[ReorderPoint]], "At Risk", "OK")</f>
        <v>At Risk</v>
      </c>
      <c r="L126" s="7">
        <f>(InventoryModel[[#This Row],[ReorderPoint]] - InventoryModel[[#This Row],[CurrentStockLevel]]) / InventoryModel[[#This Row],[ReorderPoint]]</f>
        <v>0.68791832529995167</v>
      </c>
      <c r="M126" s="3" t="str" cm="1">
        <f t="array" ref="M126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126" s="3">
        <f>AVERAGEIFS(DemandHistory[AbsPctError],DemandHistory[SKUID],A126)</f>
        <v>6.9823929155899425E-2</v>
      </c>
      <c r="O126" s="3">
        <f>InventoryModel[[#This Row],[StdDevWeeklyDemand]] / InventoryModel[[#This Row],[AvgWeeklyDemand]]</f>
        <v>0.12121616484488885</v>
      </c>
      <c r="P126" s="3" t="str">
        <f>_xlfn.XLOOKUP(A126, SKU_Master[SKUID], SKU_Master[Category], "Not Found", 0)</f>
        <v>Small Parts</v>
      </c>
    </row>
    <row r="127" spans="1:16" x14ac:dyDescent="0.25">
      <c r="A127" s="2" t="s">
        <v>267</v>
      </c>
      <c r="B127">
        <f>SUMIF(DemandHistory!A:A, A127, DemandHistory!C:C) * 2</f>
        <v>6504</v>
      </c>
      <c r="C127" s="4">
        <f>SQRT((2*B127*_xlfn.XLOOKUP(A127,SKU_Master!A:A,SKU_Master!E:E,,0))/_xlfn.XLOOKUP(A127,SKU_Master!A:A,SKU_Master!F:F,,0))</f>
        <v>208.79866764529729</v>
      </c>
      <c r="D127" s="3">
        <f>_xlfn.XLOOKUP(InventoryModel[[#This Row],[SKUID]], DemandSummary!$A:$A, DemandSummary!$B:$B)</f>
        <v>125.07692307692308</v>
      </c>
      <c r="E127" s="3">
        <f>_xlfn.XLOOKUP(InventoryModel[[#This Row],[SKUID]],DemandSummary!A:A,DemandSummary!C:C,,0)</f>
        <v>21.983490308725887</v>
      </c>
      <c r="F127" s="3">
        <f>_xlfn.XLOOKUP(A127, SKU_Master[SKUID], SKU_Master[LeadTimeDaysStdDev], "Not Found", 0) / 7</f>
        <v>0.21428571428571427</v>
      </c>
      <c r="G127" s="3">
        <f>_xlfn.XLOOKUP(A127, SKU_Master[SKUID], SKU_Master[LeadTimeDaysAvg], "Not Found", 0) / 7</f>
        <v>2.1428571428571428</v>
      </c>
      <c r="H127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69.102201329155889</v>
      </c>
      <c r="I127" s="4">
        <f xml:space="preserve"> (InventoryModel[[#This Row],[AvgWeeklyDemand]] * InventoryModel[[#This Row],[LeadTimeWeeks]]) + InventoryModel[[#This Row],[SafetyStock]]</f>
        <v>337.12417935113393</v>
      </c>
      <c r="J127">
        <f>_xlfn.XLOOKUP(A127,SKU_Master[SKUID],SKU_Master[CurrentStockLevel],"Not Found", 0)</f>
        <v>159</v>
      </c>
      <c r="K127" t="str">
        <f xml:space="preserve"> IF(InventoryModel[[#This Row],[CurrentStockLevel]] &lt; InventoryModel[[#This Row],[ReorderPoint]], "At Risk", "OK")</f>
        <v>At Risk</v>
      </c>
      <c r="L127" s="7">
        <f>(InventoryModel[[#This Row],[ReorderPoint]] - InventoryModel[[#This Row],[CurrentStockLevel]]) / InventoryModel[[#This Row],[ReorderPoint]]</f>
        <v>0.52836370174922254</v>
      </c>
      <c r="M127" s="3" t="str" cm="1">
        <f t="array" ref="M127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127" s="3">
        <f>AVERAGEIFS(DemandHistory[AbsPctError],DemandHistory[SKUID],A127)</f>
        <v>0.11948601560366535</v>
      </c>
      <c r="O127" s="3">
        <f>InventoryModel[[#This Row],[StdDevWeeklyDemand]] / InventoryModel[[#This Row],[AvgWeeklyDemand]]</f>
        <v>0.17575976261588963</v>
      </c>
      <c r="P127" s="3" t="str">
        <f>_xlfn.XLOOKUP(A127, SKU_Master[SKUID], SKU_Master[Category], "Not Found", 0)</f>
        <v>Batteries</v>
      </c>
    </row>
    <row r="128" spans="1:16" x14ac:dyDescent="0.25">
      <c r="A128" s="2" t="s">
        <v>269</v>
      </c>
      <c r="B128">
        <f>SUMIF(DemandHistory!A:A, A128, DemandHistory!C:C) * 2</f>
        <v>5196</v>
      </c>
      <c r="C128" s="4">
        <f>SQRT((2*B128*_xlfn.XLOOKUP(A128,SKU_Master!A:A,SKU_Master!E:E,,0))/_xlfn.XLOOKUP(A128,SKU_Master!A:A,SKU_Master!F:F,,0))</f>
        <v>85.599534416848428</v>
      </c>
      <c r="D128" s="3">
        <f>_xlfn.XLOOKUP(InventoryModel[[#This Row],[SKUID]], DemandSummary!$A:$A, DemandSummary!$B:$B)</f>
        <v>99.92307692307692</v>
      </c>
      <c r="E128" s="3">
        <f>_xlfn.XLOOKUP(InventoryModel[[#This Row],[SKUID]],DemandSummary!A:A,DemandSummary!C:C,,0)</f>
        <v>11.453988220434237</v>
      </c>
      <c r="F128" s="3">
        <f>_xlfn.XLOOKUP(A128, SKU_Master[SKUID], SKU_Master[LeadTimeDaysStdDev], "Not Found", 0) / 7</f>
        <v>0.32857142857142857</v>
      </c>
      <c r="G128" s="3">
        <f>_xlfn.XLOOKUP(A128, SKU_Master[SKUID], SKU_Master[LeadTimeDaysAvg], "Not Found", 0) / 7</f>
        <v>1.1428571428571428</v>
      </c>
      <c r="H128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57.817548954521072</v>
      </c>
      <c r="I128" s="4">
        <f xml:space="preserve"> (InventoryModel[[#This Row],[AvgWeeklyDemand]] * InventoryModel[[#This Row],[LeadTimeWeeks]]) + InventoryModel[[#This Row],[SafetyStock]]</f>
        <v>172.01535115232326</v>
      </c>
      <c r="J128">
        <f>_xlfn.XLOOKUP(A128,SKU_Master[SKUID],SKU_Master[CurrentStockLevel],"Not Found", 0)</f>
        <v>231</v>
      </c>
      <c r="K128" t="str">
        <f xml:space="preserve"> IF(InventoryModel[[#This Row],[CurrentStockLevel]] &lt; InventoryModel[[#This Row],[ReorderPoint]], "At Risk", "OK")</f>
        <v>OK</v>
      </c>
      <c r="L128" s="7">
        <f>(InventoryModel[[#This Row],[ReorderPoint]] - InventoryModel[[#This Row],[CurrentStockLevel]]) / InventoryModel[[#This Row],[ReorderPoint]]</f>
        <v>-0.34290340049618345</v>
      </c>
      <c r="M128" s="3" t="str" cm="1">
        <f t="array" ref="M128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WatchOverstock</v>
      </c>
      <c r="N128" s="3">
        <f>AVERAGEIFS(DemandHistory[AbsPctError],DemandHistory[SKUID],A128)</f>
        <v>6.0021210979993314E-2</v>
      </c>
      <c r="O128" s="3">
        <f>InventoryModel[[#This Row],[StdDevWeeklyDemand]] / InventoryModel[[#This Row],[AvgWeeklyDemand]]</f>
        <v>0.11462805763329106</v>
      </c>
      <c r="P128" s="3" t="str">
        <f>_xlfn.XLOOKUP(A128, SKU_Master[SKUID], SKU_Master[Category], "Not Found", 0)</f>
        <v>Trimmers</v>
      </c>
    </row>
    <row r="129" spans="1:16" x14ac:dyDescent="0.25">
      <c r="A129" s="2" t="s">
        <v>271</v>
      </c>
      <c r="B129">
        <f>SUMIF(DemandHistory!A:A, A129, DemandHistory!C:C) * 2</f>
        <v>2690</v>
      </c>
      <c r="C129" s="4">
        <f>SQRT((2*B129*_xlfn.XLOOKUP(A129,SKU_Master!A:A,SKU_Master!E:E,,0))/_xlfn.XLOOKUP(A129,SKU_Master!A:A,SKU_Master!F:F,,0))</f>
        <v>104.32821451594972</v>
      </c>
      <c r="D129" s="3">
        <f>_xlfn.XLOOKUP(InventoryModel[[#This Row],[SKUID]], DemandSummary!$A:$A, DemandSummary!$B:$B)</f>
        <v>51.730769230769234</v>
      </c>
      <c r="E129" s="3">
        <f>_xlfn.XLOOKUP(InventoryModel[[#This Row],[SKUID]],DemandSummary!A:A,DemandSummary!C:C,,0)</f>
        <v>6.3343993704703854</v>
      </c>
      <c r="F129" s="3">
        <f>_xlfn.XLOOKUP(A129, SKU_Master[SKUID], SKU_Master[LeadTimeDaysStdDev], "Not Found", 0) / 7</f>
        <v>0.45714285714285718</v>
      </c>
      <c r="G129" s="3">
        <f>_xlfn.XLOOKUP(A129, SKU_Master[SKUID], SKU_Master[LeadTimeDaysAvg], "Not Found", 0) / 7</f>
        <v>1.7142857142857142</v>
      </c>
      <c r="H129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41.349855628379949</v>
      </c>
      <c r="I129" s="4">
        <f xml:space="preserve"> (InventoryModel[[#This Row],[AvgWeeklyDemand]] * InventoryModel[[#This Row],[LeadTimeWeeks]]) + InventoryModel[[#This Row],[SafetyStock]]</f>
        <v>130.03117430969863</v>
      </c>
      <c r="J129">
        <f>_xlfn.XLOOKUP(A129,SKU_Master[SKUID],SKU_Master[CurrentStockLevel],"Not Found", 0)</f>
        <v>266</v>
      </c>
      <c r="K129" t="str">
        <f xml:space="preserve"> IF(InventoryModel[[#This Row],[CurrentStockLevel]] &lt; InventoryModel[[#This Row],[ReorderPoint]], "At Risk", "OK")</f>
        <v>OK</v>
      </c>
      <c r="L129" s="7">
        <f>(InventoryModel[[#This Row],[ReorderPoint]] - InventoryModel[[#This Row],[CurrentStockLevel]]) / InventoryModel[[#This Row],[ReorderPoint]]</f>
        <v>-1.0456632912232331</v>
      </c>
      <c r="M129" s="3" t="str" cm="1">
        <f t="array" ref="M129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129" s="3">
        <f>AVERAGEIFS(DemandHistory[AbsPctError],DemandHistory[SKUID],A129)</f>
        <v>9.9892253634584788E-2</v>
      </c>
      <c r="O129" s="3">
        <f>InventoryModel[[#This Row],[StdDevWeeklyDemand]] / InventoryModel[[#This Row],[AvgWeeklyDemand]]</f>
        <v>0.12244935586039406</v>
      </c>
      <c r="P129" s="3" t="str">
        <f>_xlfn.XLOOKUP(A129, SKU_Master[SKUID], SKU_Master[Category], "Not Found", 0)</f>
        <v>Accessories</v>
      </c>
    </row>
    <row r="130" spans="1:16" x14ac:dyDescent="0.25">
      <c r="A130" s="2" t="s">
        <v>273</v>
      </c>
      <c r="B130">
        <f>SUMIF(DemandHistory!A:A, A130, DemandHistory!C:C) * 2</f>
        <v>6608</v>
      </c>
      <c r="C130" s="4">
        <f>SQRT((2*B130*_xlfn.XLOOKUP(A130,SKU_Master!A:A,SKU_Master!E:E,,0))/_xlfn.XLOOKUP(A130,SKU_Master!A:A,SKU_Master!F:F,,0))</f>
        <v>102.16979721369015</v>
      </c>
      <c r="D130" s="3">
        <f>_xlfn.XLOOKUP(InventoryModel[[#This Row],[SKUID]], DemandSummary!$A:$A, DemandSummary!$B:$B)</f>
        <v>127.07692307692308</v>
      </c>
      <c r="E130" s="3">
        <f>_xlfn.XLOOKUP(InventoryModel[[#This Row],[SKUID]],DemandSummary!A:A,DemandSummary!C:C,,0)</f>
        <v>23.753607013543125</v>
      </c>
      <c r="F130" s="3">
        <f>_xlfn.XLOOKUP(A130, SKU_Master[SKUID], SKU_Master[LeadTimeDaysStdDev], "Not Found", 0) / 7</f>
        <v>0.3</v>
      </c>
      <c r="G130" s="3">
        <f>_xlfn.XLOOKUP(A130, SKU_Master[SKUID], SKU_Master[LeadTimeDaysAvg], "Not Found", 0) / 7</f>
        <v>1.8571428571428572</v>
      </c>
      <c r="H130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82.520323042035855</v>
      </c>
      <c r="I130" s="4">
        <f xml:space="preserve"> (InventoryModel[[#This Row],[AvgWeeklyDemand]] * InventoryModel[[#This Row],[LeadTimeWeeks]]) + InventoryModel[[#This Row],[SafetyStock]]</f>
        <v>318.52032304203584</v>
      </c>
      <c r="J130">
        <f>_xlfn.XLOOKUP(A130,SKU_Master[SKUID],SKU_Master[CurrentStockLevel],"Not Found", 0)</f>
        <v>238</v>
      </c>
      <c r="K130" t="str">
        <f xml:space="preserve"> IF(InventoryModel[[#This Row],[CurrentStockLevel]] &lt; InventoryModel[[#This Row],[ReorderPoint]], "At Risk", "OK")</f>
        <v>At Risk</v>
      </c>
      <c r="L130" s="7">
        <f>(InventoryModel[[#This Row],[ReorderPoint]] - InventoryModel[[#This Row],[CurrentStockLevel]]) / InventoryModel[[#This Row],[ReorderPoint]]</f>
        <v>0.25279493086351479</v>
      </c>
      <c r="M130" s="3" t="str" cm="1">
        <f t="array" ref="M130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130" s="3">
        <f>AVERAGEIFS(DemandHistory[AbsPctError],DemandHistory[SKUID],A130)</f>
        <v>0.14629597853850515</v>
      </c>
      <c r="O130" s="3">
        <f>InventoryModel[[#This Row],[StdDevWeeklyDemand]] / InventoryModel[[#This Row],[AvgWeeklyDemand]]</f>
        <v>0.18692305761262748</v>
      </c>
      <c r="P130" s="3" t="str">
        <f>_xlfn.XLOOKUP(A130, SKU_Master[SKUID], SKU_Master[Category], "Not Found", 0)</f>
        <v>Trimmers</v>
      </c>
    </row>
    <row r="131" spans="1:16" x14ac:dyDescent="0.25">
      <c r="A131" s="2" t="s">
        <v>275</v>
      </c>
      <c r="B131">
        <f>SUMIF(DemandHistory!A:A, A131, DemandHistory!C:C) * 2</f>
        <v>2840</v>
      </c>
      <c r="C131" s="4">
        <f>SQRT((2*B131*_xlfn.XLOOKUP(A131,SKU_Master!A:A,SKU_Master!E:E,,0))/_xlfn.XLOOKUP(A131,SKU_Master!A:A,SKU_Master!F:F,,0))</f>
        <v>122.87354006992338</v>
      </c>
      <c r="D131" s="3">
        <f>_xlfn.XLOOKUP(InventoryModel[[#This Row],[SKUID]], DemandSummary!$A:$A, DemandSummary!$B:$B)</f>
        <v>54.615384615384613</v>
      </c>
      <c r="E131" s="3">
        <f>_xlfn.XLOOKUP(InventoryModel[[#This Row],[SKUID]],DemandSummary!A:A,DemandSummary!C:C,,0)</f>
        <v>24.845244089083806</v>
      </c>
      <c r="F131" s="3">
        <f>_xlfn.XLOOKUP(A131, SKU_Master[SKUID], SKU_Master[LeadTimeDaysStdDev], "Not Found", 0) / 7</f>
        <v>1.1000000000000001</v>
      </c>
      <c r="G131" s="3">
        <f>_xlfn.XLOOKUP(A131, SKU_Master[SKUID], SKU_Master[LeadTimeDaysAvg], "Not Found", 0) / 7</f>
        <v>3.5714285714285716</v>
      </c>
      <c r="H131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125.80998540715586</v>
      </c>
      <c r="I131" s="4">
        <f xml:space="preserve"> (InventoryModel[[#This Row],[AvgWeeklyDemand]] * InventoryModel[[#This Row],[LeadTimeWeeks]]) + InventoryModel[[#This Row],[SafetyStock]]</f>
        <v>320.86493046210092</v>
      </c>
      <c r="J131">
        <f>_xlfn.XLOOKUP(A131,SKU_Master[SKUID],SKU_Master[CurrentStockLevel],"Not Found", 0)</f>
        <v>17</v>
      </c>
      <c r="K131" t="str">
        <f xml:space="preserve"> IF(InventoryModel[[#This Row],[CurrentStockLevel]] &lt; InventoryModel[[#This Row],[ReorderPoint]], "At Risk", "OK")</f>
        <v>At Risk</v>
      </c>
      <c r="L131" s="7">
        <f>(InventoryModel[[#This Row],[ReorderPoint]] - InventoryModel[[#This Row],[CurrentStockLevel]]) / InventoryModel[[#This Row],[ReorderPoint]]</f>
        <v>0.94701820490161681</v>
      </c>
      <c r="M131" s="3" t="str" cm="1">
        <f t="array" ref="M131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131" s="3">
        <f>AVERAGEIFS(DemandHistory[AbsPctError],DemandHistory[SKUID],A131)</f>
        <v>0.98003629629277056</v>
      </c>
      <c r="O131" s="3">
        <f>InventoryModel[[#This Row],[StdDevWeeklyDemand]] / InventoryModel[[#This Row],[AvgWeeklyDemand]]</f>
        <v>0.45491291994097111</v>
      </c>
      <c r="P131" s="3" t="str">
        <f>_xlfn.XLOOKUP(A131, SKU_Master[SKUID], SKU_Master[Category], "Not Found", 0)</f>
        <v>Chains &amp; Bars</v>
      </c>
    </row>
    <row r="132" spans="1:16" x14ac:dyDescent="0.25">
      <c r="A132" s="2" t="s">
        <v>277</v>
      </c>
      <c r="B132">
        <f>SUMIF(DemandHistory!A:A, A132, DemandHistory!C:C) * 2</f>
        <v>3550</v>
      </c>
      <c r="C132" s="4">
        <f>SQRT((2*B132*_xlfn.XLOOKUP(A132,SKU_Master!A:A,SKU_Master!E:E,,0))/_xlfn.XLOOKUP(A132,SKU_Master!A:A,SKU_Master!F:F,,0))</f>
        <v>223.36924998549031</v>
      </c>
      <c r="D132" s="3">
        <f>_xlfn.XLOOKUP(InventoryModel[[#This Row],[SKUID]], DemandSummary!$A:$A, DemandSummary!$B:$B)</f>
        <v>68.269230769230774</v>
      </c>
      <c r="E132" s="3">
        <f>_xlfn.XLOOKUP(InventoryModel[[#This Row],[SKUID]],DemandSummary!A:A,DemandSummary!C:C,,0)</f>
        <v>9.8206219448981749</v>
      </c>
      <c r="F132" s="3">
        <f>_xlfn.XLOOKUP(A132, SKU_Master[SKUID], SKU_Master[LeadTimeDaysStdDev], "Not Found", 0) / 7</f>
        <v>0.41428571428571426</v>
      </c>
      <c r="G132" s="3">
        <f>_xlfn.XLOOKUP(A132, SKU_Master[SKUID], SKU_Master[LeadTimeDaysAvg], "Not Found", 0) / 7</f>
        <v>1.7142857142857142</v>
      </c>
      <c r="H132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51.263241637198057</v>
      </c>
      <c r="I132" s="4">
        <f xml:space="preserve"> (InventoryModel[[#This Row],[AvgWeeklyDemand]] * InventoryModel[[#This Row],[LeadTimeWeeks]]) + InventoryModel[[#This Row],[SafetyStock]]</f>
        <v>168.2962086701651</v>
      </c>
      <c r="J132">
        <f>_xlfn.XLOOKUP(A132,SKU_Master[SKUID],SKU_Master[CurrentStockLevel],"Not Found", 0)</f>
        <v>75</v>
      </c>
      <c r="K132" t="str">
        <f xml:space="preserve"> IF(InventoryModel[[#This Row],[CurrentStockLevel]] &lt; InventoryModel[[#This Row],[ReorderPoint]], "At Risk", "OK")</f>
        <v>At Risk</v>
      </c>
      <c r="L132" s="7">
        <f>(InventoryModel[[#This Row],[ReorderPoint]] - InventoryModel[[#This Row],[CurrentStockLevel]]) / InventoryModel[[#This Row],[ReorderPoint]]</f>
        <v>0.55435716233519816</v>
      </c>
      <c r="M132" s="3" t="str" cm="1">
        <f t="array" ref="M132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132" s="3">
        <f>AVERAGEIFS(DemandHistory[AbsPctError],DemandHistory[SKUID],A132)</f>
        <v>0.10647298571854275</v>
      </c>
      <c r="O132" s="3">
        <f>InventoryModel[[#This Row],[StdDevWeeklyDemand]] / InventoryModel[[#This Row],[AvgWeeklyDemand]]</f>
        <v>0.14385136369991691</v>
      </c>
      <c r="P132" s="3" t="str">
        <f>_xlfn.XLOOKUP(A132, SKU_Master[SKUID], SKU_Master[Category], "Not Found", 0)</f>
        <v>Small Parts</v>
      </c>
    </row>
    <row r="133" spans="1:16" x14ac:dyDescent="0.25">
      <c r="A133" s="2" t="s">
        <v>279</v>
      </c>
      <c r="B133">
        <f>SUMIF(DemandHistory!A:A, A133, DemandHistory!C:C) * 2</f>
        <v>3638</v>
      </c>
      <c r="C133" s="4">
        <f>SQRT((2*B133*_xlfn.XLOOKUP(A133,SKU_Master!A:A,SKU_Master!E:E,,0))/_xlfn.XLOOKUP(A133,SKU_Master!A:A,SKU_Master!F:F,,0))</f>
        <v>50.740814426604267</v>
      </c>
      <c r="D133" s="3">
        <f>_xlfn.XLOOKUP(InventoryModel[[#This Row],[SKUID]], DemandSummary!$A:$A, DemandSummary!$B:$B)</f>
        <v>69.961538461538467</v>
      </c>
      <c r="E133" s="3">
        <f>_xlfn.XLOOKUP(InventoryModel[[#This Row],[SKUID]],DemandSummary!A:A,DemandSummary!C:C,,0)</f>
        <v>9.6642879478242616</v>
      </c>
      <c r="F133" s="3">
        <f>_xlfn.XLOOKUP(A133, SKU_Master[SKUID], SKU_Master[LeadTimeDaysStdDev], "Not Found", 0) / 7</f>
        <v>0.5</v>
      </c>
      <c r="G133" s="3">
        <f>_xlfn.XLOOKUP(A133, SKU_Master[SKUID], SKU_Master[LeadTimeDaysAvg], "Not Found", 0) / 7</f>
        <v>1.7142857142857142</v>
      </c>
      <c r="H133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61.378355840091729</v>
      </c>
      <c r="I133" s="4">
        <f xml:space="preserve"> (InventoryModel[[#This Row],[AvgWeeklyDemand]] * InventoryModel[[#This Row],[LeadTimeWeeks]]) + InventoryModel[[#This Row],[SafetyStock]]</f>
        <v>181.31242177415766</v>
      </c>
      <c r="J133">
        <f>_xlfn.XLOOKUP(A133,SKU_Master[SKUID],SKU_Master[CurrentStockLevel],"Not Found", 0)</f>
        <v>284</v>
      </c>
      <c r="K133" t="str">
        <f xml:space="preserve"> IF(InventoryModel[[#This Row],[CurrentStockLevel]] &lt; InventoryModel[[#This Row],[ReorderPoint]], "At Risk", "OK")</f>
        <v>OK</v>
      </c>
      <c r="L133" s="7">
        <f>(InventoryModel[[#This Row],[ReorderPoint]] - InventoryModel[[#This Row],[CurrentStockLevel]]) / InventoryModel[[#This Row],[ReorderPoint]]</f>
        <v>-0.5663571046100182</v>
      </c>
      <c r="M133" s="3" t="str" cm="1">
        <f t="array" ref="M133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WatchOverstock</v>
      </c>
      <c r="N133" s="3">
        <f>AVERAGEIFS(DemandHistory[AbsPctError],DemandHistory[SKUID],A133)</f>
        <v>0.10776627312571227</v>
      </c>
      <c r="O133" s="3">
        <f>InventoryModel[[#This Row],[StdDevWeeklyDemand]] / InventoryModel[[#This Row],[AvgWeeklyDemand]]</f>
        <v>0.13813715593371675</v>
      </c>
      <c r="P133" s="3" t="str">
        <f>_xlfn.XLOOKUP(A133, SKU_Master[SKUID], SKU_Master[Category], "Not Found", 0)</f>
        <v>Accessories</v>
      </c>
    </row>
    <row r="134" spans="1:16" x14ac:dyDescent="0.25">
      <c r="A134" s="2" t="s">
        <v>281</v>
      </c>
      <c r="B134">
        <f>SUMIF(DemandHistory!A:A, A134, DemandHistory!C:C) * 2</f>
        <v>6734</v>
      </c>
      <c r="C134" s="4">
        <f>SQRT((2*B134*_xlfn.XLOOKUP(A134,SKU_Master!A:A,SKU_Master!E:E,,0))/_xlfn.XLOOKUP(A134,SKU_Master!A:A,SKU_Master!F:F,,0))</f>
        <v>402.85348942360486</v>
      </c>
      <c r="D134" s="3">
        <f>_xlfn.XLOOKUP(InventoryModel[[#This Row],[SKUID]], DemandSummary!$A:$A, DemandSummary!$B:$B)</f>
        <v>129.5</v>
      </c>
      <c r="E134" s="3">
        <f>_xlfn.XLOOKUP(InventoryModel[[#This Row],[SKUID]],DemandSummary!A:A,DemandSummary!C:C,,0)</f>
        <v>21.905707018948281</v>
      </c>
      <c r="F134" s="3">
        <f>_xlfn.XLOOKUP(A134, SKU_Master[SKUID], SKU_Master[LeadTimeDaysStdDev], "Not Found", 0) / 7</f>
        <v>0.39999999999999997</v>
      </c>
      <c r="G134" s="3">
        <f>_xlfn.XLOOKUP(A134, SKU_Master[SKUID], SKU_Master[LeadTimeDaysAvg], "Not Found", 0) / 7</f>
        <v>1.5714285714285714</v>
      </c>
      <c r="H134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96.737091165399718</v>
      </c>
      <c r="I134" s="4">
        <f xml:space="preserve"> (InventoryModel[[#This Row],[AvgWeeklyDemand]] * InventoryModel[[#This Row],[LeadTimeWeeks]]) + InventoryModel[[#This Row],[SafetyStock]]</f>
        <v>300.2370911653997</v>
      </c>
      <c r="J134">
        <f>_xlfn.XLOOKUP(A134,SKU_Master[SKUID],SKU_Master[CurrentStockLevel],"Not Found", 0)</f>
        <v>261</v>
      </c>
      <c r="K134" t="str">
        <f xml:space="preserve"> IF(InventoryModel[[#This Row],[CurrentStockLevel]] &lt; InventoryModel[[#This Row],[ReorderPoint]], "At Risk", "OK")</f>
        <v>At Risk</v>
      </c>
      <c r="L134" s="7">
        <f>(InventoryModel[[#This Row],[ReorderPoint]] - InventoryModel[[#This Row],[CurrentStockLevel]]) / InventoryModel[[#This Row],[ReorderPoint]]</f>
        <v>0.13068702142395894</v>
      </c>
      <c r="M134" s="3" t="str" cm="1">
        <f t="array" ref="M134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134" s="3">
        <f>AVERAGEIFS(DemandHistory[AbsPctError],DemandHistory[SKUID],A134)</f>
        <v>0.16495462096950322</v>
      </c>
      <c r="O134" s="3">
        <f>InventoryModel[[#This Row],[StdDevWeeklyDemand]] / InventoryModel[[#This Row],[AvgWeeklyDemand]]</f>
        <v>0.16915603875635737</v>
      </c>
      <c r="P134" s="3" t="str">
        <f>_xlfn.XLOOKUP(A134, SKU_Master[SKUID], SKU_Master[Category], "Not Found", 0)</f>
        <v>Small Parts</v>
      </c>
    </row>
    <row r="135" spans="1:16" x14ac:dyDescent="0.25">
      <c r="A135" s="2" t="s">
        <v>283</v>
      </c>
      <c r="B135">
        <f>SUMIF(DemandHistory!A:A, A135, DemandHistory!C:C) * 2</f>
        <v>1210</v>
      </c>
      <c r="C135" s="4">
        <f>SQRT((2*B135*_xlfn.XLOOKUP(A135,SKU_Master!A:A,SKU_Master!E:E,,0))/_xlfn.XLOOKUP(A135,SKU_Master!A:A,SKU_Master!F:F,,0))</f>
        <v>35.279485920140139</v>
      </c>
      <c r="D135" s="3">
        <f>_xlfn.XLOOKUP(InventoryModel[[#This Row],[SKUID]], DemandSummary!$A:$A, DemandSummary!$B:$B)</f>
        <v>23.26923076923077</v>
      </c>
      <c r="E135" s="3">
        <f>_xlfn.XLOOKUP(InventoryModel[[#This Row],[SKUID]],DemandSummary!A:A,DemandSummary!C:C,,0)</f>
        <v>4.8707920695319551</v>
      </c>
      <c r="F135" s="3">
        <f>_xlfn.XLOOKUP(A135, SKU_Master[SKUID], SKU_Master[LeadTimeDaysStdDev], "Not Found", 0) / 7</f>
        <v>0.39999999999999997</v>
      </c>
      <c r="G135" s="3">
        <f>_xlfn.XLOOKUP(A135, SKU_Master[SKUID], SKU_Master[LeadTimeDaysAvg], "Not Found", 0) / 7</f>
        <v>2.7142857142857144</v>
      </c>
      <c r="H135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20.277454170411435</v>
      </c>
      <c r="I135" s="4">
        <f xml:space="preserve"> (InventoryModel[[#This Row],[AvgWeeklyDemand]] * InventoryModel[[#This Row],[LeadTimeWeeks]]) + InventoryModel[[#This Row],[SafetyStock]]</f>
        <v>83.436794829752102</v>
      </c>
      <c r="J135">
        <f>_xlfn.XLOOKUP(A135,SKU_Master[SKUID],SKU_Master[CurrentStockLevel],"Not Found", 0)</f>
        <v>248</v>
      </c>
      <c r="K135" t="str">
        <f xml:space="preserve"> IF(InventoryModel[[#This Row],[CurrentStockLevel]] &lt; InventoryModel[[#This Row],[ReorderPoint]], "At Risk", "OK")</f>
        <v>OK</v>
      </c>
      <c r="L135" s="7">
        <f>(InventoryModel[[#This Row],[ReorderPoint]] - InventoryModel[[#This Row],[CurrentStockLevel]]) / InventoryModel[[#This Row],[ReorderPoint]]</f>
        <v>-1.9723097646072034</v>
      </c>
      <c r="M135" s="3" t="str" cm="1">
        <f t="array" ref="M135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135" s="3">
        <f>AVERAGEIFS(DemandHistory[AbsPctError],DemandHistory[SKUID],A135)</f>
        <v>0.13938543104660922</v>
      </c>
      <c r="O135" s="3">
        <f>InventoryModel[[#This Row],[StdDevWeeklyDemand]] / InventoryModel[[#This Row],[AvgWeeklyDemand]]</f>
        <v>0.2093232955501336</v>
      </c>
      <c r="P135" s="3" t="str">
        <f>_xlfn.XLOOKUP(A135, SKU_Master[SKUID], SKU_Master[Category], "Not Found", 0)</f>
        <v>Blowers</v>
      </c>
    </row>
    <row r="136" spans="1:16" x14ac:dyDescent="0.25">
      <c r="A136" s="2" t="s">
        <v>285</v>
      </c>
      <c r="B136">
        <f>SUMIF(DemandHistory!A:A, A136, DemandHistory!C:C) * 2</f>
        <v>4820</v>
      </c>
      <c r="C136" s="4">
        <f>SQRT((2*B136*_xlfn.XLOOKUP(A136,SKU_Master!A:A,SKU_Master!E:E,,0))/_xlfn.XLOOKUP(A136,SKU_Master!A:A,SKU_Master!F:F,,0))</f>
        <v>244.71789741469357</v>
      </c>
      <c r="D136" s="3">
        <f>_xlfn.XLOOKUP(InventoryModel[[#This Row],[SKUID]], DemandSummary!$A:$A, DemandSummary!$B:$B)</f>
        <v>92.692307692307693</v>
      </c>
      <c r="E136" s="3">
        <f>_xlfn.XLOOKUP(InventoryModel[[#This Row],[SKUID]],DemandSummary!A:A,DemandSummary!C:C,,0)</f>
        <v>16.62713259890408</v>
      </c>
      <c r="F136" s="3">
        <f>_xlfn.XLOOKUP(A136, SKU_Master[SKUID], SKU_Master[LeadTimeDaysStdDev], "Not Found", 0) / 7</f>
        <v>0.15714285714285717</v>
      </c>
      <c r="G136" s="3">
        <f>_xlfn.XLOOKUP(A136, SKU_Master[SKUID], SKU_Master[LeadTimeDaysAvg], "Not Found", 0) / 7</f>
        <v>1.5714285714285714</v>
      </c>
      <c r="H136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41.956940107263229</v>
      </c>
      <c r="I136" s="4">
        <f xml:space="preserve"> (InventoryModel[[#This Row],[AvgWeeklyDemand]] * InventoryModel[[#This Row],[LeadTimeWeeks]]) + InventoryModel[[#This Row],[SafetyStock]]</f>
        <v>187.61628076660389</v>
      </c>
      <c r="J136">
        <f>_xlfn.XLOOKUP(A136,SKU_Master[SKUID],SKU_Master[CurrentStockLevel],"Not Found", 0)</f>
        <v>137</v>
      </c>
      <c r="K136" t="str">
        <f xml:space="preserve"> IF(InventoryModel[[#This Row],[CurrentStockLevel]] &lt; InventoryModel[[#This Row],[ReorderPoint]], "At Risk", "OK")</f>
        <v>At Risk</v>
      </c>
      <c r="L136" s="7">
        <f>(InventoryModel[[#This Row],[ReorderPoint]] - InventoryModel[[#This Row],[CurrentStockLevel]]) / InventoryModel[[#This Row],[ReorderPoint]]</f>
        <v>0.26978618571791718</v>
      </c>
      <c r="M136" s="3" t="str" cm="1">
        <f t="array" ref="M136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136" s="3">
        <f>AVERAGEIFS(DemandHistory[AbsPctError],DemandHistory[SKUID],A136)</f>
        <v>0.15515508854380433</v>
      </c>
      <c r="O136" s="3">
        <f>InventoryModel[[#This Row],[StdDevWeeklyDemand]] / InventoryModel[[#This Row],[AvgWeeklyDemand]]</f>
        <v>0.17937985376411039</v>
      </c>
      <c r="P136" s="3" t="str">
        <f>_xlfn.XLOOKUP(A136, SKU_Master[SKUID], SKU_Master[Category], "Not Found", 0)</f>
        <v>Chainsaws</v>
      </c>
    </row>
    <row r="137" spans="1:16" x14ac:dyDescent="0.25">
      <c r="A137" s="2" t="s">
        <v>287</v>
      </c>
      <c r="B137">
        <f>SUMIF(DemandHistory!A:A, A137, DemandHistory!C:C) * 2</f>
        <v>2732</v>
      </c>
      <c r="C137" s="4">
        <f>SQRT((2*B137*_xlfn.XLOOKUP(A137,SKU_Master!A:A,SKU_Master!E:E,,0))/_xlfn.XLOOKUP(A137,SKU_Master!A:A,SKU_Master!F:F,,0))</f>
        <v>386.01264699017781</v>
      </c>
      <c r="D137" s="3">
        <f>_xlfn.XLOOKUP(InventoryModel[[#This Row],[SKUID]], DemandSummary!$A:$A, DemandSummary!$B:$B)</f>
        <v>52.53846153846154</v>
      </c>
      <c r="E137" s="3">
        <f>_xlfn.XLOOKUP(InventoryModel[[#This Row],[SKUID]],DemandSummary!A:A,DemandSummary!C:C,,0)</f>
        <v>6.0546231541245623</v>
      </c>
      <c r="F137" s="3">
        <f>_xlfn.XLOOKUP(A137, SKU_Master[SKUID], SKU_Master[LeadTimeDaysStdDev], "Not Found", 0) / 7</f>
        <v>0.48571428571428571</v>
      </c>
      <c r="G137" s="3">
        <f>_xlfn.XLOOKUP(A137, SKU_Master[SKUID], SKU_Master[LeadTimeDaysAvg], "Not Found", 0) / 7</f>
        <v>1.5714285714285714</v>
      </c>
      <c r="H137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43.928728451567686</v>
      </c>
      <c r="I137" s="4">
        <f xml:space="preserve"> (InventoryModel[[#This Row],[AvgWeeklyDemand]] * InventoryModel[[#This Row],[LeadTimeWeeks]]) + InventoryModel[[#This Row],[SafetyStock]]</f>
        <v>126.48916801200724</v>
      </c>
      <c r="J137">
        <f>_xlfn.XLOOKUP(A137,SKU_Master[SKUID],SKU_Master[CurrentStockLevel],"Not Found", 0)</f>
        <v>259</v>
      </c>
      <c r="K137" t="str">
        <f xml:space="preserve"> IF(InventoryModel[[#This Row],[CurrentStockLevel]] &lt; InventoryModel[[#This Row],[ReorderPoint]], "At Risk", "OK")</f>
        <v>OK</v>
      </c>
      <c r="L137" s="7">
        <f>(InventoryModel[[#This Row],[ReorderPoint]] - InventoryModel[[#This Row],[CurrentStockLevel]]) / InventoryModel[[#This Row],[ReorderPoint]]</f>
        <v>-1.0476061632045355</v>
      </c>
      <c r="M137" s="3" t="str" cm="1">
        <f t="array" ref="M137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137" s="3">
        <f>AVERAGEIFS(DemandHistory[AbsPctError],DemandHistory[SKUID],A137)</f>
        <v>5.7624711569057185E-2</v>
      </c>
      <c r="O137" s="3">
        <f>InventoryModel[[#This Row],[StdDevWeeklyDemand]] / InventoryModel[[#This Row],[AvgWeeklyDemand]]</f>
        <v>0.11524172914146312</v>
      </c>
      <c r="P137" s="3" t="str">
        <f>_xlfn.XLOOKUP(A137, SKU_Master[SKUID], SKU_Master[Category], "Not Found", 0)</f>
        <v>Mowers</v>
      </c>
    </row>
    <row r="138" spans="1:16" x14ac:dyDescent="0.25">
      <c r="A138" s="2" t="s">
        <v>289</v>
      </c>
      <c r="B138">
        <f>SUMIF(DemandHistory!A:A, A138, DemandHistory!C:C) * 2</f>
        <v>3382</v>
      </c>
      <c r="C138" s="4">
        <f>SQRT((2*B138*_xlfn.XLOOKUP(A138,SKU_Master!A:A,SKU_Master!E:E,,0))/_xlfn.XLOOKUP(A138,SKU_Master!A:A,SKU_Master!F:F,,0))</f>
        <v>94.893274855961138</v>
      </c>
      <c r="D138" s="3">
        <f>_xlfn.XLOOKUP(InventoryModel[[#This Row],[SKUID]], DemandSummary!$A:$A, DemandSummary!$B:$B)</f>
        <v>65.038461538461533</v>
      </c>
      <c r="E138" s="3">
        <f>_xlfn.XLOOKUP(InventoryModel[[#This Row],[SKUID]],DemandSummary!A:A,DemandSummary!C:C,,0)</f>
        <v>10.879267509279348</v>
      </c>
      <c r="F138" s="3">
        <f>_xlfn.XLOOKUP(A138, SKU_Master[SKUID], SKU_Master[LeadTimeDaysStdDev], "Not Found", 0) / 7</f>
        <v>0.22857142857142859</v>
      </c>
      <c r="G138" s="3">
        <f>_xlfn.XLOOKUP(A138, SKU_Master[SKUID], SKU_Master[LeadTimeDaysAvg], "Not Found", 0) / 7</f>
        <v>1</v>
      </c>
      <c r="H138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30.395600170138664</v>
      </c>
      <c r="I138" s="4">
        <f xml:space="preserve"> (InventoryModel[[#This Row],[AvgWeeklyDemand]] * InventoryModel[[#This Row],[LeadTimeWeeks]]) + InventoryModel[[#This Row],[SafetyStock]]</f>
        <v>95.434061708600197</v>
      </c>
      <c r="J138">
        <f>_xlfn.XLOOKUP(A138,SKU_Master[SKUID],SKU_Master[CurrentStockLevel],"Not Found", 0)</f>
        <v>253</v>
      </c>
      <c r="K138" t="str">
        <f xml:space="preserve"> IF(InventoryModel[[#This Row],[CurrentStockLevel]] &lt; InventoryModel[[#This Row],[ReorderPoint]], "At Risk", "OK")</f>
        <v>OK</v>
      </c>
      <c r="L138" s="7">
        <f>(InventoryModel[[#This Row],[ReorderPoint]] - InventoryModel[[#This Row],[CurrentStockLevel]]) / InventoryModel[[#This Row],[ReorderPoint]]</f>
        <v>-1.6510450825462506</v>
      </c>
      <c r="M138" s="3" t="str" cm="1">
        <f t="array" ref="M138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138" s="3">
        <f>AVERAGEIFS(DemandHistory[AbsPctError],DemandHistory[SKUID],A138)</f>
        <v>0.10546528917552669</v>
      </c>
      <c r="O138" s="3">
        <f>InventoryModel[[#This Row],[StdDevWeeklyDemand]] / InventoryModel[[#This Row],[AvgWeeklyDemand]]</f>
        <v>0.16727436738099533</v>
      </c>
      <c r="P138" s="3" t="str">
        <f>_xlfn.XLOOKUP(A138, SKU_Master[SKUID], SKU_Master[Category], "Not Found", 0)</f>
        <v>Small Parts</v>
      </c>
    </row>
    <row r="139" spans="1:16" x14ac:dyDescent="0.25">
      <c r="A139" s="2" t="s">
        <v>291</v>
      </c>
      <c r="B139">
        <f>SUMIF(DemandHistory!A:A, A139, DemandHistory!C:C) * 2</f>
        <v>5158</v>
      </c>
      <c r="C139" s="4">
        <f>SQRT((2*B139*_xlfn.XLOOKUP(A139,SKU_Master!A:A,SKU_Master!E:E,,0))/_xlfn.XLOOKUP(A139,SKU_Master!A:A,SKU_Master!F:F,,0))</f>
        <v>86.717711270817659</v>
      </c>
      <c r="D139" s="3">
        <f>_xlfn.XLOOKUP(InventoryModel[[#This Row],[SKUID]], DemandSummary!$A:$A, DemandSummary!$B:$B)</f>
        <v>99.192307692307693</v>
      </c>
      <c r="E139" s="3">
        <f>_xlfn.XLOOKUP(InventoryModel[[#This Row],[SKUID]],DemandSummary!A:A,DemandSummary!C:C,,0)</f>
        <v>35.403976308623001</v>
      </c>
      <c r="F139" s="3">
        <f>_xlfn.XLOOKUP(A139, SKU_Master[SKUID], SKU_Master[LeadTimeDaysStdDev], "Not Found", 0) / 7</f>
        <v>1.4285714285714286</v>
      </c>
      <c r="G139" s="3">
        <f>_xlfn.XLOOKUP(A139, SKU_Master[SKUID], SKU_Master[LeadTimeDaysAvg], "Not Found", 0) / 7</f>
        <v>4.7142857142857144</v>
      </c>
      <c r="H139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265.99773708794498</v>
      </c>
      <c r="I139" s="4">
        <f xml:space="preserve"> (InventoryModel[[#This Row],[AvgWeeklyDemand]] * InventoryModel[[#This Row],[LeadTimeWeeks]]) + InventoryModel[[#This Row],[SafetyStock]]</f>
        <v>733.61861620882405</v>
      </c>
      <c r="J139">
        <f>_xlfn.XLOOKUP(A139,SKU_Master[SKUID],SKU_Master[CurrentStockLevel],"Not Found", 0)</f>
        <v>14</v>
      </c>
      <c r="K139" t="str">
        <f xml:space="preserve"> IF(InventoryModel[[#This Row],[CurrentStockLevel]] &lt; InventoryModel[[#This Row],[ReorderPoint]], "At Risk", "OK")</f>
        <v>At Risk</v>
      </c>
      <c r="L139" s="7">
        <f>(InventoryModel[[#This Row],[ReorderPoint]] - InventoryModel[[#This Row],[CurrentStockLevel]]) / InventoryModel[[#This Row],[ReorderPoint]]</f>
        <v>0.98091651480663233</v>
      </c>
      <c r="M139" s="3" t="str" cm="1">
        <f t="array" ref="M139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139" s="3">
        <f>AVERAGEIFS(DemandHistory[AbsPctError],DemandHistory[SKUID],A139)</f>
        <v>0.39271639143231596</v>
      </c>
      <c r="O139" s="3">
        <f>InventoryModel[[#This Row],[StdDevWeeklyDemand]] / InventoryModel[[#This Row],[AvgWeeklyDemand]]</f>
        <v>0.35692259946653665</v>
      </c>
      <c r="P139" s="3" t="str">
        <f>_xlfn.XLOOKUP(A139, SKU_Master[SKUID], SKU_Master[Category], "Not Found", 0)</f>
        <v>Accessories</v>
      </c>
    </row>
    <row r="140" spans="1:16" x14ac:dyDescent="0.25">
      <c r="A140" s="2" t="s">
        <v>293</v>
      </c>
      <c r="B140">
        <f>SUMIF(DemandHistory!A:A, A140, DemandHistory!C:C) * 2</f>
        <v>3594</v>
      </c>
      <c r="C140" s="4">
        <f>SQRT((2*B140*_xlfn.XLOOKUP(A140,SKU_Master!A:A,SKU_Master!E:E,,0))/_xlfn.XLOOKUP(A140,SKU_Master!A:A,SKU_Master!F:F,,0))</f>
        <v>89.487790143750473</v>
      </c>
      <c r="D140" s="3">
        <f>_xlfn.XLOOKUP(InventoryModel[[#This Row],[SKUID]], DemandSummary!$A:$A, DemandSummary!$B:$B)</f>
        <v>69.115384615384613</v>
      </c>
      <c r="E140" s="3">
        <f>_xlfn.XLOOKUP(InventoryModel[[#This Row],[SKUID]],DemandSummary!A:A,DemandSummary!C:C,,0)</f>
        <v>8.7330495158423194</v>
      </c>
      <c r="F140" s="3">
        <f>_xlfn.XLOOKUP(A140, SKU_Master[SKUID], SKU_Master[LeadTimeDaysStdDev], "Not Found", 0) / 7</f>
        <v>0.42857142857142855</v>
      </c>
      <c r="G140" s="3">
        <f>_xlfn.XLOOKUP(A140, SKU_Master[SKUID], SKU_Master[LeadTimeDaysAvg], "Not Found", 0) / 7</f>
        <v>2</v>
      </c>
      <c r="H140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52.952630946941561</v>
      </c>
      <c r="I140" s="4">
        <f xml:space="preserve"> (InventoryModel[[#This Row],[AvgWeeklyDemand]] * InventoryModel[[#This Row],[LeadTimeWeeks]]) + InventoryModel[[#This Row],[SafetyStock]]</f>
        <v>191.18340017771078</v>
      </c>
      <c r="J140">
        <f>_xlfn.XLOOKUP(A140,SKU_Master[SKUID],SKU_Master[CurrentStockLevel],"Not Found", 0)</f>
        <v>156</v>
      </c>
      <c r="K140" t="str">
        <f xml:space="preserve"> IF(InventoryModel[[#This Row],[CurrentStockLevel]] &lt; InventoryModel[[#This Row],[ReorderPoint]], "At Risk", "OK")</f>
        <v>At Risk</v>
      </c>
      <c r="L140" s="7">
        <f>(InventoryModel[[#This Row],[ReorderPoint]] - InventoryModel[[#This Row],[CurrentStockLevel]]) / InventoryModel[[#This Row],[ReorderPoint]]</f>
        <v>0.18402957654799915</v>
      </c>
      <c r="M140" s="3" t="str" cm="1">
        <f t="array" ref="M140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140" s="3">
        <f>AVERAGEIFS(DemandHistory[AbsPctError],DemandHistory[SKUID],A140)</f>
        <v>7.5704212817837874E-2</v>
      </c>
      <c r="O140" s="3">
        <f>InventoryModel[[#This Row],[StdDevWeeklyDemand]] / InventoryModel[[#This Row],[AvgWeeklyDemand]]</f>
        <v>0.12635463962821386</v>
      </c>
      <c r="P140" s="3" t="str">
        <f>_xlfn.XLOOKUP(A140, SKU_Master[SKUID], SKU_Master[Category], "Not Found", 0)</f>
        <v>Trimmers</v>
      </c>
    </row>
    <row r="141" spans="1:16" x14ac:dyDescent="0.25">
      <c r="A141" s="2" t="s">
        <v>295</v>
      </c>
      <c r="B141">
        <f>SUMIF(DemandHistory!A:A, A141, DemandHistory!C:C) * 2</f>
        <v>2350</v>
      </c>
      <c r="C141" s="4">
        <f>SQRT((2*B141*_xlfn.XLOOKUP(A141,SKU_Master!A:A,SKU_Master!E:E,,0))/_xlfn.XLOOKUP(A141,SKU_Master!A:A,SKU_Master!F:F,,0))</f>
        <v>112.61632883999008</v>
      </c>
      <c r="D141" s="3">
        <f>_xlfn.XLOOKUP(InventoryModel[[#This Row],[SKUID]], DemandSummary!$A:$A, DemandSummary!$B:$B)</f>
        <v>45.192307692307693</v>
      </c>
      <c r="E141" s="3">
        <f>_xlfn.XLOOKUP(InventoryModel[[#This Row],[SKUID]],DemandSummary!A:A,DemandSummary!C:C,,0)</f>
        <v>6.7291558505906544</v>
      </c>
      <c r="F141" s="3">
        <f>_xlfn.XLOOKUP(A141, SKU_Master[SKUID], SKU_Master[LeadTimeDaysStdDev], "Not Found", 0) / 7</f>
        <v>0.15714285714285717</v>
      </c>
      <c r="G141" s="3">
        <f>_xlfn.XLOOKUP(A141, SKU_Master[SKUID], SKU_Master[LeadTimeDaysAvg], "Not Found", 0) / 7</f>
        <v>2.5714285714285716</v>
      </c>
      <c r="H141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21.314503748259469</v>
      </c>
      <c r="I141" s="4">
        <f xml:space="preserve"> (InventoryModel[[#This Row],[AvgWeeklyDemand]] * InventoryModel[[#This Row],[LeadTimeWeeks]]) + InventoryModel[[#This Row],[SafetyStock]]</f>
        <v>137.52329495705069</v>
      </c>
      <c r="J141">
        <f>_xlfn.XLOOKUP(A141,SKU_Master[SKUID],SKU_Master[CurrentStockLevel],"Not Found", 0)</f>
        <v>246</v>
      </c>
      <c r="K141" t="str">
        <f xml:space="preserve"> IF(InventoryModel[[#This Row],[CurrentStockLevel]] &lt; InventoryModel[[#This Row],[ReorderPoint]], "At Risk", "OK")</f>
        <v>OK</v>
      </c>
      <c r="L141" s="7">
        <f>(InventoryModel[[#This Row],[ReorderPoint]] - InventoryModel[[#This Row],[CurrentStockLevel]]) / InventoryModel[[#This Row],[ReorderPoint]]</f>
        <v>-0.78878785646335192</v>
      </c>
      <c r="M141" s="3" t="str" cm="1">
        <f t="array" ref="M141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141" s="3">
        <f>AVERAGEIFS(DemandHistory[AbsPctError],DemandHistory[SKUID],A141)</f>
        <v>8.0727353211081251E-2</v>
      </c>
      <c r="O141" s="3">
        <f>InventoryModel[[#This Row],[StdDevWeeklyDemand]] / InventoryModel[[#This Row],[AvgWeeklyDemand]]</f>
        <v>0.14890046988541022</v>
      </c>
      <c r="P141" s="3" t="str">
        <f>_xlfn.XLOOKUP(A141, SKU_Master[SKUID], SKU_Master[Category], "Not Found", 0)</f>
        <v>Chainsaws</v>
      </c>
    </row>
    <row r="142" spans="1:16" x14ac:dyDescent="0.25">
      <c r="A142" s="2" t="s">
        <v>297</v>
      </c>
      <c r="B142">
        <f>SUMIF(DemandHistory!A:A, A142, DemandHistory!C:C) * 2</f>
        <v>6370</v>
      </c>
      <c r="C142" s="4">
        <f>SQRT((2*B142*_xlfn.XLOOKUP(A142,SKU_Master!A:A,SKU_Master!E:E,,0))/_xlfn.XLOOKUP(A142,SKU_Master!A:A,SKU_Master!F:F,,0))</f>
        <v>113.43912804829611</v>
      </c>
      <c r="D142" s="3">
        <f>_xlfn.XLOOKUP(InventoryModel[[#This Row],[SKUID]], DemandSummary!$A:$A, DemandSummary!$B:$B)</f>
        <v>122.5</v>
      </c>
      <c r="E142" s="3">
        <f>_xlfn.XLOOKUP(InventoryModel[[#This Row],[SKUID]],DemandSummary!A:A,DemandSummary!C:C,,0)</f>
        <v>20.294334184693028</v>
      </c>
      <c r="F142" s="3">
        <f>_xlfn.XLOOKUP(A142, SKU_Master[SKUID], SKU_Master[LeadTimeDaysStdDev], "Not Found", 0) / 7</f>
        <v>0.32857142857142857</v>
      </c>
      <c r="G142" s="3">
        <f>_xlfn.XLOOKUP(A142, SKU_Master[SKUID], SKU_Master[LeadTimeDaysAvg], "Not Found", 0) / 7</f>
        <v>0.7142857142857143</v>
      </c>
      <c r="H142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72.191001955872977</v>
      </c>
      <c r="I142" s="4">
        <f xml:space="preserve"> (InventoryModel[[#This Row],[AvgWeeklyDemand]] * InventoryModel[[#This Row],[LeadTimeWeeks]]) + InventoryModel[[#This Row],[SafetyStock]]</f>
        <v>159.69100195587299</v>
      </c>
      <c r="J142">
        <f>_xlfn.XLOOKUP(A142,SKU_Master[SKUID],SKU_Master[CurrentStockLevel],"Not Found", 0)</f>
        <v>90</v>
      </c>
      <c r="K142" t="str">
        <f xml:space="preserve"> IF(InventoryModel[[#This Row],[CurrentStockLevel]] &lt; InventoryModel[[#This Row],[ReorderPoint]], "At Risk", "OK")</f>
        <v>At Risk</v>
      </c>
      <c r="L142" s="7">
        <f>(InventoryModel[[#This Row],[ReorderPoint]] - InventoryModel[[#This Row],[CurrentStockLevel]]) / InventoryModel[[#This Row],[ReorderPoint]]</f>
        <v>0.43641157674701375</v>
      </c>
      <c r="M142" s="3" t="str" cm="1">
        <f t="array" ref="M142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142" s="3">
        <f>AVERAGEIFS(DemandHistory[AbsPctError],DemandHistory[SKUID],A142)</f>
        <v>0.1361322387015651</v>
      </c>
      <c r="O142" s="3">
        <f>InventoryModel[[#This Row],[StdDevWeeklyDemand]] / InventoryModel[[#This Row],[AvgWeeklyDemand]]</f>
        <v>0.16566803416075943</v>
      </c>
      <c r="P142" s="3" t="str">
        <f>_xlfn.XLOOKUP(A142, SKU_Master[SKUID], SKU_Master[Category], "Not Found", 0)</f>
        <v>Small Parts</v>
      </c>
    </row>
    <row r="143" spans="1:16" x14ac:dyDescent="0.25">
      <c r="A143" s="2" t="s">
        <v>299</v>
      </c>
      <c r="B143">
        <f>SUMIF(DemandHistory!A:A, A143, DemandHistory!C:C) * 2</f>
        <v>6452</v>
      </c>
      <c r="C143" s="4">
        <f>SQRT((2*B143*_xlfn.XLOOKUP(A143,SKU_Master!A:A,SKU_Master!E:E,,0))/_xlfn.XLOOKUP(A143,SKU_Master!A:A,SKU_Master!F:F,,0))</f>
        <v>176.23375984436842</v>
      </c>
      <c r="D143" s="3">
        <f>_xlfn.XLOOKUP(InventoryModel[[#This Row],[SKUID]], DemandSummary!$A:$A, DemandSummary!$B:$B)</f>
        <v>124.07692307692308</v>
      </c>
      <c r="E143" s="3">
        <f>_xlfn.XLOOKUP(InventoryModel[[#This Row],[SKUID]],DemandSummary!A:A,DemandSummary!C:C,,0)</f>
        <v>24.757904720590656</v>
      </c>
      <c r="F143" s="3">
        <f>_xlfn.XLOOKUP(A143, SKU_Master[SKUID], SKU_Master[LeadTimeDaysStdDev], "Not Found", 0) / 7</f>
        <v>0.34285714285714286</v>
      </c>
      <c r="G143" s="3">
        <f>_xlfn.XLOOKUP(A143, SKU_Master[SKUID], SKU_Master[LeadTimeDaysAvg], "Not Found", 0) / 7</f>
        <v>2.2857142857142856</v>
      </c>
      <c r="H143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93.494670571313804</v>
      </c>
      <c r="I143" s="4">
        <f xml:space="preserve"> (InventoryModel[[#This Row],[AvgWeeklyDemand]] * InventoryModel[[#This Row],[LeadTimeWeeks]]) + InventoryModel[[#This Row],[SafetyStock]]</f>
        <v>377.09906617570942</v>
      </c>
      <c r="J143">
        <f>_xlfn.XLOOKUP(A143,SKU_Master[SKUID],SKU_Master[CurrentStockLevel],"Not Found", 0)</f>
        <v>91</v>
      </c>
      <c r="K143" t="str">
        <f xml:space="preserve"> IF(InventoryModel[[#This Row],[CurrentStockLevel]] &lt; InventoryModel[[#This Row],[ReorderPoint]], "At Risk", "OK")</f>
        <v>At Risk</v>
      </c>
      <c r="L143" s="7">
        <f>(InventoryModel[[#This Row],[ReorderPoint]] - InventoryModel[[#This Row],[CurrentStockLevel]]) / InventoryModel[[#This Row],[ReorderPoint]]</f>
        <v>0.7586841014408704</v>
      </c>
      <c r="M143" s="3" t="str" cm="1">
        <f t="array" ref="M143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143" s="3">
        <f>AVERAGEIFS(DemandHistory[AbsPctError],DemandHistory[SKUID],A143)</f>
        <v>0.11046450012203714</v>
      </c>
      <c r="O143" s="3">
        <f>InventoryModel[[#This Row],[StdDevWeeklyDemand]] / InventoryModel[[#This Row],[AvgWeeklyDemand]]</f>
        <v>0.19953673984357007</v>
      </c>
      <c r="P143" s="3" t="str">
        <f>_xlfn.XLOOKUP(A143, SKU_Master[SKUID], SKU_Master[Category], "Not Found", 0)</f>
        <v>Batteries</v>
      </c>
    </row>
    <row r="144" spans="1:16" x14ac:dyDescent="0.25">
      <c r="A144" s="2" t="s">
        <v>301</v>
      </c>
      <c r="B144">
        <f>SUMIF(DemandHistory!A:A, A144, DemandHistory!C:C) * 2</f>
        <v>6822</v>
      </c>
      <c r="C144" s="4">
        <f>SQRT((2*B144*_xlfn.XLOOKUP(A144,SKU_Master!A:A,SKU_Master!E:E,,0))/_xlfn.XLOOKUP(A144,SKU_Master!A:A,SKU_Master!F:F,,0))</f>
        <v>538.63013059280081</v>
      </c>
      <c r="D144" s="3">
        <f>_xlfn.XLOOKUP(InventoryModel[[#This Row],[SKUID]], DemandSummary!$A:$A, DemandSummary!$B:$B)</f>
        <v>131.19230769230768</v>
      </c>
      <c r="E144" s="3">
        <f>_xlfn.XLOOKUP(InventoryModel[[#This Row],[SKUID]],DemandSummary!A:A,DemandSummary!C:C,,0)</f>
        <v>16.326712420494751</v>
      </c>
      <c r="F144" s="3">
        <f>_xlfn.XLOOKUP(A144, SKU_Master[SKUID], SKU_Master[LeadTimeDaysStdDev], "Not Found", 0) / 7</f>
        <v>0.18571428571428572</v>
      </c>
      <c r="G144" s="3">
        <f>_xlfn.XLOOKUP(A144, SKU_Master[SKUID], SKU_Master[LeadTimeDaysAvg], "Not Found", 0) / 7</f>
        <v>2.4285714285714284</v>
      </c>
      <c r="H144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58.125501425648942</v>
      </c>
      <c r="I144" s="4">
        <f xml:space="preserve"> (InventoryModel[[#This Row],[AvgWeeklyDemand]] * InventoryModel[[#This Row],[LeadTimeWeeks]]) + InventoryModel[[#This Row],[SafetyStock]]</f>
        <v>376.73539153553901</v>
      </c>
      <c r="J144">
        <f>_xlfn.XLOOKUP(A144,SKU_Master[SKUID],SKU_Master[CurrentStockLevel],"Not Found", 0)</f>
        <v>209</v>
      </c>
      <c r="K144" t="str">
        <f xml:space="preserve"> IF(InventoryModel[[#This Row],[CurrentStockLevel]] &lt; InventoryModel[[#This Row],[ReorderPoint]], "At Risk", "OK")</f>
        <v>At Risk</v>
      </c>
      <c r="L144" s="7">
        <f>(InventoryModel[[#This Row],[ReorderPoint]] - InventoryModel[[#This Row],[CurrentStockLevel]]) / InventoryModel[[#This Row],[ReorderPoint]]</f>
        <v>0.4452339634242084</v>
      </c>
      <c r="M144" s="3" t="str" cm="1">
        <f t="array" ref="M144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WatchUnderstock</v>
      </c>
      <c r="N144" s="3">
        <f>AVERAGEIFS(DemandHistory[AbsPctError],DemandHistory[SKUID],A144)</f>
        <v>6.7665594030492909E-2</v>
      </c>
      <c r="O144" s="3">
        <f>InventoryModel[[#This Row],[StdDevWeeklyDemand]] / InventoryModel[[#This Row],[AvgWeeklyDemand]]</f>
        <v>0.12444870212045253</v>
      </c>
      <c r="P144" s="3" t="str">
        <f>_xlfn.XLOOKUP(A144, SKU_Master[SKUID], SKU_Master[Category], "Not Found", 0)</f>
        <v>Mowers</v>
      </c>
    </row>
    <row r="145" spans="1:16" x14ac:dyDescent="0.25">
      <c r="A145" s="2" t="s">
        <v>303</v>
      </c>
      <c r="B145">
        <f>SUMIF(DemandHistory!A:A, A145, DemandHistory!C:C) * 2</f>
        <v>4812</v>
      </c>
      <c r="C145" s="4">
        <f>SQRT((2*B145*_xlfn.XLOOKUP(A145,SKU_Master!A:A,SKU_Master!E:E,,0))/_xlfn.XLOOKUP(A145,SKU_Master!A:A,SKU_Master!F:F,,0))</f>
        <v>77.163997188997513</v>
      </c>
      <c r="D145" s="3">
        <f>_xlfn.XLOOKUP(InventoryModel[[#This Row],[SKUID]], DemandSummary!$A:$A, DemandSummary!$B:$B)</f>
        <v>92.538461538461533</v>
      </c>
      <c r="E145" s="3">
        <f>_xlfn.XLOOKUP(InventoryModel[[#This Row],[SKUID]],DemandSummary!A:A,DemandSummary!C:C,,0)</f>
        <v>21.164556729080374</v>
      </c>
      <c r="F145" s="3">
        <f>_xlfn.XLOOKUP(A145, SKU_Master[SKUID], SKU_Master[LeadTimeDaysStdDev], "Not Found", 0) / 7</f>
        <v>0.37142857142857144</v>
      </c>
      <c r="G145" s="3">
        <f>_xlfn.XLOOKUP(A145, SKU_Master[SKUID], SKU_Master[LeadTimeDaysAvg], "Not Found", 0) / 7</f>
        <v>1.4285714285714286</v>
      </c>
      <c r="H145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70.416680017214532</v>
      </c>
      <c r="I145" s="4">
        <f xml:space="preserve"> (InventoryModel[[#This Row],[AvgWeeklyDemand]] * InventoryModel[[#This Row],[LeadTimeWeeks]]) + InventoryModel[[#This Row],[SafetyStock]]</f>
        <v>202.61448221501672</v>
      </c>
      <c r="J145">
        <f>_xlfn.XLOOKUP(A145,SKU_Master[SKUID],SKU_Master[CurrentStockLevel],"Not Found", 0)</f>
        <v>286</v>
      </c>
      <c r="K145" t="str">
        <f xml:space="preserve"> IF(InventoryModel[[#This Row],[CurrentStockLevel]] &lt; InventoryModel[[#This Row],[ReorderPoint]], "At Risk", "OK")</f>
        <v>OK</v>
      </c>
      <c r="L145" s="7">
        <f>(InventoryModel[[#This Row],[ReorderPoint]] - InventoryModel[[#This Row],[CurrentStockLevel]]) / InventoryModel[[#This Row],[ReorderPoint]]</f>
        <v>-0.41154766862367542</v>
      </c>
      <c r="M145" s="3" t="str" cm="1">
        <f t="array" ref="M145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WatchOverstock</v>
      </c>
      <c r="N145" s="3">
        <f>AVERAGEIFS(DemandHistory[AbsPctError],DemandHistory[SKUID],A145)</f>
        <v>0.12681380702496203</v>
      </c>
      <c r="O145" s="3">
        <f>InventoryModel[[#This Row],[StdDevWeeklyDemand]] / InventoryModel[[#This Row],[AvgWeeklyDemand]]</f>
        <v>0.22871092059687853</v>
      </c>
      <c r="P145" s="3" t="str">
        <f>_xlfn.XLOOKUP(A145, SKU_Master[SKUID], SKU_Master[Category], "Not Found", 0)</f>
        <v>Small Parts</v>
      </c>
    </row>
    <row r="146" spans="1:16" x14ac:dyDescent="0.25">
      <c r="A146" s="2" t="s">
        <v>305</v>
      </c>
      <c r="B146">
        <f>SUMIF(DemandHistory!A:A, A146, DemandHistory!C:C) * 2</f>
        <v>1170</v>
      </c>
      <c r="C146" s="4">
        <f>SQRT((2*B146*_xlfn.XLOOKUP(A146,SKU_Master!A:A,SKU_Master!E:E,,0))/_xlfn.XLOOKUP(A146,SKU_Master!A:A,SKU_Master!F:F,,0))</f>
        <v>105.19655126924644</v>
      </c>
      <c r="D146" s="3">
        <f>_xlfn.XLOOKUP(InventoryModel[[#This Row],[SKUID]], DemandSummary!$A:$A, DemandSummary!$B:$B)</f>
        <v>22.5</v>
      </c>
      <c r="E146" s="3">
        <f>_xlfn.XLOOKUP(InventoryModel[[#This Row],[SKUID]],DemandSummary!A:A,DemandSummary!C:C,,0)</f>
        <v>3.0495901363953815</v>
      </c>
      <c r="F146" s="3">
        <f>_xlfn.XLOOKUP(A146, SKU_Master[SKUID], SKU_Master[LeadTimeDaysStdDev], "Not Found", 0) / 7</f>
        <v>0.27142857142857141</v>
      </c>
      <c r="G146" s="3">
        <f>_xlfn.XLOOKUP(A146, SKU_Master[SKUID], SKU_Master[LeadTimeDaysAvg], "Not Found", 0) / 7</f>
        <v>1.5714285714285714</v>
      </c>
      <c r="H146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11.888187548519559</v>
      </c>
      <c r="I146" s="4">
        <f xml:space="preserve"> (InventoryModel[[#This Row],[AvgWeeklyDemand]] * InventoryModel[[#This Row],[LeadTimeWeeks]]) + InventoryModel[[#This Row],[SafetyStock]]</f>
        <v>47.245330405662415</v>
      </c>
      <c r="J146">
        <f>_xlfn.XLOOKUP(A146,SKU_Master[SKUID],SKU_Master[CurrentStockLevel],"Not Found", 0)</f>
        <v>264</v>
      </c>
      <c r="K146" t="str">
        <f xml:space="preserve"> IF(InventoryModel[[#This Row],[CurrentStockLevel]] &lt; InventoryModel[[#This Row],[ReorderPoint]], "At Risk", "OK")</f>
        <v>OK</v>
      </c>
      <c r="L146" s="7">
        <f>(InventoryModel[[#This Row],[ReorderPoint]] - InventoryModel[[#This Row],[CurrentStockLevel]]) / InventoryModel[[#This Row],[ReorderPoint]]</f>
        <v>-4.5878538203292845</v>
      </c>
      <c r="M146" s="3" t="str" cm="1">
        <f t="array" ref="M146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CriticalOverstock</v>
      </c>
      <c r="N146" s="3">
        <f>AVERAGEIFS(DemandHistory[AbsPctError],DemandHistory[SKUID],A146)</f>
        <v>6.84734861028857E-2</v>
      </c>
      <c r="O146" s="3">
        <f>InventoryModel[[#This Row],[StdDevWeeklyDemand]] / InventoryModel[[#This Row],[AvgWeeklyDemand]]</f>
        <v>0.13553733939535029</v>
      </c>
      <c r="P146" s="3" t="str">
        <f>_xlfn.XLOOKUP(A146, SKU_Master[SKUID], SKU_Master[Category], "Not Found", 0)</f>
        <v>Trimmers</v>
      </c>
    </row>
    <row r="147" spans="1:16" x14ac:dyDescent="0.25">
      <c r="A147" s="2" t="s">
        <v>307</v>
      </c>
      <c r="B147">
        <f>SUMIF(DemandHistory!A:A, A147, DemandHistory!C:C) * 2</f>
        <v>4278</v>
      </c>
      <c r="C147" s="4">
        <f>SQRT((2*B147*_xlfn.XLOOKUP(A147,SKU_Master!A:A,SKU_Master!E:E,,0))/_xlfn.XLOOKUP(A147,SKU_Master!A:A,SKU_Master!F:F,,0))</f>
        <v>92.886154881159783</v>
      </c>
      <c r="D147" s="3">
        <f>_xlfn.XLOOKUP(InventoryModel[[#This Row],[SKUID]], DemandSummary!$A:$A, DemandSummary!$B:$B)</f>
        <v>82.269230769230774</v>
      </c>
      <c r="E147" s="3">
        <f>_xlfn.XLOOKUP(InventoryModel[[#This Row],[SKUID]],DemandSummary!A:A,DemandSummary!C:C,,0)</f>
        <v>10.963786544101222</v>
      </c>
      <c r="F147" s="3">
        <f>_xlfn.XLOOKUP(A147, SKU_Master[SKUID], SKU_Master[LeadTimeDaysStdDev], "Not Found", 0) / 7</f>
        <v>0.18571428571428572</v>
      </c>
      <c r="G147" s="3">
        <f>_xlfn.XLOOKUP(A147, SKU_Master[SKUID], SKU_Master[LeadTimeDaysAvg], "Not Found", 0) / 7</f>
        <v>2.4285714285714284</v>
      </c>
      <c r="H147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37.819218021739957</v>
      </c>
      <c r="I147" s="4">
        <f xml:space="preserve"> (InventoryModel[[#This Row],[AvgWeeklyDemand]] * InventoryModel[[#This Row],[LeadTimeWeeks]]) + InventoryModel[[#This Row],[SafetyStock]]</f>
        <v>237.61592131844327</v>
      </c>
      <c r="J147">
        <f>_xlfn.XLOOKUP(A147,SKU_Master[SKUID],SKU_Master[CurrentStockLevel],"Not Found", 0)</f>
        <v>232</v>
      </c>
      <c r="K147" t="str">
        <f xml:space="preserve"> IF(InventoryModel[[#This Row],[CurrentStockLevel]] &lt; InventoryModel[[#This Row],[ReorderPoint]], "At Risk", "OK")</f>
        <v>At Risk</v>
      </c>
      <c r="L147" s="7">
        <f>(InventoryModel[[#This Row],[ReorderPoint]] - InventoryModel[[#This Row],[CurrentStockLevel]]) / InventoryModel[[#This Row],[ReorderPoint]]</f>
        <v>2.3634448766238349E-2</v>
      </c>
      <c r="M147" s="3" t="str" cm="1">
        <f t="array" ref="M147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147" s="3">
        <f>AVERAGEIFS(DemandHistory[AbsPctError],DemandHistory[SKUID],A147)</f>
        <v>0.10334681368346252</v>
      </c>
      <c r="O147" s="3">
        <f>InventoryModel[[#This Row],[StdDevWeeklyDemand]] / InventoryModel[[#This Row],[AvgWeeklyDemand]]</f>
        <v>0.13326715761880867</v>
      </c>
      <c r="P147" s="3" t="str">
        <f>_xlfn.XLOOKUP(A147, SKU_Master[SKUID], SKU_Master[Category], "Not Found", 0)</f>
        <v>Chainsaws</v>
      </c>
    </row>
    <row r="148" spans="1:16" x14ac:dyDescent="0.25">
      <c r="A148" s="2" t="s">
        <v>309</v>
      </c>
      <c r="B148">
        <f>SUMIF(DemandHistory!A:A, A148, DemandHistory!C:C) * 2</f>
        <v>1822</v>
      </c>
      <c r="C148" s="4">
        <f>SQRT((2*B148*_xlfn.XLOOKUP(A148,SKU_Master!A:A,SKU_Master!E:E,,0))/_xlfn.XLOOKUP(A148,SKU_Master!A:A,SKU_Master!F:F,,0))</f>
        <v>74.501850803828191</v>
      </c>
      <c r="D148" s="3">
        <f>_xlfn.XLOOKUP(InventoryModel[[#This Row],[SKUID]], DemandSummary!$A:$A, DemandSummary!$B:$B)</f>
        <v>35.03846153846154</v>
      </c>
      <c r="E148" s="3">
        <f>_xlfn.XLOOKUP(InventoryModel[[#This Row],[SKUID]],DemandSummary!A:A,DemandSummary!C:C,,0)</f>
        <v>7.5231949023311611</v>
      </c>
      <c r="F148" s="3">
        <f>_xlfn.XLOOKUP(A148, SKU_Master[SKUID], SKU_Master[LeadTimeDaysStdDev], "Not Found", 0) / 7</f>
        <v>0.5</v>
      </c>
      <c r="G148" s="3">
        <f>_xlfn.XLOOKUP(A148, SKU_Master[SKUID], SKU_Master[LeadTimeDaysAvg], "Not Found", 0) / 7</f>
        <v>1.5714285714285714</v>
      </c>
      <c r="H148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32.82894196388439</v>
      </c>
      <c r="I148" s="4">
        <f xml:space="preserve"> (InventoryModel[[#This Row],[AvgWeeklyDemand]] * InventoryModel[[#This Row],[LeadTimeWeeks]]) + InventoryModel[[#This Row],[SafetyStock]]</f>
        <v>87.889381524323952</v>
      </c>
      <c r="J148">
        <f>_xlfn.XLOOKUP(A148,SKU_Master[SKUID],SKU_Master[CurrentStockLevel],"Not Found", 0)</f>
        <v>96</v>
      </c>
      <c r="K148" t="str">
        <f xml:space="preserve"> IF(InventoryModel[[#This Row],[CurrentStockLevel]] &lt; InventoryModel[[#This Row],[ReorderPoint]], "At Risk", "OK")</f>
        <v>OK</v>
      </c>
      <c r="L148" s="7">
        <f>(InventoryModel[[#This Row],[ReorderPoint]] - InventoryModel[[#This Row],[CurrentStockLevel]]) / InventoryModel[[#This Row],[ReorderPoint]]</f>
        <v>-9.2282120263087561E-2</v>
      </c>
      <c r="M148" s="3" t="str" cm="1">
        <f t="array" ref="M148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Optimal</v>
      </c>
      <c r="N148" s="3">
        <f>AVERAGEIFS(DemandHistory[AbsPctError],DemandHistory[SKUID],A148)</f>
        <v>0.17087917112674159</v>
      </c>
      <c r="O148" s="3">
        <f>InventoryModel[[#This Row],[StdDevWeeklyDemand]] / InventoryModel[[#This Row],[AvgWeeklyDemand]]</f>
        <v>0.21471247800286519</v>
      </c>
      <c r="P148" s="3" t="str">
        <f>_xlfn.XLOOKUP(A148, SKU_Master[SKUID], SKU_Master[Category], "Not Found", 0)</f>
        <v>Mowers</v>
      </c>
    </row>
    <row r="149" spans="1:16" x14ac:dyDescent="0.25">
      <c r="A149" s="2" t="s">
        <v>311</v>
      </c>
      <c r="B149">
        <f>SUMIF(DemandHistory!A:A, A149, DemandHistory!C:C) * 2</f>
        <v>1414</v>
      </c>
      <c r="C149" s="4">
        <f>SQRT((2*B149*_xlfn.XLOOKUP(A149,SKU_Master!A:A,SKU_Master!E:E,,0))/_xlfn.XLOOKUP(A149,SKU_Master!A:A,SKU_Master!F:F,,0))</f>
        <v>268.14735170642928</v>
      </c>
      <c r="D149" s="3">
        <f>_xlfn.XLOOKUP(InventoryModel[[#This Row],[SKUID]], DemandSummary!$A:$A, DemandSummary!$B:$B)</f>
        <v>27.192307692307693</v>
      </c>
      <c r="E149" s="3">
        <f>_xlfn.XLOOKUP(InventoryModel[[#This Row],[SKUID]],DemandSummary!A:A,DemandSummary!C:C,,0)</f>
        <v>4.233383807492352</v>
      </c>
      <c r="F149" s="3">
        <f>_xlfn.XLOOKUP(A149, SKU_Master[SKUID], SKU_Master[LeadTimeDaysStdDev], "Not Found", 0) / 7</f>
        <v>0.19999999999999998</v>
      </c>
      <c r="G149" s="3">
        <f>_xlfn.XLOOKUP(A149, SKU_Master[SKUID], SKU_Master[LeadTimeDaysAvg], "Not Found", 0) / 7</f>
        <v>2.2857142857142856</v>
      </c>
      <c r="H149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13.858072939937284</v>
      </c>
      <c r="I149" s="4">
        <f xml:space="preserve"> (InventoryModel[[#This Row],[AvgWeeklyDemand]] * InventoryModel[[#This Row],[LeadTimeWeeks]]) + InventoryModel[[#This Row],[SafetyStock]]</f>
        <v>76.011919093783433</v>
      </c>
      <c r="J149">
        <f>_xlfn.XLOOKUP(A149,SKU_Master[SKUID],SKU_Master[CurrentStockLevel],"Not Found", 0)</f>
        <v>113</v>
      </c>
      <c r="K149" t="str">
        <f xml:space="preserve"> IF(InventoryModel[[#This Row],[CurrentStockLevel]] &lt; InventoryModel[[#This Row],[ReorderPoint]], "At Risk", "OK")</f>
        <v>OK</v>
      </c>
      <c r="L149" s="7">
        <f>(InventoryModel[[#This Row],[ReorderPoint]] - InventoryModel[[#This Row],[CurrentStockLevel]]) / InventoryModel[[#This Row],[ReorderPoint]]</f>
        <v>-0.48660896011033095</v>
      </c>
      <c r="M149" s="3" t="str" cm="1">
        <f t="array" ref="M149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WatchOverstock</v>
      </c>
      <c r="N149" s="3">
        <f>AVERAGEIFS(DemandHistory[AbsPctError],DemandHistory[SKUID],A149)</f>
        <v>0.11041287178718827</v>
      </c>
      <c r="O149" s="3">
        <f>InventoryModel[[#This Row],[StdDevWeeklyDemand]] / InventoryModel[[#This Row],[AvgWeeklyDemand]]</f>
        <v>0.15568313860650798</v>
      </c>
      <c r="P149" s="3" t="str">
        <f>_xlfn.XLOOKUP(A149, SKU_Master[SKUID], SKU_Master[Category], "Not Found", 0)</f>
        <v>Blowers</v>
      </c>
    </row>
    <row r="150" spans="1:16" x14ac:dyDescent="0.25">
      <c r="A150" s="2" t="s">
        <v>313</v>
      </c>
      <c r="B150">
        <f>SUMIF(DemandHistory!A:A, A150, DemandHistory!C:C) * 2</f>
        <v>2632</v>
      </c>
      <c r="C150" s="4">
        <f>SQRT((2*B150*_xlfn.XLOOKUP(A150,SKU_Master!A:A,SKU_Master!E:E,,0))/_xlfn.XLOOKUP(A150,SKU_Master!A:A,SKU_Master!F:F,,0))</f>
        <v>246.38649695621095</v>
      </c>
      <c r="D150" s="3">
        <f>_xlfn.XLOOKUP(InventoryModel[[#This Row],[SKUID]], DemandSummary!$A:$A, DemandSummary!$B:$B)</f>
        <v>50.615384615384613</v>
      </c>
      <c r="E150" s="3">
        <f>_xlfn.XLOOKUP(InventoryModel[[#This Row],[SKUID]],DemandSummary!A:A,DemandSummary!C:C,,0)</f>
        <v>6.2996947422993248</v>
      </c>
      <c r="F150" s="3">
        <f>_xlfn.XLOOKUP(A150, SKU_Master[SKUID], SKU_Master[LeadTimeDaysStdDev], "Not Found", 0) / 7</f>
        <v>0.42857142857142855</v>
      </c>
      <c r="G150" s="3">
        <f>_xlfn.XLOOKUP(A150, SKU_Master[SKUID], SKU_Master[LeadTimeDaysAvg], "Not Found", 0) / 7</f>
        <v>0.8571428571428571</v>
      </c>
      <c r="H150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37.063455919086969</v>
      </c>
      <c r="I150" s="4">
        <f xml:space="preserve"> (InventoryModel[[#This Row],[AvgWeeklyDemand]] * InventoryModel[[#This Row],[LeadTimeWeeks]]) + InventoryModel[[#This Row],[SafetyStock]]</f>
        <v>80.448071303702349</v>
      </c>
      <c r="J150">
        <f>_xlfn.XLOOKUP(A150,SKU_Master[SKUID],SKU_Master[CurrentStockLevel],"Not Found", 0)</f>
        <v>132</v>
      </c>
      <c r="K150" t="str">
        <f xml:space="preserve"> IF(InventoryModel[[#This Row],[CurrentStockLevel]] &lt; InventoryModel[[#This Row],[ReorderPoint]], "At Risk", "OK")</f>
        <v>OK</v>
      </c>
      <c r="L150" s="7">
        <f>(InventoryModel[[#This Row],[ReorderPoint]] - InventoryModel[[#This Row],[CurrentStockLevel]]) / InventoryModel[[#This Row],[ReorderPoint]]</f>
        <v>-0.64081000154350687</v>
      </c>
      <c r="M150" s="3" t="str" cm="1">
        <f t="array" ref="M150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WatchOverstock</v>
      </c>
      <c r="N150" s="3">
        <f>AVERAGEIFS(DemandHistory[AbsPctError],DemandHistory[SKUID],A150)</f>
        <v>8.3323712077063711E-2</v>
      </c>
      <c r="O150" s="3">
        <f>InventoryModel[[#This Row],[StdDevWeeklyDemand]] / InventoryModel[[#This Row],[AvgWeeklyDemand]]</f>
        <v>0.12446205417916599</v>
      </c>
      <c r="P150" s="3" t="str">
        <f>_xlfn.XLOOKUP(A150, SKU_Master[SKUID], SKU_Master[Category], "Not Found", 0)</f>
        <v>Blowers</v>
      </c>
    </row>
    <row r="151" spans="1:16" x14ac:dyDescent="0.25">
      <c r="A151" s="2" t="s">
        <v>315</v>
      </c>
      <c r="B151">
        <f>SUMIF(DemandHistory!A:A, A151, DemandHistory!C:C) * 2</f>
        <v>4086</v>
      </c>
      <c r="C151" s="4">
        <f>SQRT((2*B151*_xlfn.XLOOKUP(A151,SKU_Master!A:A,SKU_Master!E:E,,0))/_xlfn.XLOOKUP(A151,SKU_Master!A:A,SKU_Master!F:F,,0))</f>
        <v>105.13324030709224</v>
      </c>
      <c r="D151" s="3">
        <f>_xlfn.XLOOKUP(InventoryModel[[#This Row],[SKUID]], DemandSummary!$A:$A, DemandSummary!$B:$B)</f>
        <v>78.57692307692308</v>
      </c>
      <c r="E151" s="3">
        <f>_xlfn.XLOOKUP(InventoryModel[[#This Row],[SKUID]],DemandSummary!A:A,DemandSummary!C:C,,0)</f>
        <v>22.597651341540921</v>
      </c>
      <c r="F151" s="3">
        <f>_xlfn.XLOOKUP(A151, SKU_Master[SKUID], SKU_Master[LeadTimeDaysStdDev], "Not Found", 0) / 7</f>
        <v>1.1142857142857143</v>
      </c>
      <c r="G151" s="3">
        <f>_xlfn.XLOOKUP(A151, SKU_Master[SKUID], SKU_Master[LeadTimeDaysAvg], "Not Found", 0) / 7</f>
        <v>6.4285714285714288</v>
      </c>
      <c r="H151" s="4">
        <f xml:space="preserve"> 1.65 * SQRT(
    (InventoryModel[[#This Row],[LeadTimeWeeks]] * (InventoryModel[[#This Row],[StdDevWeeklyDemand]]^2)) +
    ((InventoryModel[[#This Row],[AvgWeeklyDemand]]^2) * (InventoryModel[[#This Row],[LeadTimeWeeksStdDev]]^2))
)</f>
        <v>172.65204517860877</v>
      </c>
      <c r="I151" s="4">
        <f xml:space="preserve"> (InventoryModel[[#This Row],[AvgWeeklyDemand]] * InventoryModel[[#This Row],[LeadTimeWeeks]]) + InventoryModel[[#This Row],[SafetyStock]]</f>
        <v>677.78940781597146</v>
      </c>
      <c r="J151">
        <f>_xlfn.XLOOKUP(A151,SKU_Master[SKUID],SKU_Master[CurrentStockLevel],"Not Found", 0)</f>
        <v>31</v>
      </c>
      <c r="K151" t="str">
        <f xml:space="preserve"> IF(InventoryModel[[#This Row],[CurrentStockLevel]] &lt; InventoryModel[[#This Row],[ReorderPoint]], "At Risk", "OK")</f>
        <v>At Risk</v>
      </c>
      <c r="L151" s="7">
        <f>(InventoryModel[[#This Row],[ReorderPoint]] - InventoryModel[[#This Row],[CurrentStockLevel]]) / InventoryModel[[#This Row],[ReorderPoint]]</f>
        <v>0.95426307988510661</v>
      </c>
      <c r="M151" s="3" t="str" cm="1">
        <f t="array" ref="M151">_xlfn.IFS(
   AND(InventoryModel[[#This Row],[StockOutRisk]]="At Risk", InventoryModel[[#This Row],[SeverityRisk]]&gt;=0.6), "CriticalUnderstock",
   AND(InventoryModel[[#This Row],[StockOutRisk]]="At Risk", InventoryModel[[#This Row],[SeverityRisk]]&gt;=0.2, InventoryModel[[#This Row],[SeverityRisk]]&lt;0.6), "WatchUnderstock",
   AND(InventoryModel[[#This Row],[StockOutRisk]]="OK", InventoryModel[[#This Row],[SeverityRisk]]&lt;=-0.2, InventoryModel[[#This Row],[SeverityRisk]]&gt;-0.75), "WatchOverstock",
   AND(InventoryModel[[#This Row],[StockOutRisk]]="OK", InventoryModel[[#This Row],[SeverityRisk]]&lt;=-0.75), "CriticalOverstock",
   TRUE, "Optimal"
)</f>
        <v>CriticalUnderstock</v>
      </c>
      <c r="N151" s="3">
        <f>AVERAGEIFS(DemandHistory[AbsPctError],DemandHistory[SKUID],A151)</f>
        <v>0.29349431412170668</v>
      </c>
      <c r="O151" s="3">
        <f>InventoryModel[[#This Row],[StdDevWeeklyDemand]] / InventoryModel[[#This Row],[AvgWeeklyDemand]]</f>
        <v>0.28758636068529803</v>
      </c>
      <c r="P151" s="3" t="str">
        <f>_xlfn.XLOOKUP(A151, SKU_Master[SKUID], SKU_Master[Category], "Not Found", 0)</f>
        <v>Trimmers</v>
      </c>
    </row>
    <row r="152" spans="1:16" x14ac:dyDescent="0.25">
      <c r="D152" s="3"/>
      <c r="E152" s="3"/>
      <c r="F152" s="3"/>
      <c r="G152" s="3"/>
      <c r="H152" s="3"/>
      <c r="I152" s="3"/>
    </row>
    <row r="153" spans="1:16" x14ac:dyDescent="0.25">
      <c r="D153" s="3"/>
      <c r="E153" s="3"/>
      <c r="F153" s="3"/>
      <c r="G153" s="3"/>
      <c r="H153" s="3"/>
      <c r="I153" s="3"/>
    </row>
    <row r="154" spans="1:16" x14ac:dyDescent="0.25">
      <c r="D154" s="3"/>
      <c r="E154" s="3"/>
      <c r="F154" s="3"/>
      <c r="G154" s="3"/>
      <c r="H154" s="3"/>
      <c r="I154" s="3"/>
    </row>
    <row r="155" spans="1:16" x14ac:dyDescent="0.25">
      <c r="D155" s="3"/>
      <c r="E155" s="3"/>
      <c r="F155" s="3"/>
      <c r="G155" s="3"/>
      <c r="H155" s="3"/>
      <c r="I155" s="3"/>
    </row>
    <row r="156" spans="1:16" x14ac:dyDescent="0.25">
      <c r="D156" s="3"/>
      <c r="E156" s="3"/>
      <c r="F156" s="3"/>
      <c r="G156" s="3"/>
      <c r="H156" s="3"/>
      <c r="I156" s="3"/>
    </row>
    <row r="157" spans="1:16" x14ac:dyDescent="0.25">
      <c r="D157" s="3"/>
      <c r="E157" s="3"/>
      <c r="F157" s="3"/>
      <c r="G157" s="3"/>
      <c r="H157" s="3"/>
      <c r="I157" s="3"/>
    </row>
    <row r="158" spans="1:16" x14ac:dyDescent="0.25">
      <c r="D158" s="3"/>
      <c r="E158" s="3"/>
      <c r="F158" s="3"/>
      <c r="G158" s="3"/>
      <c r="H158" s="3"/>
      <c r="I158" s="3"/>
    </row>
    <row r="159" spans="1:16" x14ac:dyDescent="0.25">
      <c r="D159" s="3"/>
      <c r="E159" s="3"/>
      <c r="F159" s="3"/>
      <c r="G159" s="3"/>
      <c r="H159" s="3"/>
      <c r="I159" s="3"/>
    </row>
    <row r="160" spans="1:16" x14ac:dyDescent="0.25">
      <c r="D160" s="3"/>
      <c r="E160" s="3"/>
      <c r="F160" s="3"/>
      <c r="G160" s="3"/>
      <c r="H160" s="3"/>
      <c r="I160" s="3"/>
    </row>
    <row r="161" spans="4:9" x14ac:dyDescent="0.25">
      <c r="D161" s="3"/>
      <c r="E161" s="3"/>
      <c r="F161" s="3"/>
      <c r="G161" s="3"/>
      <c r="H161" s="3"/>
      <c r="I161" s="3"/>
    </row>
    <row r="162" spans="4:9" x14ac:dyDescent="0.25">
      <c r="D162" s="3"/>
      <c r="E162" s="3"/>
      <c r="F162" s="3"/>
      <c r="G162" s="3"/>
      <c r="H162" s="3"/>
      <c r="I162" s="3"/>
    </row>
    <row r="163" spans="4:9" x14ac:dyDescent="0.25">
      <c r="D163" s="3"/>
      <c r="E163" s="3"/>
      <c r="F163" s="3"/>
      <c r="G163" s="3"/>
      <c r="H163" s="3"/>
      <c r="I163" s="3"/>
    </row>
    <row r="164" spans="4:9" x14ac:dyDescent="0.25">
      <c r="D164" s="3"/>
      <c r="E164" s="3"/>
      <c r="F164" s="3"/>
      <c r="G164" s="3"/>
      <c r="H164" s="3"/>
      <c r="I164" s="3"/>
    </row>
    <row r="165" spans="4:9" x14ac:dyDescent="0.25">
      <c r="D165" s="3"/>
      <c r="E165" s="3"/>
      <c r="F165" s="3"/>
      <c r="G165" s="3"/>
      <c r="H165" s="3"/>
      <c r="I165" s="3"/>
    </row>
    <row r="166" spans="4:9" x14ac:dyDescent="0.25">
      <c r="D166" s="3"/>
      <c r="E166" s="3"/>
      <c r="F166" s="3"/>
      <c r="G166" s="3"/>
      <c r="H166" s="3"/>
      <c r="I166" s="3"/>
    </row>
    <row r="167" spans="4:9" x14ac:dyDescent="0.25">
      <c r="D167" s="3"/>
      <c r="E167" s="3"/>
      <c r="F167" s="3"/>
      <c r="G167" s="3"/>
      <c r="H167" s="3"/>
      <c r="I167" s="3"/>
    </row>
    <row r="168" spans="4:9" x14ac:dyDescent="0.25">
      <c r="D168" s="3"/>
      <c r="E168" s="3"/>
      <c r="F168" s="3"/>
      <c r="G168" s="3"/>
      <c r="H168" s="3"/>
      <c r="I168" s="3"/>
    </row>
    <row r="169" spans="4:9" x14ac:dyDescent="0.25">
      <c r="D169" s="3"/>
      <c r="E169" s="3"/>
      <c r="F169" s="3"/>
      <c r="G169" s="3"/>
      <c r="H169" s="3"/>
      <c r="I169" s="3"/>
    </row>
    <row r="170" spans="4:9" x14ac:dyDescent="0.25">
      <c r="D170" s="3"/>
      <c r="E170" s="3"/>
      <c r="F170" s="3"/>
      <c r="G170" s="3"/>
      <c r="H170" s="3"/>
      <c r="I170" s="3"/>
    </row>
    <row r="171" spans="4:9" x14ac:dyDescent="0.25">
      <c r="D171" s="3"/>
      <c r="E171" s="3"/>
      <c r="F171" s="3"/>
      <c r="G171" s="3"/>
      <c r="H171" s="3"/>
      <c r="I171" s="3"/>
    </row>
    <row r="172" spans="4:9" x14ac:dyDescent="0.25">
      <c r="D172" s="3"/>
      <c r="E172" s="3"/>
      <c r="F172" s="3"/>
      <c r="G172" s="3"/>
      <c r="H172" s="3"/>
      <c r="I172" s="3"/>
    </row>
    <row r="173" spans="4:9" x14ac:dyDescent="0.25">
      <c r="D173" s="3"/>
      <c r="E173" s="3"/>
      <c r="F173" s="3"/>
      <c r="G173" s="3"/>
      <c r="H173" s="3"/>
      <c r="I173" s="3"/>
    </row>
    <row r="174" spans="4:9" x14ac:dyDescent="0.25">
      <c r="D174" s="3"/>
      <c r="E174" s="3"/>
      <c r="F174" s="3"/>
      <c r="G174" s="3"/>
      <c r="H174" s="3"/>
      <c r="I174" s="3"/>
    </row>
    <row r="175" spans="4:9" x14ac:dyDescent="0.25">
      <c r="D175" s="3"/>
      <c r="E175" s="3"/>
      <c r="F175" s="3"/>
      <c r="G175" s="3"/>
      <c r="H175" s="3"/>
      <c r="I175" s="3"/>
    </row>
    <row r="176" spans="4:9" x14ac:dyDescent="0.25">
      <c r="D176" s="3"/>
      <c r="E176" s="3"/>
      <c r="F176" s="3"/>
      <c r="G176" s="3"/>
      <c r="H176" s="3"/>
      <c r="I176" s="3"/>
    </row>
    <row r="177" spans="4:9" x14ac:dyDescent="0.25">
      <c r="D177" s="3"/>
      <c r="E177" s="3"/>
      <c r="F177" s="3"/>
      <c r="G177" s="3"/>
      <c r="H177" s="3"/>
      <c r="I177" s="3"/>
    </row>
    <row r="178" spans="4:9" x14ac:dyDescent="0.25">
      <c r="D178" s="3"/>
      <c r="E178" s="3"/>
      <c r="F178" s="3"/>
      <c r="G178" s="3"/>
      <c r="H178" s="3"/>
      <c r="I178" s="3"/>
    </row>
    <row r="179" spans="4:9" x14ac:dyDescent="0.25">
      <c r="D179" s="3"/>
      <c r="E179" s="3"/>
      <c r="F179" s="3"/>
      <c r="G179" s="3"/>
      <c r="H179" s="3"/>
      <c r="I179" s="3"/>
    </row>
    <row r="180" spans="4:9" x14ac:dyDescent="0.25">
      <c r="D180" s="3"/>
      <c r="E180" s="3"/>
      <c r="F180" s="3"/>
      <c r="G180" s="3"/>
      <c r="H180" s="3"/>
      <c r="I180" s="3"/>
    </row>
    <row r="181" spans="4:9" x14ac:dyDescent="0.25">
      <c r="D181" s="3"/>
      <c r="E181" s="3"/>
      <c r="F181" s="3"/>
      <c r="G181" s="3"/>
      <c r="H181" s="3"/>
      <c r="I181" s="3"/>
    </row>
    <row r="182" spans="4:9" x14ac:dyDescent="0.25">
      <c r="D182" s="3"/>
      <c r="E182" s="3"/>
      <c r="F182" s="3"/>
      <c r="G182" s="3"/>
      <c r="H182" s="3"/>
      <c r="I182" s="3"/>
    </row>
    <row r="183" spans="4:9" x14ac:dyDescent="0.25">
      <c r="D183" s="3"/>
      <c r="E183" s="3"/>
      <c r="F183" s="3"/>
      <c r="G183" s="3"/>
      <c r="H183" s="3"/>
      <c r="I183" s="3"/>
    </row>
    <row r="184" spans="4:9" x14ac:dyDescent="0.25">
      <c r="D184" s="3"/>
      <c r="E184" s="3"/>
      <c r="F184" s="3"/>
      <c r="G184" s="3"/>
      <c r="H184" s="3"/>
      <c r="I184" s="3"/>
    </row>
    <row r="185" spans="4:9" x14ac:dyDescent="0.25">
      <c r="D185" s="3"/>
      <c r="E185" s="3"/>
      <c r="F185" s="3"/>
      <c r="G185" s="3"/>
      <c r="H185" s="3"/>
      <c r="I185" s="3"/>
    </row>
    <row r="186" spans="4:9" x14ac:dyDescent="0.25">
      <c r="D186" s="3"/>
      <c r="E186" s="3"/>
      <c r="F186" s="3"/>
      <c r="G186" s="3"/>
      <c r="H186" s="3"/>
      <c r="I186" s="3"/>
    </row>
    <row r="187" spans="4:9" x14ac:dyDescent="0.25">
      <c r="D187" s="3"/>
      <c r="E187" s="3"/>
      <c r="F187" s="3"/>
      <c r="G187" s="3"/>
      <c r="H187" s="3"/>
      <c r="I187" s="3"/>
    </row>
    <row r="188" spans="4:9" x14ac:dyDescent="0.25">
      <c r="D188" s="3"/>
      <c r="E188" s="3"/>
      <c r="F188" s="3"/>
      <c r="G188" s="3"/>
      <c r="H188" s="3"/>
      <c r="I188" s="3"/>
    </row>
    <row r="189" spans="4:9" x14ac:dyDescent="0.25">
      <c r="D189" s="3"/>
      <c r="E189" s="3"/>
      <c r="F189" s="3"/>
      <c r="G189" s="3"/>
      <c r="H189" s="3"/>
      <c r="I189" s="3"/>
    </row>
    <row r="190" spans="4:9" x14ac:dyDescent="0.25">
      <c r="D190" s="3"/>
      <c r="E190" s="3"/>
      <c r="F190" s="3"/>
      <c r="G190" s="3"/>
      <c r="H190" s="3"/>
      <c r="I190" s="3"/>
    </row>
    <row r="191" spans="4:9" x14ac:dyDescent="0.25">
      <c r="D191" s="3"/>
      <c r="E191" s="3"/>
      <c r="F191" s="3"/>
      <c r="G191" s="3"/>
      <c r="H191" s="3"/>
      <c r="I191" s="3"/>
    </row>
    <row r="192" spans="4:9" x14ac:dyDescent="0.25">
      <c r="D192" s="3"/>
      <c r="E192" s="3"/>
      <c r="F192" s="3"/>
      <c r="G192" s="3"/>
      <c r="H192" s="3"/>
      <c r="I192" s="3"/>
    </row>
    <row r="193" spans="4:9" x14ac:dyDescent="0.25">
      <c r="D193" s="3"/>
      <c r="E193" s="3"/>
      <c r="F193" s="3"/>
      <c r="G193" s="3"/>
      <c r="H193" s="3"/>
      <c r="I193" s="3"/>
    </row>
    <row r="194" spans="4:9" x14ac:dyDescent="0.25">
      <c r="D194" s="3"/>
      <c r="E194" s="3"/>
      <c r="F194" s="3"/>
      <c r="G194" s="3"/>
      <c r="H194" s="3"/>
      <c r="I194" s="3"/>
    </row>
    <row r="195" spans="4:9" x14ac:dyDescent="0.25">
      <c r="D195" s="3"/>
      <c r="E195" s="3"/>
      <c r="F195" s="3"/>
      <c r="G195" s="3"/>
      <c r="H195" s="3"/>
      <c r="I195" s="3"/>
    </row>
    <row r="196" spans="4:9" x14ac:dyDescent="0.25">
      <c r="D196" s="3"/>
      <c r="E196" s="3"/>
      <c r="F196" s="3"/>
      <c r="G196" s="3"/>
      <c r="H196" s="3"/>
      <c r="I196" s="3"/>
    </row>
    <row r="197" spans="4:9" x14ac:dyDescent="0.25">
      <c r="D197" s="3"/>
      <c r="E197" s="3"/>
      <c r="F197" s="3"/>
      <c r="G197" s="3"/>
      <c r="H197" s="3"/>
      <c r="I197" s="3"/>
    </row>
    <row r="198" spans="4:9" x14ac:dyDescent="0.25">
      <c r="D198" s="3"/>
      <c r="E198" s="3"/>
      <c r="F198" s="3"/>
      <c r="G198" s="3"/>
      <c r="H198" s="3"/>
      <c r="I198" s="3"/>
    </row>
    <row r="199" spans="4:9" x14ac:dyDescent="0.25">
      <c r="D199" s="3"/>
      <c r="E199" s="3"/>
      <c r="F199" s="3"/>
      <c r="G199" s="3"/>
      <c r="H199" s="3"/>
      <c r="I199" s="3"/>
    </row>
    <row r="200" spans="4:9" x14ac:dyDescent="0.25">
      <c r="D200" s="3"/>
      <c r="E200" s="3"/>
      <c r="F200" s="3"/>
      <c r="G200" s="3"/>
      <c r="H200" s="3"/>
      <c r="I200" s="3"/>
    </row>
    <row r="201" spans="4:9" x14ac:dyDescent="0.25">
      <c r="D201" s="3"/>
      <c r="E201" s="3"/>
      <c r="F201" s="3"/>
      <c r="G201" s="3"/>
      <c r="H201" s="3"/>
      <c r="I201" s="3"/>
    </row>
    <row r="202" spans="4:9" x14ac:dyDescent="0.25">
      <c r="D202" s="3"/>
      <c r="E202" s="3"/>
      <c r="F202" s="3"/>
      <c r="G202" s="3"/>
      <c r="H202" s="3"/>
      <c r="I202" s="3"/>
    </row>
    <row r="203" spans="4:9" x14ac:dyDescent="0.25">
      <c r="D203" s="3"/>
      <c r="E203" s="3"/>
      <c r="F203" s="3"/>
      <c r="G203" s="3"/>
      <c r="H203" s="3"/>
      <c r="I203" s="3"/>
    </row>
    <row r="204" spans="4:9" x14ac:dyDescent="0.25">
      <c r="D204" s="3"/>
      <c r="E204" s="3"/>
      <c r="F204" s="3"/>
      <c r="G204" s="3"/>
      <c r="H204" s="3"/>
      <c r="I204" s="3"/>
    </row>
    <row r="205" spans="4:9" x14ac:dyDescent="0.25">
      <c r="D205" s="3"/>
      <c r="E205" s="3"/>
      <c r="F205" s="3"/>
      <c r="G205" s="3"/>
      <c r="H205" s="3"/>
      <c r="I205" s="3"/>
    </row>
    <row r="206" spans="4:9" x14ac:dyDescent="0.25">
      <c r="D206" s="3"/>
      <c r="E206" s="3"/>
      <c r="F206" s="3"/>
      <c r="G206" s="3"/>
      <c r="H206" s="3"/>
      <c r="I206" s="3"/>
    </row>
    <row r="207" spans="4:9" x14ac:dyDescent="0.25">
      <c r="D207" s="3"/>
      <c r="E207" s="3"/>
      <c r="F207" s="3"/>
      <c r="G207" s="3"/>
      <c r="H207" s="3"/>
      <c r="I207" s="3"/>
    </row>
    <row r="208" spans="4:9" x14ac:dyDescent="0.25">
      <c r="D208" s="3"/>
      <c r="E208" s="3"/>
      <c r="F208" s="3"/>
      <c r="G208" s="3"/>
      <c r="H208" s="3"/>
      <c r="I208" s="3"/>
    </row>
    <row r="209" spans="4:9" x14ac:dyDescent="0.25">
      <c r="D209" s="3"/>
      <c r="E209" s="3"/>
      <c r="F209" s="3"/>
      <c r="G209" s="3"/>
      <c r="H209" s="3"/>
      <c r="I209" s="3"/>
    </row>
    <row r="210" spans="4:9" x14ac:dyDescent="0.25">
      <c r="D210" s="3"/>
      <c r="E210" s="3"/>
      <c r="F210" s="3"/>
      <c r="G210" s="3"/>
      <c r="H210" s="3"/>
      <c r="I210" s="3"/>
    </row>
    <row r="211" spans="4:9" x14ac:dyDescent="0.25">
      <c r="D211" s="3"/>
      <c r="E211" s="3"/>
      <c r="F211" s="3"/>
      <c r="G211" s="3"/>
      <c r="H211" s="3"/>
      <c r="I211" s="3"/>
    </row>
    <row r="212" spans="4:9" x14ac:dyDescent="0.25">
      <c r="D212" s="3"/>
      <c r="E212" s="3"/>
      <c r="F212" s="3"/>
      <c r="G212" s="3"/>
      <c r="H212" s="3"/>
      <c r="I212" s="3"/>
    </row>
    <row r="213" spans="4:9" x14ac:dyDescent="0.25">
      <c r="D213" s="3"/>
      <c r="E213" s="3"/>
      <c r="F213" s="3"/>
      <c r="G213" s="3"/>
      <c r="H213" s="3"/>
      <c r="I213" s="3"/>
    </row>
    <row r="214" spans="4:9" x14ac:dyDescent="0.25">
      <c r="D214" s="3"/>
      <c r="E214" s="3"/>
      <c r="F214" s="3"/>
      <c r="G214" s="3"/>
      <c r="H214" s="3"/>
      <c r="I214" s="3"/>
    </row>
    <row r="215" spans="4:9" x14ac:dyDescent="0.25">
      <c r="D215" s="3"/>
      <c r="E215" s="3"/>
      <c r="F215" s="3"/>
      <c r="G215" s="3"/>
      <c r="H215" s="3"/>
      <c r="I215" s="3"/>
    </row>
    <row r="216" spans="4:9" x14ac:dyDescent="0.25">
      <c r="D216" s="3"/>
      <c r="E216" s="3"/>
      <c r="F216" s="3"/>
      <c r="G216" s="3"/>
      <c r="H216" s="3"/>
      <c r="I216" s="3"/>
    </row>
    <row r="217" spans="4:9" x14ac:dyDescent="0.25">
      <c r="D217" s="3"/>
      <c r="E217" s="3"/>
      <c r="F217" s="3"/>
      <c r="G217" s="3"/>
      <c r="H217" s="3"/>
      <c r="I217" s="3"/>
    </row>
    <row r="218" spans="4:9" x14ac:dyDescent="0.25">
      <c r="D218" s="3"/>
      <c r="E218" s="3"/>
      <c r="F218" s="3"/>
      <c r="G218" s="3"/>
      <c r="H218" s="3"/>
      <c r="I218" s="3"/>
    </row>
    <row r="219" spans="4:9" x14ac:dyDescent="0.25">
      <c r="D219" s="3"/>
      <c r="E219" s="3"/>
      <c r="F219" s="3"/>
      <c r="G219" s="3"/>
      <c r="H219" s="3"/>
      <c r="I219" s="3"/>
    </row>
    <row r="220" spans="4:9" x14ac:dyDescent="0.25">
      <c r="D220" s="3"/>
      <c r="E220" s="3"/>
      <c r="F220" s="3"/>
      <c r="G220" s="3"/>
      <c r="H220" s="3"/>
      <c r="I220" s="3"/>
    </row>
    <row r="221" spans="4:9" x14ac:dyDescent="0.25">
      <c r="D221" s="3"/>
      <c r="E221" s="3"/>
      <c r="F221" s="3"/>
      <c r="G221" s="3"/>
      <c r="H221" s="3"/>
      <c r="I221" s="3"/>
    </row>
    <row r="222" spans="4:9" x14ac:dyDescent="0.25">
      <c r="D222" s="3"/>
      <c r="E222" s="3"/>
      <c r="F222" s="3"/>
      <c r="G222" s="3"/>
      <c r="H222" s="3"/>
      <c r="I222" s="3"/>
    </row>
    <row r="223" spans="4:9" x14ac:dyDescent="0.25">
      <c r="D223" s="3"/>
      <c r="E223" s="3"/>
      <c r="F223" s="3"/>
      <c r="G223" s="3"/>
      <c r="H223" s="3"/>
      <c r="I223" s="3"/>
    </row>
    <row r="224" spans="4:9" x14ac:dyDescent="0.25">
      <c r="D224" s="3"/>
      <c r="E224" s="3"/>
      <c r="F224" s="3"/>
      <c r="G224" s="3"/>
      <c r="H224" s="3"/>
      <c r="I224" s="3"/>
    </row>
    <row r="225" spans="4:9" x14ac:dyDescent="0.25">
      <c r="D225" s="3"/>
      <c r="E225" s="3"/>
      <c r="F225" s="3"/>
      <c r="G225" s="3"/>
      <c r="H225" s="3"/>
      <c r="I225" s="3"/>
    </row>
    <row r="226" spans="4:9" x14ac:dyDescent="0.25">
      <c r="D226" s="3"/>
      <c r="E226" s="3"/>
      <c r="F226" s="3"/>
      <c r="G226" s="3"/>
      <c r="H226" s="3"/>
      <c r="I226" s="3"/>
    </row>
    <row r="227" spans="4:9" x14ac:dyDescent="0.25">
      <c r="D227" s="3"/>
      <c r="E227" s="3"/>
      <c r="F227" s="3"/>
      <c r="G227" s="3"/>
      <c r="H227" s="3"/>
      <c r="I227" s="3"/>
    </row>
    <row r="228" spans="4:9" x14ac:dyDescent="0.25">
      <c r="D228" s="3"/>
      <c r="E228" s="3"/>
      <c r="F228" s="3"/>
      <c r="G228" s="3"/>
      <c r="H228" s="3"/>
      <c r="I228" s="3"/>
    </row>
    <row r="229" spans="4:9" x14ac:dyDescent="0.25">
      <c r="D229" s="3"/>
      <c r="E229" s="3"/>
      <c r="F229" s="3"/>
      <c r="G229" s="3"/>
      <c r="H229" s="3"/>
      <c r="I229" s="3"/>
    </row>
    <row r="230" spans="4:9" x14ac:dyDescent="0.25">
      <c r="D230" s="3"/>
      <c r="E230" s="3"/>
      <c r="F230" s="3"/>
      <c r="G230" s="3"/>
      <c r="H230" s="3"/>
      <c r="I230" s="3"/>
    </row>
    <row r="231" spans="4:9" x14ac:dyDescent="0.25">
      <c r="D231" s="3"/>
      <c r="E231" s="3"/>
      <c r="F231" s="3"/>
      <c r="G231" s="3"/>
      <c r="H231" s="3"/>
      <c r="I231" s="3"/>
    </row>
    <row r="232" spans="4:9" x14ac:dyDescent="0.25">
      <c r="D232" s="3"/>
      <c r="E232" s="3"/>
      <c r="F232" s="3"/>
      <c r="G232" s="3"/>
      <c r="H232" s="3"/>
      <c r="I232" s="3"/>
    </row>
    <row r="233" spans="4:9" x14ac:dyDescent="0.25">
      <c r="D233" s="3"/>
      <c r="E233" s="3"/>
      <c r="F233" s="3"/>
      <c r="G233" s="3"/>
      <c r="H233" s="3"/>
      <c r="I233" s="3"/>
    </row>
    <row r="234" spans="4:9" x14ac:dyDescent="0.25">
      <c r="D234" s="3"/>
      <c r="E234" s="3"/>
      <c r="F234" s="3"/>
      <c r="G234" s="3"/>
      <c r="H234" s="3"/>
      <c r="I234" s="3"/>
    </row>
    <row r="235" spans="4:9" x14ac:dyDescent="0.25">
      <c r="D235" s="3"/>
      <c r="E235" s="3"/>
      <c r="F235" s="3"/>
      <c r="G235" s="3"/>
      <c r="H235" s="3"/>
      <c r="I235" s="3"/>
    </row>
    <row r="236" spans="4:9" x14ac:dyDescent="0.25">
      <c r="D236" s="3"/>
      <c r="E236" s="3"/>
      <c r="F236" s="3"/>
      <c r="G236" s="3"/>
      <c r="H236" s="3"/>
      <c r="I236" s="3"/>
    </row>
    <row r="237" spans="4:9" x14ac:dyDescent="0.25">
      <c r="D237" s="3"/>
      <c r="E237" s="3"/>
      <c r="F237" s="3"/>
      <c r="G237" s="3"/>
      <c r="H237" s="3"/>
      <c r="I237" s="3"/>
    </row>
    <row r="238" spans="4:9" x14ac:dyDescent="0.25">
      <c r="D238" s="3"/>
      <c r="E238" s="3"/>
      <c r="F238" s="3"/>
      <c r="G238" s="3"/>
      <c r="H238" s="3"/>
      <c r="I238" s="3"/>
    </row>
    <row r="239" spans="4:9" x14ac:dyDescent="0.25">
      <c r="D239" s="3"/>
      <c r="E239" s="3"/>
      <c r="F239" s="3"/>
      <c r="G239" s="3"/>
      <c r="H239" s="3"/>
      <c r="I239" s="3"/>
    </row>
    <row r="240" spans="4:9" x14ac:dyDescent="0.25">
      <c r="D240" s="3"/>
      <c r="E240" s="3"/>
      <c r="F240" s="3"/>
      <c r="G240" s="3"/>
      <c r="H240" s="3"/>
      <c r="I240" s="3"/>
    </row>
    <row r="241" spans="4:9" x14ac:dyDescent="0.25">
      <c r="D241" s="3"/>
      <c r="E241" s="3"/>
      <c r="F241" s="3"/>
      <c r="G241" s="3"/>
      <c r="H241" s="3"/>
      <c r="I241" s="3"/>
    </row>
    <row r="242" spans="4:9" x14ac:dyDescent="0.25">
      <c r="D242" s="3"/>
      <c r="E242" s="3"/>
      <c r="F242" s="3"/>
      <c r="G242" s="3"/>
      <c r="H242" s="3"/>
      <c r="I242" s="3"/>
    </row>
    <row r="243" spans="4:9" x14ac:dyDescent="0.25">
      <c r="D243" s="3"/>
      <c r="E243" s="3"/>
      <c r="F243" s="3"/>
      <c r="G243" s="3"/>
      <c r="H243" s="3"/>
      <c r="I243" s="3"/>
    </row>
    <row r="244" spans="4:9" x14ac:dyDescent="0.25">
      <c r="D244" s="3"/>
      <c r="E244" s="3"/>
      <c r="F244" s="3"/>
      <c r="G244" s="3"/>
      <c r="H244" s="3"/>
      <c r="I244" s="3"/>
    </row>
    <row r="245" spans="4:9" x14ac:dyDescent="0.25">
      <c r="D245" s="3"/>
      <c r="E245" s="3"/>
      <c r="F245" s="3"/>
      <c r="G245" s="3"/>
      <c r="H245" s="3"/>
      <c r="I245" s="3"/>
    </row>
    <row r="246" spans="4:9" x14ac:dyDescent="0.25">
      <c r="D246" s="3"/>
      <c r="E246" s="3"/>
      <c r="F246" s="3"/>
      <c r="G246" s="3"/>
      <c r="H246" s="3"/>
      <c r="I246" s="3"/>
    </row>
    <row r="247" spans="4:9" x14ac:dyDescent="0.25">
      <c r="D247" s="3"/>
      <c r="E247" s="3"/>
      <c r="F247" s="3"/>
      <c r="G247" s="3"/>
      <c r="H247" s="3"/>
      <c r="I247" s="3"/>
    </row>
    <row r="248" spans="4:9" x14ac:dyDescent="0.25">
      <c r="D248" s="3"/>
      <c r="E248" s="3"/>
      <c r="F248" s="3"/>
      <c r="G248" s="3"/>
      <c r="H248" s="3"/>
      <c r="I248" s="3"/>
    </row>
    <row r="249" spans="4:9" x14ac:dyDescent="0.25">
      <c r="D249" s="3"/>
      <c r="E249" s="3"/>
      <c r="F249" s="3"/>
      <c r="G249" s="3"/>
      <c r="H249" s="3"/>
      <c r="I249" s="3"/>
    </row>
    <row r="250" spans="4:9" x14ac:dyDescent="0.25">
      <c r="D250" s="3"/>
      <c r="E250" s="3"/>
      <c r="F250" s="3"/>
      <c r="G250" s="3"/>
      <c r="H250" s="3"/>
      <c r="I250" s="3"/>
    </row>
    <row r="251" spans="4:9" x14ac:dyDescent="0.25">
      <c r="D251" s="3"/>
      <c r="E251" s="3"/>
      <c r="F251" s="3"/>
      <c r="G251" s="3"/>
      <c r="H251" s="3"/>
      <c r="I251" s="3"/>
    </row>
    <row r="252" spans="4:9" x14ac:dyDescent="0.25">
      <c r="D252" s="3"/>
      <c r="E252" s="3"/>
      <c r="F252" s="3"/>
      <c r="G252" s="3"/>
      <c r="H252" s="3"/>
      <c r="I252" s="3"/>
    </row>
    <row r="253" spans="4:9" x14ac:dyDescent="0.25">
      <c r="D253" s="3"/>
      <c r="E253" s="3"/>
      <c r="F253" s="3"/>
      <c r="G253" s="3"/>
      <c r="H253" s="3"/>
      <c r="I253" s="3"/>
    </row>
    <row r="254" spans="4:9" x14ac:dyDescent="0.25">
      <c r="D254" s="3"/>
      <c r="E254" s="3"/>
      <c r="F254" s="3"/>
      <c r="G254" s="3"/>
      <c r="H254" s="3"/>
      <c r="I254" s="3"/>
    </row>
    <row r="255" spans="4:9" x14ac:dyDescent="0.25">
      <c r="D255" s="3"/>
      <c r="E255" s="3"/>
      <c r="F255" s="3"/>
      <c r="G255" s="3"/>
      <c r="H255" s="3"/>
      <c r="I255" s="3"/>
    </row>
    <row r="256" spans="4:9" x14ac:dyDescent="0.25">
      <c r="D256" s="3"/>
      <c r="E256" s="3"/>
      <c r="F256" s="3"/>
      <c r="G256" s="3"/>
      <c r="H256" s="3"/>
      <c r="I256" s="3"/>
    </row>
    <row r="257" spans="4:9" x14ac:dyDescent="0.25">
      <c r="D257" s="3"/>
      <c r="E257" s="3"/>
      <c r="F257" s="3"/>
      <c r="G257" s="3"/>
      <c r="H257" s="3"/>
      <c r="I257" s="3"/>
    </row>
    <row r="258" spans="4:9" x14ac:dyDescent="0.25">
      <c r="D258" s="3"/>
      <c r="E258" s="3"/>
      <c r="F258" s="3"/>
      <c r="G258" s="3"/>
      <c r="H258" s="3"/>
      <c r="I258" s="3"/>
    </row>
    <row r="259" spans="4:9" x14ac:dyDescent="0.25">
      <c r="D259" s="3"/>
      <c r="E259" s="3"/>
      <c r="F259" s="3"/>
      <c r="G259" s="3"/>
      <c r="H259" s="3"/>
      <c r="I259" s="3"/>
    </row>
    <row r="260" spans="4:9" x14ac:dyDescent="0.25">
      <c r="D260" s="3"/>
      <c r="E260" s="3"/>
      <c r="F260" s="3"/>
      <c r="G260" s="3"/>
      <c r="H260" s="3"/>
      <c r="I260" s="3"/>
    </row>
    <row r="261" spans="4:9" x14ac:dyDescent="0.25">
      <c r="D261" s="3"/>
      <c r="E261" s="3"/>
      <c r="F261" s="3"/>
      <c r="G261" s="3"/>
      <c r="H261" s="3"/>
      <c r="I261" s="3"/>
    </row>
    <row r="262" spans="4:9" x14ac:dyDescent="0.25">
      <c r="D262" s="3"/>
      <c r="E262" s="3"/>
      <c r="F262" s="3"/>
      <c r="G262" s="3"/>
      <c r="H262" s="3"/>
      <c r="I262" s="3"/>
    </row>
    <row r="263" spans="4:9" x14ac:dyDescent="0.25">
      <c r="D263" s="3"/>
      <c r="E263" s="3"/>
      <c r="F263" s="3"/>
      <c r="G263" s="3"/>
      <c r="H263" s="3"/>
      <c r="I263" s="3"/>
    </row>
    <row r="264" spans="4:9" x14ac:dyDescent="0.25">
      <c r="D264" s="3"/>
      <c r="E264" s="3"/>
      <c r="F264" s="3"/>
      <c r="G264" s="3"/>
      <c r="H264" s="3"/>
      <c r="I264" s="3"/>
    </row>
    <row r="265" spans="4:9" x14ac:dyDescent="0.25">
      <c r="D265" s="3"/>
      <c r="E265" s="3"/>
      <c r="F265" s="3"/>
      <c r="G265" s="3"/>
      <c r="H265" s="3"/>
      <c r="I265" s="3"/>
    </row>
    <row r="266" spans="4:9" x14ac:dyDescent="0.25">
      <c r="D266" s="3"/>
      <c r="E266" s="3"/>
      <c r="F266" s="3"/>
      <c r="G266" s="3"/>
      <c r="H266" s="3"/>
      <c r="I266" s="3"/>
    </row>
    <row r="267" spans="4:9" x14ac:dyDescent="0.25">
      <c r="D267" s="3"/>
      <c r="E267" s="3"/>
      <c r="F267" s="3"/>
      <c r="G267" s="3"/>
      <c r="H267" s="3"/>
      <c r="I267" s="3"/>
    </row>
    <row r="268" spans="4:9" x14ac:dyDescent="0.25">
      <c r="D268" s="3"/>
      <c r="E268" s="3"/>
      <c r="F268" s="3"/>
      <c r="G268" s="3"/>
      <c r="H268" s="3"/>
      <c r="I268" s="3"/>
    </row>
    <row r="269" spans="4:9" x14ac:dyDescent="0.25">
      <c r="D269" s="3"/>
      <c r="E269" s="3"/>
      <c r="F269" s="3"/>
      <c r="G269" s="3"/>
      <c r="H269" s="3"/>
      <c r="I269" s="3"/>
    </row>
    <row r="270" spans="4:9" x14ac:dyDescent="0.25">
      <c r="D270" s="3"/>
      <c r="E270" s="3"/>
      <c r="F270" s="3"/>
      <c r="G270" s="3"/>
      <c r="H270" s="3"/>
      <c r="I270" s="3"/>
    </row>
    <row r="271" spans="4:9" x14ac:dyDescent="0.25">
      <c r="D271" s="3"/>
      <c r="E271" s="3"/>
      <c r="F271" s="3"/>
      <c r="G271" s="3"/>
      <c r="H271" s="3"/>
      <c r="I271" s="3"/>
    </row>
    <row r="272" spans="4:9" x14ac:dyDescent="0.25">
      <c r="D272" s="3"/>
      <c r="E272" s="3"/>
      <c r="F272" s="3"/>
      <c r="G272" s="3"/>
      <c r="H272" s="3"/>
      <c r="I272" s="3"/>
    </row>
    <row r="273" spans="4:9" x14ac:dyDescent="0.25">
      <c r="D273" s="3"/>
      <c r="E273" s="3"/>
      <c r="F273" s="3"/>
      <c r="G273" s="3"/>
      <c r="H273" s="3"/>
      <c r="I273" s="3"/>
    </row>
    <row r="274" spans="4:9" x14ac:dyDescent="0.25">
      <c r="D274" s="3"/>
      <c r="E274" s="3"/>
      <c r="F274" s="3"/>
      <c r="G274" s="3"/>
      <c r="H274" s="3"/>
      <c r="I274" s="3"/>
    </row>
    <row r="275" spans="4:9" x14ac:dyDescent="0.25">
      <c r="D275" s="3"/>
      <c r="E275" s="3"/>
      <c r="F275" s="3"/>
      <c r="G275" s="3"/>
      <c r="H275" s="3"/>
      <c r="I275" s="3"/>
    </row>
    <row r="276" spans="4:9" x14ac:dyDescent="0.25">
      <c r="D276" s="3"/>
      <c r="E276" s="3"/>
      <c r="F276" s="3"/>
      <c r="G276" s="3"/>
      <c r="H276" s="3"/>
      <c r="I276" s="3"/>
    </row>
    <row r="277" spans="4:9" x14ac:dyDescent="0.25">
      <c r="D277" s="3"/>
      <c r="E277" s="3"/>
      <c r="F277" s="3"/>
      <c r="G277" s="3"/>
      <c r="H277" s="3"/>
      <c r="I277" s="3"/>
    </row>
    <row r="278" spans="4:9" x14ac:dyDescent="0.25">
      <c r="D278" s="3"/>
      <c r="E278" s="3"/>
      <c r="F278" s="3"/>
      <c r="G278" s="3"/>
      <c r="H278" s="3"/>
      <c r="I278" s="3"/>
    </row>
    <row r="279" spans="4:9" x14ac:dyDescent="0.25">
      <c r="D279" s="3"/>
      <c r="E279" s="3"/>
      <c r="F279" s="3"/>
      <c r="G279" s="3"/>
      <c r="H279" s="3"/>
      <c r="I279" s="3"/>
    </row>
    <row r="280" spans="4:9" x14ac:dyDescent="0.25">
      <c r="D280" s="3"/>
      <c r="E280" s="3"/>
      <c r="F280" s="3"/>
      <c r="G280" s="3"/>
      <c r="H280" s="3"/>
      <c r="I280" s="3"/>
    </row>
    <row r="281" spans="4:9" x14ac:dyDescent="0.25">
      <c r="D281" s="3"/>
      <c r="E281" s="3"/>
      <c r="F281" s="3"/>
      <c r="G281" s="3"/>
      <c r="H281" s="3"/>
      <c r="I281" s="3"/>
    </row>
    <row r="282" spans="4:9" x14ac:dyDescent="0.25">
      <c r="D282" s="3"/>
      <c r="E282" s="3"/>
      <c r="F282" s="3"/>
      <c r="G282" s="3"/>
      <c r="H282" s="3"/>
      <c r="I282" s="3"/>
    </row>
    <row r="283" spans="4:9" x14ac:dyDescent="0.25">
      <c r="D283" s="3"/>
      <c r="E283" s="3"/>
      <c r="F283" s="3"/>
      <c r="G283" s="3"/>
      <c r="H283" s="3"/>
      <c r="I283" s="3"/>
    </row>
    <row r="284" spans="4:9" x14ac:dyDescent="0.25">
      <c r="D284" s="3"/>
      <c r="E284" s="3"/>
      <c r="F284" s="3"/>
      <c r="G284" s="3"/>
      <c r="H284" s="3"/>
      <c r="I284" s="3"/>
    </row>
    <row r="285" spans="4:9" x14ac:dyDescent="0.25">
      <c r="D285" s="3"/>
      <c r="E285" s="3"/>
      <c r="F285" s="3"/>
      <c r="G285" s="3"/>
      <c r="H285" s="3"/>
      <c r="I285" s="3"/>
    </row>
    <row r="286" spans="4:9" x14ac:dyDescent="0.25">
      <c r="D286" s="3"/>
      <c r="E286" s="3"/>
      <c r="F286" s="3"/>
      <c r="G286" s="3"/>
      <c r="H286" s="3"/>
      <c r="I286" s="3"/>
    </row>
    <row r="287" spans="4:9" x14ac:dyDescent="0.25">
      <c r="D287" s="3"/>
      <c r="E287" s="3"/>
      <c r="F287" s="3"/>
      <c r="G287" s="3"/>
      <c r="H287" s="3"/>
      <c r="I287" s="3"/>
    </row>
    <row r="288" spans="4:9" x14ac:dyDescent="0.25">
      <c r="D288" s="3"/>
      <c r="E288" s="3"/>
      <c r="F288" s="3"/>
      <c r="G288" s="3"/>
      <c r="H288" s="3"/>
      <c r="I288" s="3"/>
    </row>
    <row r="289" spans="4:9" x14ac:dyDescent="0.25">
      <c r="D289" s="3"/>
      <c r="E289" s="3"/>
      <c r="F289" s="3"/>
      <c r="G289" s="3"/>
      <c r="H289" s="3"/>
      <c r="I289" s="3"/>
    </row>
    <row r="290" spans="4:9" x14ac:dyDescent="0.25">
      <c r="D290" s="3"/>
      <c r="E290" s="3"/>
      <c r="F290" s="3"/>
      <c r="G290" s="3"/>
      <c r="H290" s="3"/>
      <c r="I290" s="3"/>
    </row>
    <row r="291" spans="4:9" x14ac:dyDescent="0.25">
      <c r="D291" s="3"/>
      <c r="E291" s="3"/>
      <c r="F291" s="3"/>
      <c r="G291" s="3"/>
      <c r="H291" s="3"/>
      <c r="I291" s="3"/>
    </row>
    <row r="292" spans="4:9" x14ac:dyDescent="0.25">
      <c r="D292" s="3"/>
      <c r="E292" s="3"/>
      <c r="F292" s="3"/>
      <c r="G292" s="3"/>
      <c r="H292" s="3"/>
      <c r="I292" s="3"/>
    </row>
    <row r="293" spans="4:9" x14ac:dyDescent="0.25">
      <c r="D293" s="3"/>
      <c r="E293" s="3"/>
      <c r="F293" s="3"/>
      <c r="G293" s="3"/>
      <c r="H293" s="3"/>
      <c r="I293" s="3"/>
    </row>
    <row r="294" spans="4:9" x14ac:dyDescent="0.25">
      <c r="D294" s="3"/>
      <c r="E294" s="3"/>
      <c r="F294" s="3"/>
      <c r="G294" s="3"/>
      <c r="H294" s="3"/>
      <c r="I294" s="3"/>
    </row>
    <row r="295" spans="4:9" x14ac:dyDescent="0.25">
      <c r="D295" s="3"/>
      <c r="E295" s="3"/>
      <c r="F295" s="3"/>
      <c r="G295" s="3"/>
      <c r="H295" s="3"/>
      <c r="I295" s="3"/>
    </row>
    <row r="296" spans="4:9" x14ac:dyDescent="0.25">
      <c r="D296" s="3"/>
      <c r="E296" s="3"/>
      <c r="F296" s="3"/>
      <c r="G296" s="3"/>
      <c r="H296" s="3"/>
      <c r="I296" s="3"/>
    </row>
    <row r="297" spans="4:9" x14ac:dyDescent="0.25">
      <c r="D297" s="3"/>
      <c r="E297" s="3"/>
      <c r="F297" s="3"/>
      <c r="G297" s="3"/>
      <c r="H297" s="3"/>
      <c r="I297" s="3"/>
    </row>
    <row r="298" spans="4:9" x14ac:dyDescent="0.25">
      <c r="D298" s="3"/>
      <c r="E298" s="3"/>
      <c r="F298" s="3"/>
      <c r="G298" s="3"/>
      <c r="H298" s="3"/>
      <c r="I298" s="3"/>
    </row>
    <row r="299" spans="4:9" x14ac:dyDescent="0.25">
      <c r="D299" s="3"/>
      <c r="E299" s="3"/>
      <c r="F299" s="3"/>
      <c r="G299" s="3"/>
      <c r="H299" s="3"/>
      <c r="I299" s="3"/>
    </row>
    <row r="300" spans="4:9" x14ac:dyDescent="0.25">
      <c r="D300" s="3"/>
      <c r="E300" s="3"/>
      <c r="F300" s="3"/>
      <c r="G300" s="3"/>
      <c r="H300" s="3"/>
      <c r="I300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6B4F-71BF-4750-B220-F9BD03FBF595}">
  <dimension ref="A3:J27"/>
  <sheetViews>
    <sheetView workbookViewId="0">
      <selection activeCell="B21" sqref="B21"/>
    </sheetView>
  </sheetViews>
  <sheetFormatPr defaultRowHeight="15" x14ac:dyDescent="0.25"/>
  <cols>
    <col min="1" max="1" width="16.5703125" bestFit="1" customWidth="1"/>
    <col min="2" max="2" width="25.140625" bestFit="1" customWidth="1"/>
    <col min="4" max="4" width="12.7109375" bestFit="1" customWidth="1"/>
    <col min="5" max="5" width="17.5703125" bestFit="1" customWidth="1"/>
    <col min="6" max="6" width="18.7109375" bestFit="1" customWidth="1"/>
    <col min="7" max="7" width="7.5703125" bestFit="1" customWidth="1"/>
    <col min="8" max="8" width="15" bestFit="1" customWidth="1"/>
    <col min="9" max="9" width="16.28515625" bestFit="1" customWidth="1"/>
    <col min="10" max="10" width="10.5703125" bestFit="1" customWidth="1"/>
  </cols>
  <sheetData>
    <row r="3" spans="1:10" x14ac:dyDescent="0.25">
      <c r="A3" s="5" t="s">
        <v>324</v>
      </c>
      <c r="B3" t="s">
        <v>343</v>
      </c>
      <c r="D3" s="5" t="s">
        <v>343</v>
      </c>
      <c r="E3" s="5" t="s">
        <v>344</v>
      </c>
    </row>
    <row r="4" spans="1:10" x14ac:dyDescent="0.25">
      <c r="A4" s="6" t="s">
        <v>338</v>
      </c>
      <c r="B4">
        <v>30</v>
      </c>
      <c r="D4" s="5" t="s">
        <v>324</v>
      </c>
      <c r="E4" t="s">
        <v>338</v>
      </c>
      <c r="F4" t="s">
        <v>339</v>
      </c>
      <c r="G4" t="s">
        <v>340</v>
      </c>
      <c r="H4" t="s">
        <v>341</v>
      </c>
      <c r="I4" t="s">
        <v>342</v>
      </c>
      <c r="J4" t="s">
        <v>325</v>
      </c>
    </row>
    <row r="5" spans="1:10" x14ac:dyDescent="0.25">
      <c r="A5" s="6" t="s">
        <v>339</v>
      </c>
      <c r="B5">
        <v>32</v>
      </c>
      <c r="D5" s="6" t="s">
        <v>29</v>
      </c>
      <c r="E5">
        <v>6</v>
      </c>
      <c r="F5">
        <v>5</v>
      </c>
      <c r="G5">
        <v>3</v>
      </c>
      <c r="H5">
        <v>4</v>
      </c>
      <c r="I5">
        <v>3</v>
      </c>
      <c r="J5">
        <v>21</v>
      </c>
    </row>
    <row r="6" spans="1:10" x14ac:dyDescent="0.25">
      <c r="A6" s="6" t="s">
        <v>340</v>
      </c>
      <c r="B6">
        <v>34</v>
      </c>
      <c r="D6" s="6" t="s">
        <v>23</v>
      </c>
      <c r="E6">
        <v>1</v>
      </c>
      <c r="F6">
        <v>2</v>
      </c>
      <c r="G6">
        <v>3</v>
      </c>
      <c r="H6">
        <v>1</v>
      </c>
      <c r="I6">
        <v>5</v>
      </c>
      <c r="J6">
        <v>12</v>
      </c>
    </row>
    <row r="7" spans="1:10" x14ac:dyDescent="0.25">
      <c r="A7" s="6" t="s">
        <v>341</v>
      </c>
      <c r="B7">
        <v>19</v>
      </c>
      <c r="D7" s="6" t="s">
        <v>20</v>
      </c>
      <c r="E7">
        <v>5</v>
      </c>
      <c r="F7">
        <v>4</v>
      </c>
      <c r="G7">
        <v>6</v>
      </c>
      <c r="H7">
        <v>4</v>
      </c>
      <c r="I7">
        <v>5</v>
      </c>
      <c r="J7">
        <v>24</v>
      </c>
    </row>
    <row r="8" spans="1:10" x14ac:dyDescent="0.25">
      <c r="A8" s="6" t="s">
        <v>342</v>
      </c>
      <c r="B8">
        <v>35</v>
      </c>
      <c r="D8" s="6" t="s">
        <v>17</v>
      </c>
      <c r="E8">
        <v>5</v>
      </c>
      <c r="F8">
        <v>6</v>
      </c>
      <c r="G8">
        <v>5</v>
      </c>
      <c r="H8">
        <v>1</v>
      </c>
      <c r="I8">
        <v>2</v>
      </c>
      <c r="J8">
        <v>19</v>
      </c>
    </row>
    <row r="9" spans="1:10" x14ac:dyDescent="0.25">
      <c r="A9" s="6" t="s">
        <v>325</v>
      </c>
      <c r="B9">
        <v>150</v>
      </c>
      <c r="D9" s="6" t="s">
        <v>14</v>
      </c>
      <c r="E9">
        <v>4</v>
      </c>
      <c r="F9">
        <v>5</v>
      </c>
      <c r="G9">
        <v>5</v>
      </c>
      <c r="H9">
        <v>1</v>
      </c>
      <c r="I9">
        <v>7</v>
      </c>
      <c r="J9">
        <v>22</v>
      </c>
    </row>
    <row r="10" spans="1:10" x14ac:dyDescent="0.25">
      <c r="D10" s="6" t="s">
        <v>26</v>
      </c>
      <c r="E10">
        <v>2</v>
      </c>
      <c r="F10">
        <v>3</v>
      </c>
      <c r="G10">
        <v>6</v>
      </c>
      <c r="I10">
        <v>2</v>
      </c>
      <c r="J10">
        <v>13</v>
      </c>
    </row>
    <row r="11" spans="1:10" x14ac:dyDescent="0.25">
      <c r="D11" s="6" t="s">
        <v>34</v>
      </c>
      <c r="E11">
        <v>5</v>
      </c>
      <c r="F11">
        <v>3</v>
      </c>
      <c r="G11">
        <v>3</v>
      </c>
      <c r="H11">
        <v>3</v>
      </c>
      <c r="I11">
        <v>4</v>
      </c>
      <c r="J11">
        <v>18</v>
      </c>
    </row>
    <row r="12" spans="1:10" x14ac:dyDescent="0.25">
      <c r="D12" s="6" t="s">
        <v>11</v>
      </c>
      <c r="E12">
        <v>2</v>
      </c>
      <c r="F12">
        <v>4</v>
      </c>
      <c r="G12">
        <v>3</v>
      </c>
      <c r="H12">
        <v>5</v>
      </c>
      <c r="I12">
        <v>7</v>
      </c>
      <c r="J12">
        <v>21</v>
      </c>
    </row>
    <row r="13" spans="1:10" x14ac:dyDescent="0.25">
      <c r="D13" s="6" t="s">
        <v>325</v>
      </c>
      <c r="E13">
        <v>30</v>
      </c>
      <c r="F13">
        <v>32</v>
      </c>
      <c r="G13">
        <v>34</v>
      </c>
      <c r="H13">
        <v>19</v>
      </c>
      <c r="I13">
        <v>35</v>
      </c>
      <c r="J13">
        <v>150</v>
      </c>
    </row>
    <row r="18" spans="1:6" x14ac:dyDescent="0.25">
      <c r="A18" s="5" t="s">
        <v>324</v>
      </c>
      <c r="B18" t="s">
        <v>345</v>
      </c>
      <c r="D18" s="5" t="s">
        <v>324</v>
      </c>
      <c r="E18" t="s">
        <v>346</v>
      </c>
      <c r="F18" t="s">
        <v>347</v>
      </c>
    </row>
    <row r="19" spans="1:6" x14ac:dyDescent="0.25">
      <c r="A19" s="6" t="s">
        <v>338</v>
      </c>
      <c r="B19" s="3">
        <v>0.1062415480675611</v>
      </c>
      <c r="D19" s="6" t="s">
        <v>29</v>
      </c>
      <c r="E19" s="4">
        <v>1411.0229517023399</v>
      </c>
      <c r="F19" s="4">
        <v>4537.748226427615</v>
      </c>
    </row>
    <row r="20" spans="1:6" x14ac:dyDescent="0.25">
      <c r="A20" s="6" t="s">
        <v>339</v>
      </c>
      <c r="B20" s="3">
        <v>0.343925863037576</v>
      </c>
      <c r="D20" s="6" t="s">
        <v>23</v>
      </c>
      <c r="E20" s="4">
        <v>927.94566750912998</v>
      </c>
      <c r="F20" s="4">
        <v>3602.4401730036361</v>
      </c>
    </row>
    <row r="21" spans="1:6" x14ac:dyDescent="0.25">
      <c r="A21" s="6" t="s">
        <v>340</v>
      </c>
      <c r="B21" s="3">
        <v>0.10729984412474843</v>
      </c>
      <c r="D21" s="6" t="s">
        <v>20</v>
      </c>
      <c r="E21" s="4">
        <v>1395.2467391718631</v>
      </c>
      <c r="F21" s="4">
        <v>5068.0214644465887</v>
      </c>
    </row>
    <row r="22" spans="1:6" x14ac:dyDescent="0.25">
      <c r="A22" s="6" t="s">
        <v>341</v>
      </c>
      <c r="B22" s="3">
        <v>0.10197913716229901</v>
      </c>
      <c r="D22" s="6" t="s">
        <v>17</v>
      </c>
      <c r="E22" s="4">
        <v>1162.5477031223836</v>
      </c>
      <c r="F22" s="4">
        <v>4101.2400108146903</v>
      </c>
    </row>
    <row r="23" spans="1:6" x14ac:dyDescent="0.25">
      <c r="A23" s="6" t="s">
        <v>342</v>
      </c>
      <c r="B23" s="3">
        <v>0.10353615547801544</v>
      </c>
      <c r="D23" s="6" t="s">
        <v>14</v>
      </c>
      <c r="E23" s="4">
        <v>1461.5871415176318</v>
      </c>
      <c r="F23" s="4">
        <v>5310.9278008582914</v>
      </c>
    </row>
    <row r="24" spans="1:6" x14ac:dyDescent="0.25">
      <c r="A24" s="6" t="s">
        <v>325</v>
      </c>
      <c r="B24" s="3">
        <v>0.15601625204856623</v>
      </c>
      <c r="D24" s="6" t="s">
        <v>26</v>
      </c>
      <c r="E24" s="4">
        <v>1092.6285957224316</v>
      </c>
      <c r="F24" s="4">
        <v>3747.9362880301237</v>
      </c>
    </row>
    <row r="25" spans="1:6" x14ac:dyDescent="0.25">
      <c r="D25" s="6" t="s">
        <v>34</v>
      </c>
      <c r="E25" s="4">
        <v>1144.0508908073457</v>
      </c>
      <c r="F25" s="4">
        <v>4124.7212204776752</v>
      </c>
    </row>
    <row r="26" spans="1:6" x14ac:dyDescent="0.25">
      <c r="D26" s="6" t="s">
        <v>11</v>
      </c>
      <c r="E26" s="4">
        <v>1793.0640717455717</v>
      </c>
      <c r="F26" s="4">
        <v>5675.9596761411758</v>
      </c>
    </row>
    <row r="27" spans="1:6" x14ac:dyDescent="0.25">
      <c r="D27" s="6" t="s">
        <v>325</v>
      </c>
      <c r="E27" s="4">
        <v>10388.093761298698</v>
      </c>
      <c r="F27" s="4">
        <v>36168.994860199797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1C18-94EC-477E-B5C7-2FA67F61DFED}">
  <dimension ref="A1:I151"/>
  <sheetViews>
    <sheetView workbookViewId="0">
      <selection activeCell="C2" sqref="C2"/>
    </sheetView>
  </sheetViews>
  <sheetFormatPr defaultRowHeight="15" x14ac:dyDescent="0.25"/>
  <cols>
    <col min="1" max="1" width="8.42578125" bestFit="1" customWidth="1"/>
    <col min="2" max="2" width="21.5703125" bestFit="1" customWidth="1"/>
    <col min="3" max="3" width="12.5703125" bestFit="1" customWidth="1"/>
    <col min="4" max="4" width="10.7109375" bestFit="1" customWidth="1"/>
    <col min="5" max="5" width="14.7109375" bestFit="1" customWidth="1"/>
    <col min="6" max="6" width="27.28515625" bestFit="1" customWidth="1"/>
    <col min="7" max="7" width="22.5703125" style="4" customWidth="1"/>
    <col min="8" max="8" width="24.85546875" customWidth="1"/>
    <col min="9" max="9" width="19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251.56</v>
      </c>
      <c r="E2">
        <v>30.62</v>
      </c>
      <c r="F2">
        <v>57.86</v>
      </c>
      <c r="G2" s="4">
        <v>12</v>
      </c>
      <c r="H2">
        <v>2.9</v>
      </c>
      <c r="I2">
        <v>199</v>
      </c>
    </row>
    <row r="3" spans="1:9" x14ac:dyDescent="0.25">
      <c r="A3" t="s">
        <v>12</v>
      </c>
      <c r="B3" t="s">
        <v>13</v>
      </c>
      <c r="C3" t="s">
        <v>14</v>
      </c>
      <c r="D3">
        <v>263.08</v>
      </c>
      <c r="E3">
        <v>62.68</v>
      </c>
      <c r="F3">
        <v>78.92</v>
      </c>
      <c r="G3" s="4">
        <v>6</v>
      </c>
      <c r="H3">
        <v>2.7</v>
      </c>
      <c r="I3">
        <v>84</v>
      </c>
    </row>
    <row r="4" spans="1:9" x14ac:dyDescent="0.25">
      <c r="A4" t="s">
        <v>15</v>
      </c>
      <c r="B4" t="s">
        <v>16</v>
      </c>
      <c r="C4" t="s">
        <v>17</v>
      </c>
      <c r="D4">
        <v>193.26</v>
      </c>
      <c r="E4">
        <v>76.37</v>
      </c>
      <c r="F4">
        <v>46.38</v>
      </c>
      <c r="G4" s="4">
        <v>10</v>
      </c>
      <c r="H4">
        <v>1.3</v>
      </c>
      <c r="I4">
        <v>196</v>
      </c>
    </row>
    <row r="5" spans="1:9" x14ac:dyDescent="0.25">
      <c r="A5" t="s">
        <v>18</v>
      </c>
      <c r="B5" t="s">
        <v>19</v>
      </c>
      <c r="C5" t="s">
        <v>20</v>
      </c>
      <c r="D5">
        <v>172.6</v>
      </c>
      <c r="E5">
        <v>77.040000000000006</v>
      </c>
      <c r="F5">
        <v>27.62</v>
      </c>
      <c r="G5" s="4">
        <v>6</v>
      </c>
      <c r="H5">
        <v>2.9</v>
      </c>
      <c r="I5">
        <v>177</v>
      </c>
    </row>
    <row r="6" spans="1:9" x14ac:dyDescent="0.25">
      <c r="A6" t="s">
        <v>21</v>
      </c>
      <c r="B6" t="s">
        <v>22</v>
      </c>
      <c r="C6" t="s">
        <v>23</v>
      </c>
      <c r="D6">
        <v>351.54</v>
      </c>
      <c r="E6">
        <v>69.23</v>
      </c>
      <c r="F6">
        <v>101.95</v>
      </c>
      <c r="G6" s="4">
        <v>16</v>
      </c>
      <c r="H6">
        <v>1.9</v>
      </c>
      <c r="I6">
        <v>253</v>
      </c>
    </row>
    <row r="7" spans="1:9" x14ac:dyDescent="0.25">
      <c r="A7" t="s">
        <v>24</v>
      </c>
      <c r="B7" t="s">
        <v>25</v>
      </c>
      <c r="C7" t="s">
        <v>26</v>
      </c>
      <c r="D7">
        <v>316.95999999999998</v>
      </c>
      <c r="E7">
        <v>48.19</v>
      </c>
      <c r="F7">
        <v>76.069999999999993</v>
      </c>
      <c r="G7" s="4">
        <v>20</v>
      </c>
      <c r="H7">
        <v>3.6</v>
      </c>
      <c r="I7">
        <v>236</v>
      </c>
    </row>
    <row r="8" spans="1:9" x14ac:dyDescent="0.25">
      <c r="A8" t="s">
        <v>27</v>
      </c>
      <c r="B8" t="s">
        <v>28</v>
      </c>
      <c r="C8" t="s">
        <v>29</v>
      </c>
      <c r="D8">
        <v>135.27000000000001</v>
      </c>
      <c r="E8">
        <v>118.12</v>
      </c>
      <c r="F8">
        <v>23</v>
      </c>
      <c r="G8" s="4">
        <v>18</v>
      </c>
      <c r="H8">
        <v>1.5</v>
      </c>
      <c r="I8">
        <v>137</v>
      </c>
    </row>
    <row r="9" spans="1:9" x14ac:dyDescent="0.25">
      <c r="A9" t="s">
        <v>30</v>
      </c>
      <c r="B9" t="s">
        <v>31</v>
      </c>
      <c r="C9" t="s">
        <v>26</v>
      </c>
      <c r="D9">
        <v>420.51</v>
      </c>
      <c r="E9">
        <v>65.06</v>
      </c>
      <c r="F9">
        <v>121.95</v>
      </c>
      <c r="G9" s="4">
        <v>7</v>
      </c>
      <c r="H9">
        <v>3.3</v>
      </c>
      <c r="I9">
        <v>196</v>
      </c>
    </row>
    <row r="10" spans="1:9" x14ac:dyDescent="0.25">
      <c r="A10" t="s">
        <v>32</v>
      </c>
      <c r="B10" t="s">
        <v>33</v>
      </c>
      <c r="C10" t="s">
        <v>34</v>
      </c>
      <c r="D10">
        <v>158.33000000000001</v>
      </c>
      <c r="E10">
        <v>58.27</v>
      </c>
      <c r="F10">
        <v>34.83</v>
      </c>
      <c r="G10" s="4">
        <v>19</v>
      </c>
      <c r="H10">
        <v>1.2</v>
      </c>
      <c r="I10">
        <v>73</v>
      </c>
    </row>
    <row r="11" spans="1:9" x14ac:dyDescent="0.25">
      <c r="A11" t="s">
        <v>35</v>
      </c>
      <c r="B11" t="s">
        <v>36</v>
      </c>
      <c r="C11" t="s">
        <v>17</v>
      </c>
      <c r="D11">
        <v>217.55</v>
      </c>
      <c r="E11">
        <v>88.09</v>
      </c>
      <c r="F11">
        <v>34.81</v>
      </c>
      <c r="G11" s="4">
        <v>43</v>
      </c>
      <c r="H11">
        <v>7.9</v>
      </c>
      <c r="I11">
        <v>33</v>
      </c>
    </row>
    <row r="12" spans="1:9" x14ac:dyDescent="0.25">
      <c r="A12" t="s">
        <v>37</v>
      </c>
      <c r="B12" t="s">
        <v>38</v>
      </c>
      <c r="C12" t="s">
        <v>17</v>
      </c>
      <c r="D12">
        <v>324.75</v>
      </c>
      <c r="E12">
        <v>109.27</v>
      </c>
      <c r="F12">
        <v>64.95</v>
      </c>
      <c r="G12" s="4">
        <v>19</v>
      </c>
      <c r="H12">
        <v>2.1</v>
      </c>
      <c r="I12">
        <v>206</v>
      </c>
    </row>
    <row r="13" spans="1:9" x14ac:dyDescent="0.25">
      <c r="A13" t="s">
        <v>39</v>
      </c>
      <c r="B13" t="s">
        <v>40</v>
      </c>
      <c r="C13" t="s">
        <v>11</v>
      </c>
      <c r="D13">
        <v>226.21</v>
      </c>
      <c r="E13">
        <v>45.73</v>
      </c>
      <c r="F13">
        <v>42.98</v>
      </c>
      <c r="G13" s="4">
        <v>12</v>
      </c>
      <c r="H13">
        <v>2.2000000000000002</v>
      </c>
      <c r="I13">
        <v>284</v>
      </c>
    </row>
    <row r="14" spans="1:9" x14ac:dyDescent="0.25">
      <c r="A14" t="s">
        <v>41</v>
      </c>
      <c r="B14" t="s">
        <v>42</v>
      </c>
      <c r="C14" t="s">
        <v>29</v>
      </c>
      <c r="D14">
        <v>43.62</v>
      </c>
      <c r="E14">
        <v>67.67</v>
      </c>
      <c r="F14">
        <v>10.029999999999999</v>
      </c>
      <c r="G14" s="4">
        <v>25</v>
      </c>
      <c r="H14">
        <v>10.9</v>
      </c>
      <c r="I14">
        <v>40</v>
      </c>
    </row>
    <row r="15" spans="1:9" x14ac:dyDescent="0.25">
      <c r="A15" t="s">
        <v>43</v>
      </c>
      <c r="B15" t="s">
        <v>44</v>
      </c>
      <c r="C15" t="s">
        <v>17</v>
      </c>
      <c r="D15">
        <v>320.23</v>
      </c>
      <c r="E15">
        <v>118.71</v>
      </c>
      <c r="F15">
        <v>80.06</v>
      </c>
      <c r="G15" s="4">
        <v>17</v>
      </c>
      <c r="H15">
        <v>3.9</v>
      </c>
      <c r="I15">
        <v>88</v>
      </c>
    </row>
    <row r="16" spans="1:9" x14ac:dyDescent="0.25">
      <c r="A16" t="s">
        <v>45</v>
      </c>
      <c r="B16" t="s">
        <v>46</v>
      </c>
      <c r="C16" t="s">
        <v>11</v>
      </c>
      <c r="D16">
        <v>85.89</v>
      </c>
      <c r="E16">
        <v>47.04</v>
      </c>
      <c r="F16">
        <v>16.32</v>
      </c>
      <c r="G16" s="4">
        <v>36</v>
      </c>
      <c r="H16">
        <v>11</v>
      </c>
      <c r="I16">
        <v>16</v>
      </c>
    </row>
    <row r="17" spans="1:9" x14ac:dyDescent="0.25">
      <c r="A17" t="s">
        <v>47</v>
      </c>
      <c r="B17" t="s">
        <v>48</v>
      </c>
      <c r="C17" t="s">
        <v>17</v>
      </c>
      <c r="D17">
        <v>132.61000000000001</v>
      </c>
      <c r="E17">
        <v>38.840000000000003</v>
      </c>
      <c r="F17">
        <v>30.5</v>
      </c>
      <c r="G17" s="4">
        <v>15</v>
      </c>
      <c r="H17">
        <v>3.9</v>
      </c>
      <c r="I17">
        <v>226</v>
      </c>
    </row>
    <row r="18" spans="1:9" x14ac:dyDescent="0.25">
      <c r="A18" t="s">
        <v>49</v>
      </c>
      <c r="B18" t="s">
        <v>50</v>
      </c>
      <c r="C18" t="s">
        <v>14</v>
      </c>
      <c r="D18">
        <v>209.84</v>
      </c>
      <c r="E18">
        <v>107.74</v>
      </c>
      <c r="F18">
        <v>60.85</v>
      </c>
      <c r="G18" s="4">
        <v>17</v>
      </c>
      <c r="H18">
        <v>2.2000000000000002</v>
      </c>
      <c r="I18">
        <v>150</v>
      </c>
    </row>
    <row r="19" spans="1:9" x14ac:dyDescent="0.25">
      <c r="A19" t="s">
        <v>51</v>
      </c>
      <c r="B19" t="s">
        <v>52</v>
      </c>
      <c r="C19" t="s">
        <v>11</v>
      </c>
      <c r="D19">
        <v>220.83</v>
      </c>
      <c r="E19">
        <v>63.04</v>
      </c>
      <c r="F19">
        <v>39.75</v>
      </c>
      <c r="G19" s="4">
        <v>27</v>
      </c>
      <c r="H19">
        <v>8.6</v>
      </c>
      <c r="I19">
        <v>12</v>
      </c>
    </row>
    <row r="20" spans="1:9" x14ac:dyDescent="0.25">
      <c r="A20" t="s">
        <v>53</v>
      </c>
      <c r="B20" t="s">
        <v>54</v>
      </c>
      <c r="C20" t="s">
        <v>34</v>
      </c>
      <c r="D20">
        <v>273.52</v>
      </c>
      <c r="E20">
        <v>34.729999999999997</v>
      </c>
      <c r="F20">
        <v>65.64</v>
      </c>
      <c r="G20" s="4">
        <v>38</v>
      </c>
      <c r="H20">
        <v>6.6</v>
      </c>
      <c r="I20">
        <v>28</v>
      </c>
    </row>
    <row r="21" spans="1:9" x14ac:dyDescent="0.25">
      <c r="A21" t="s">
        <v>55</v>
      </c>
      <c r="B21" t="s">
        <v>56</v>
      </c>
      <c r="C21" t="s">
        <v>14</v>
      </c>
      <c r="D21">
        <v>39.08</v>
      </c>
      <c r="E21">
        <v>44.76</v>
      </c>
      <c r="F21">
        <v>8.2100000000000009</v>
      </c>
      <c r="G21" s="4">
        <v>13</v>
      </c>
      <c r="H21">
        <v>3.9</v>
      </c>
      <c r="I21">
        <v>204</v>
      </c>
    </row>
    <row r="22" spans="1:9" x14ac:dyDescent="0.25">
      <c r="A22" t="s">
        <v>57</v>
      </c>
      <c r="B22" t="s">
        <v>58</v>
      </c>
      <c r="C22" t="s">
        <v>34</v>
      </c>
      <c r="D22">
        <v>217.57</v>
      </c>
      <c r="E22">
        <v>35.96</v>
      </c>
      <c r="F22">
        <v>47.87</v>
      </c>
      <c r="G22" s="4">
        <v>19</v>
      </c>
      <c r="H22">
        <v>2.4</v>
      </c>
      <c r="I22">
        <v>129</v>
      </c>
    </row>
    <row r="23" spans="1:9" x14ac:dyDescent="0.25">
      <c r="A23" t="s">
        <v>59</v>
      </c>
      <c r="B23" t="s">
        <v>60</v>
      </c>
      <c r="C23" t="s">
        <v>11</v>
      </c>
      <c r="D23">
        <v>71.7</v>
      </c>
      <c r="E23">
        <v>96.22</v>
      </c>
      <c r="F23">
        <v>18.64</v>
      </c>
      <c r="G23" s="4">
        <v>20</v>
      </c>
      <c r="H23">
        <v>3.5</v>
      </c>
      <c r="I23">
        <v>91</v>
      </c>
    </row>
    <row r="24" spans="1:9" x14ac:dyDescent="0.25">
      <c r="A24" t="s">
        <v>61</v>
      </c>
      <c r="B24" t="s">
        <v>62</v>
      </c>
      <c r="C24" t="s">
        <v>14</v>
      </c>
      <c r="D24">
        <v>98.71</v>
      </c>
      <c r="E24">
        <v>115.44</v>
      </c>
      <c r="F24">
        <v>19.739999999999998</v>
      </c>
      <c r="G24" s="4">
        <v>43</v>
      </c>
      <c r="H24">
        <v>9.3000000000000007</v>
      </c>
      <c r="I24">
        <v>6</v>
      </c>
    </row>
    <row r="25" spans="1:9" x14ac:dyDescent="0.25">
      <c r="A25" t="s">
        <v>63</v>
      </c>
      <c r="B25" t="s">
        <v>64</v>
      </c>
      <c r="C25" t="s">
        <v>17</v>
      </c>
      <c r="D25">
        <v>440.5</v>
      </c>
      <c r="E25">
        <v>107.02</v>
      </c>
      <c r="F25">
        <v>110.12</v>
      </c>
      <c r="G25" s="4">
        <v>13</v>
      </c>
      <c r="H25">
        <v>2.6</v>
      </c>
      <c r="I25">
        <v>282</v>
      </c>
    </row>
    <row r="26" spans="1:9" x14ac:dyDescent="0.25">
      <c r="A26" t="s">
        <v>65</v>
      </c>
      <c r="B26" t="s">
        <v>66</v>
      </c>
      <c r="C26" t="s">
        <v>26</v>
      </c>
      <c r="D26">
        <v>165.22</v>
      </c>
      <c r="E26">
        <v>46.17</v>
      </c>
      <c r="F26">
        <v>38</v>
      </c>
      <c r="G26" s="4">
        <v>37</v>
      </c>
      <c r="H26">
        <v>8</v>
      </c>
      <c r="I26">
        <v>19</v>
      </c>
    </row>
    <row r="27" spans="1:9" x14ac:dyDescent="0.25">
      <c r="A27" t="s">
        <v>67</v>
      </c>
      <c r="B27" t="s">
        <v>68</v>
      </c>
      <c r="C27" t="s">
        <v>20</v>
      </c>
      <c r="D27">
        <v>364.29</v>
      </c>
      <c r="E27">
        <v>102.74</v>
      </c>
      <c r="F27">
        <v>94.72</v>
      </c>
      <c r="G27" s="4">
        <v>12</v>
      </c>
      <c r="H27">
        <v>1.6</v>
      </c>
      <c r="I27">
        <v>176</v>
      </c>
    </row>
    <row r="28" spans="1:9" x14ac:dyDescent="0.25">
      <c r="A28" t="s">
        <v>69</v>
      </c>
      <c r="B28" t="s">
        <v>70</v>
      </c>
      <c r="C28" t="s">
        <v>34</v>
      </c>
      <c r="D28">
        <v>331.1</v>
      </c>
      <c r="E28">
        <v>119.01</v>
      </c>
      <c r="F28">
        <v>89.4</v>
      </c>
      <c r="G28" s="4">
        <v>20</v>
      </c>
      <c r="H28">
        <v>1.8</v>
      </c>
      <c r="I28">
        <v>227</v>
      </c>
    </row>
    <row r="29" spans="1:9" x14ac:dyDescent="0.25">
      <c r="A29" t="s">
        <v>71</v>
      </c>
      <c r="B29" t="s">
        <v>72</v>
      </c>
      <c r="C29" t="s">
        <v>34</v>
      </c>
      <c r="D29">
        <v>205.67</v>
      </c>
      <c r="E29">
        <v>114.02</v>
      </c>
      <c r="F29">
        <v>61.7</v>
      </c>
      <c r="G29" s="4">
        <v>16</v>
      </c>
      <c r="H29">
        <v>1.2</v>
      </c>
      <c r="I29">
        <v>76</v>
      </c>
    </row>
    <row r="30" spans="1:9" x14ac:dyDescent="0.25">
      <c r="A30" t="s">
        <v>73</v>
      </c>
      <c r="B30" t="s">
        <v>74</v>
      </c>
      <c r="C30" t="s">
        <v>20</v>
      </c>
      <c r="D30">
        <v>215.78</v>
      </c>
      <c r="E30">
        <v>57.09</v>
      </c>
      <c r="F30">
        <v>47.47</v>
      </c>
      <c r="G30" s="4">
        <v>5</v>
      </c>
      <c r="H30">
        <v>2.4</v>
      </c>
      <c r="I30">
        <v>217</v>
      </c>
    </row>
    <row r="31" spans="1:9" x14ac:dyDescent="0.25">
      <c r="A31" t="s">
        <v>75</v>
      </c>
      <c r="B31" t="s">
        <v>76</v>
      </c>
      <c r="C31" t="s">
        <v>34</v>
      </c>
      <c r="D31">
        <v>361.44</v>
      </c>
      <c r="E31">
        <v>33.049999999999997</v>
      </c>
      <c r="F31">
        <v>90.36</v>
      </c>
      <c r="G31" s="4">
        <v>17</v>
      </c>
      <c r="H31">
        <v>3.3</v>
      </c>
      <c r="I31">
        <v>242</v>
      </c>
    </row>
    <row r="32" spans="1:9" x14ac:dyDescent="0.25">
      <c r="A32" t="s">
        <v>77</v>
      </c>
      <c r="B32" t="s">
        <v>78</v>
      </c>
      <c r="C32" t="s">
        <v>20</v>
      </c>
      <c r="D32">
        <v>219.29</v>
      </c>
      <c r="E32">
        <v>41.96</v>
      </c>
      <c r="F32">
        <v>59.21</v>
      </c>
      <c r="G32" s="4">
        <v>15</v>
      </c>
      <c r="H32">
        <v>1.3</v>
      </c>
      <c r="I32">
        <v>292</v>
      </c>
    </row>
    <row r="33" spans="1:9" x14ac:dyDescent="0.25">
      <c r="A33" t="s">
        <v>79</v>
      </c>
      <c r="B33" t="s">
        <v>80</v>
      </c>
      <c r="C33" t="s">
        <v>23</v>
      </c>
      <c r="D33">
        <v>212.72</v>
      </c>
      <c r="E33">
        <v>95.62</v>
      </c>
      <c r="F33">
        <v>34.04</v>
      </c>
      <c r="G33" s="4">
        <v>10</v>
      </c>
      <c r="H33">
        <v>1.5</v>
      </c>
      <c r="I33">
        <v>82</v>
      </c>
    </row>
    <row r="34" spans="1:9" x14ac:dyDescent="0.25">
      <c r="A34" t="s">
        <v>81</v>
      </c>
      <c r="B34" t="s">
        <v>82</v>
      </c>
      <c r="C34" t="s">
        <v>14</v>
      </c>
      <c r="D34">
        <v>74.81</v>
      </c>
      <c r="E34">
        <v>110.96</v>
      </c>
      <c r="F34">
        <v>20.2</v>
      </c>
      <c r="G34" s="4">
        <v>9</v>
      </c>
      <c r="H34">
        <v>2.8</v>
      </c>
      <c r="I34">
        <v>202</v>
      </c>
    </row>
    <row r="35" spans="1:9" x14ac:dyDescent="0.25">
      <c r="A35" t="s">
        <v>83</v>
      </c>
      <c r="B35" t="s">
        <v>84</v>
      </c>
      <c r="C35" t="s">
        <v>29</v>
      </c>
      <c r="D35">
        <v>298.51</v>
      </c>
      <c r="E35">
        <v>58.29</v>
      </c>
      <c r="F35">
        <v>68.66</v>
      </c>
      <c r="G35" s="4">
        <v>9</v>
      </c>
      <c r="H35">
        <v>1.1000000000000001</v>
      </c>
      <c r="I35">
        <v>254</v>
      </c>
    </row>
    <row r="36" spans="1:9" x14ac:dyDescent="0.25">
      <c r="A36" t="s">
        <v>85</v>
      </c>
      <c r="B36" t="s">
        <v>86</v>
      </c>
      <c r="C36" t="s">
        <v>11</v>
      </c>
      <c r="D36">
        <v>240.75</v>
      </c>
      <c r="E36">
        <v>113.69</v>
      </c>
      <c r="F36">
        <v>52.97</v>
      </c>
      <c r="G36" s="4">
        <v>11</v>
      </c>
      <c r="H36">
        <v>3.5</v>
      </c>
      <c r="I36">
        <v>104</v>
      </c>
    </row>
    <row r="37" spans="1:9" x14ac:dyDescent="0.25">
      <c r="A37" t="s">
        <v>87</v>
      </c>
      <c r="B37" t="s">
        <v>88</v>
      </c>
      <c r="C37" t="s">
        <v>14</v>
      </c>
      <c r="D37">
        <v>119.31</v>
      </c>
      <c r="E37">
        <v>52.83</v>
      </c>
      <c r="F37">
        <v>22.67</v>
      </c>
      <c r="G37" s="4">
        <v>15</v>
      </c>
      <c r="H37">
        <v>1.8</v>
      </c>
      <c r="I37">
        <v>157</v>
      </c>
    </row>
    <row r="38" spans="1:9" x14ac:dyDescent="0.25">
      <c r="A38" t="s">
        <v>89</v>
      </c>
      <c r="B38" t="s">
        <v>90</v>
      </c>
      <c r="C38" t="s">
        <v>26</v>
      </c>
      <c r="D38">
        <v>34.92</v>
      </c>
      <c r="E38">
        <v>95.29</v>
      </c>
      <c r="F38">
        <v>9.7799999999999994</v>
      </c>
      <c r="G38" s="4">
        <v>18</v>
      </c>
      <c r="H38">
        <v>3.5</v>
      </c>
      <c r="I38">
        <v>274</v>
      </c>
    </row>
    <row r="39" spans="1:9" x14ac:dyDescent="0.25">
      <c r="A39" t="s">
        <v>91</v>
      </c>
      <c r="B39" t="s">
        <v>92</v>
      </c>
      <c r="C39" t="s">
        <v>26</v>
      </c>
      <c r="D39">
        <v>243.07</v>
      </c>
      <c r="E39">
        <v>74.73</v>
      </c>
      <c r="F39">
        <v>36.46</v>
      </c>
      <c r="G39" s="4">
        <v>19</v>
      </c>
      <c r="H39">
        <v>3.3</v>
      </c>
      <c r="I39">
        <v>205</v>
      </c>
    </row>
    <row r="40" spans="1:9" x14ac:dyDescent="0.25">
      <c r="A40" t="s">
        <v>93</v>
      </c>
      <c r="B40" t="s">
        <v>94</v>
      </c>
      <c r="C40" t="s">
        <v>14</v>
      </c>
      <c r="D40">
        <v>351.01</v>
      </c>
      <c r="E40">
        <v>39.229999999999997</v>
      </c>
      <c r="F40">
        <v>59.67</v>
      </c>
      <c r="G40" s="4">
        <v>40</v>
      </c>
      <c r="H40">
        <v>10.4</v>
      </c>
      <c r="I40">
        <v>40</v>
      </c>
    </row>
    <row r="41" spans="1:9" x14ac:dyDescent="0.25">
      <c r="A41" t="s">
        <v>95</v>
      </c>
      <c r="B41" t="s">
        <v>96</v>
      </c>
      <c r="C41" t="s">
        <v>14</v>
      </c>
      <c r="D41">
        <v>152.08000000000001</v>
      </c>
      <c r="E41">
        <v>74.239999999999995</v>
      </c>
      <c r="F41">
        <v>34.979999999999997</v>
      </c>
      <c r="G41" s="4">
        <v>8</v>
      </c>
      <c r="H41">
        <v>3.6</v>
      </c>
      <c r="I41">
        <v>64</v>
      </c>
    </row>
    <row r="42" spans="1:9" x14ac:dyDescent="0.25">
      <c r="A42" t="s">
        <v>97</v>
      </c>
      <c r="B42" t="s">
        <v>98</v>
      </c>
      <c r="C42" t="s">
        <v>20</v>
      </c>
      <c r="D42">
        <v>92.56</v>
      </c>
      <c r="E42">
        <v>29.01</v>
      </c>
      <c r="F42">
        <v>14.81</v>
      </c>
      <c r="G42" s="4">
        <v>19</v>
      </c>
      <c r="H42">
        <v>2.7</v>
      </c>
      <c r="I42">
        <v>244</v>
      </c>
    </row>
    <row r="43" spans="1:9" x14ac:dyDescent="0.25">
      <c r="A43" t="s">
        <v>99</v>
      </c>
      <c r="B43" t="s">
        <v>100</v>
      </c>
      <c r="C43" t="s">
        <v>11</v>
      </c>
      <c r="D43">
        <v>203.92</v>
      </c>
      <c r="E43">
        <v>83.19</v>
      </c>
      <c r="F43">
        <v>46.9</v>
      </c>
      <c r="G43" s="4">
        <v>11</v>
      </c>
      <c r="H43">
        <v>3.1</v>
      </c>
      <c r="I43">
        <v>165</v>
      </c>
    </row>
    <row r="44" spans="1:9" x14ac:dyDescent="0.25">
      <c r="A44" t="s">
        <v>101</v>
      </c>
      <c r="B44" t="s">
        <v>102</v>
      </c>
      <c r="C44" t="s">
        <v>29</v>
      </c>
      <c r="D44">
        <v>232.43</v>
      </c>
      <c r="E44">
        <v>48.53</v>
      </c>
      <c r="F44">
        <v>53.46</v>
      </c>
      <c r="G44" s="4">
        <v>13</v>
      </c>
      <c r="H44">
        <v>3.8</v>
      </c>
      <c r="I44">
        <v>278</v>
      </c>
    </row>
    <row r="45" spans="1:9" x14ac:dyDescent="0.25">
      <c r="A45" t="s">
        <v>103</v>
      </c>
      <c r="B45" t="s">
        <v>104</v>
      </c>
      <c r="C45" t="s">
        <v>20</v>
      </c>
      <c r="D45">
        <v>379.28</v>
      </c>
      <c r="E45">
        <v>38.03</v>
      </c>
      <c r="F45">
        <v>64.48</v>
      </c>
      <c r="G45" s="4">
        <v>19</v>
      </c>
      <c r="H45">
        <v>1.9</v>
      </c>
      <c r="I45">
        <v>221</v>
      </c>
    </row>
    <row r="46" spans="1:9" x14ac:dyDescent="0.25">
      <c r="A46" t="s">
        <v>105</v>
      </c>
      <c r="B46" t="s">
        <v>106</v>
      </c>
      <c r="C46" t="s">
        <v>20</v>
      </c>
      <c r="D46">
        <v>197.33</v>
      </c>
      <c r="E46">
        <v>45.21</v>
      </c>
      <c r="F46">
        <v>39.47</v>
      </c>
      <c r="G46" s="4">
        <v>8</v>
      </c>
      <c r="H46">
        <v>3.7</v>
      </c>
      <c r="I46">
        <v>89</v>
      </c>
    </row>
    <row r="47" spans="1:9" x14ac:dyDescent="0.25">
      <c r="A47" t="s">
        <v>107</v>
      </c>
      <c r="B47" t="s">
        <v>108</v>
      </c>
      <c r="C47" t="s">
        <v>34</v>
      </c>
      <c r="D47">
        <v>71.2</v>
      </c>
      <c r="E47">
        <v>108.87</v>
      </c>
      <c r="F47">
        <v>21.36</v>
      </c>
      <c r="G47" s="4">
        <v>12</v>
      </c>
      <c r="H47">
        <v>3.2</v>
      </c>
      <c r="I47">
        <v>74</v>
      </c>
    </row>
    <row r="48" spans="1:9" x14ac:dyDescent="0.25">
      <c r="A48" t="s">
        <v>109</v>
      </c>
      <c r="B48" t="s">
        <v>110</v>
      </c>
      <c r="C48" t="s">
        <v>23</v>
      </c>
      <c r="D48">
        <v>399.14</v>
      </c>
      <c r="E48">
        <v>40.47</v>
      </c>
      <c r="F48">
        <v>99.78</v>
      </c>
      <c r="G48" s="4">
        <v>12</v>
      </c>
      <c r="H48">
        <v>1.5</v>
      </c>
      <c r="I48">
        <v>160</v>
      </c>
    </row>
    <row r="49" spans="1:9" x14ac:dyDescent="0.25">
      <c r="A49" t="s">
        <v>111</v>
      </c>
      <c r="B49" t="s">
        <v>112</v>
      </c>
      <c r="C49" t="s">
        <v>23</v>
      </c>
      <c r="D49">
        <v>157.88999999999999</v>
      </c>
      <c r="E49">
        <v>43.6</v>
      </c>
      <c r="F49">
        <v>31.58</v>
      </c>
      <c r="G49" s="4">
        <v>16</v>
      </c>
      <c r="H49">
        <v>1.1000000000000001</v>
      </c>
      <c r="I49">
        <v>191</v>
      </c>
    </row>
    <row r="50" spans="1:9" x14ac:dyDescent="0.25">
      <c r="A50" t="s">
        <v>113</v>
      </c>
      <c r="B50" t="s">
        <v>114</v>
      </c>
      <c r="C50" t="s">
        <v>29</v>
      </c>
      <c r="D50">
        <v>202.68</v>
      </c>
      <c r="E50">
        <v>26.72</v>
      </c>
      <c r="F50">
        <v>40.54</v>
      </c>
      <c r="G50" s="4">
        <v>14</v>
      </c>
      <c r="H50">
        <v>2.5</v>
      </c>
      <c r="I50">
        <v>66</v>
      </c>
    </row>
    <row r="51" spans="1:9" x14ac:dyDescent="0.25">
      <c r="A51" t="s">
        <v>115</v>
      </c>
      <c r="B51" t="s">
        <v>116</v>
      </c>
      <c r="C51" t="s">
        <v>11</v>
      </c>
      <c r="D51">
        <v>443.41</v>
      </c>
      <c r="E51">
        <v>99.89</v>
      </c>
      <c r="F51">
        <v>133.02000000000001</v>
      </c>
      <c r="G51" s="4">
        <v>8</v>
      </c>
      <c r="H51">
        <v>1.3</v>
      </c>
      <c r="I51">
        <v>119</v>
      </c>
    </row>
    <row r="52" spans="1:9" x14ac:dyDescent="0.25">
      <c r="A52" t="s">
        <v>117</v>
      </c>
      <c r="B52" t="s">
        <v>118</v>
      </c>
      <c r="C52" t="s">
        <v>14</v>
      </c>
      <c r="D52">
        <v>408.41</v>
      </c>
      <c r="E52">
        <v>42.25</v>
      </c>
      <c r="F52">
        <v>106.19</v>
      </c>
      <c r="G52" s="4">
        <v>18</v>
      </c>
      <c r="H52">
        <v>3.5</v>
      </c>
      <c r="I52">
        <v>223</v>
      </c>
    </row>
    <row r="53" spans="1:9" x14ac:dyDescent="0.25">
      <c r="A53" t="s">
        <v>119</v>
      </c>
      <c r="B53" t="s">
        <v>120</v>
      </c>
      <c r="C53" t="s">
        <v>17</v>
      </c>
      <c r="D53">
        <v>187.43</v>
      </c>
      <c r="E53">
        <v>75.98</v>
      </c>
      <c r="F53">
        <v>43.11</v>
      </c>
      <c r="G53" s="4">
        <v>20</v>
      </c>
      <c r="H53">
        <v>3.1</v>
      </c>
      <c r="I53">
        <v>72</v>
      </c>
    </row>
    <row r="54" spans="1:9" x14ac:dyDescent="0.25">
      <c r="A54" t="s">
        <v>121</v>
      </c>
      <c r="B54" t="s">
        <v>122</v>
      </c>
      <c r="C54" t="s">
        <v>17</v>
      </c>
      <c r="D54">
        <v>33.43</v>
      </c>
      <c r="E54">
        <v>90.38</v>
      </c>
      <c r="F54">
        <v>7.02</v>
      </c>
      <c r="G54" s="4">
        <v>7</v>
      </c>
      <c r="H54">
        <v>1.8</v>
      </c>
      <c r="I54">
        <v>54</v>
      </c>
    </row>
    <row r="55" spans="1:9" x14ac:dyDescent="0.25">
      <c r="A55" t="s">
        <v>123</v>
      </c>
      <c r="B55" t="s">
        <v>124</v>
      </c>
      <c r="C55" t="s">
        <v>11</v>
      </c>
      <c r="D55">
        <v>362.32</v>
      </c>
      <c r="E55">
        <v>32.96</v>
      </c>
      <c r="F55">
        <v>101.45</v>
      </c>
      <c r="G55" s="4">
        <v>7</v>
      </c>
      <c r="H55">
        <v>1.8</v>
      </c>
      <c r="I55">
        <v>81</v>
      </c>
    </row>
    <row r="56" spans="1:9" x14ac:dyDescent="0.25">
      <c r="A56" t="s">
        <v>125</v>
      </c>
      <c r="B56" t="s">
        <v>126</v>
      </c>
      <c r="C56" t="s">
        <v>29</v>
      </c>
      <c r="D56">
        <v>13.1</v>
      </c>
      <c r="E56">
        <v>119.46</v>
      </c>
      <c r="F56">
        <v>2.75</v>
      </c>
      <c r="G56" s="4">
        <v>29</v>
      </c>
      <c r="H56">
        <v>9.6999999999999993</v>
      </c>
      <c r="I56">
        <v>7</v>
      </c>
    </row>
    <row r="57" spans="1:9" x14ac:dyDescent="0.25">
      <c r="A57" t="s">
        <v>127</v>
      </c>
      <c r="B57" t="s">
        <v>128</v>
      </c>
      <c r="C57" t="s">
        <v>20</v>
      </c>
      <c r="D57">
        <v>422.65</v>
      </c>
      <c r="E57">
        <v>117.08</v>
      </c>
      <c r="F57">
        <v>80.3</v>
      </c>
      <c r="G57" s="4">
        <v>10</v>
      </c>
      <c r="H57">
        <v>1.6</v>
      </c>
      <c r="I57">
        <v>129</v>
      </c>
    </row>
    <row r="58" spans="1:9" x14ac:dyDescent="0.25">
      <c r="A58" t="s">
        <v>129</v>
      </c>
      <c r="B58" t="s">
        <v>130</v>
      </c>
      <c r="C58" t="s">
        <v>17</v>
      </c>
      <c r="D58">
        <v>242.74</v>
      </c>
      <c r="E58">
        <v>44.56</v>
      </c>
      <c r="F58">
        <v>53.4</v>
      </c>
      <c r="G58" s="4">
        <v>10</v>
      </c>
      <c r="H58">
        <v>1.8</v>
      </c>
      <c r="I58">
        <v>255</v>
      </c>
    </row>
    <row r="59" spans="1:9" x14ac:dyDescent="0.25">
      <c r="A59" t="s">
        <v>131</v>
      </c>
      <c r="B59" t="s">
        <v>132</v>
      </c>
      <c r="C59" t="s">
        <v>14</v>
      </c>
      <c r="D59">
        <v>447.57</v>
      </c>
      <c r="E59">
        <v>28.51</v>
      </c>
      <c r="F59">
        <v>67.14</v>
      </c>
      <c r="G59" s="4">
        <v>11</v>
      </c>
      <c r="H59">
        <v>2.5</v>
      </c>
      <c r="I59">
        <v>112</v>
      </c>
    </row>
    <row r="60" spans="1:9" x14ac:dyDescent="0.25">
      <c r="A60" t="s">
        <v>133</v>
      </c>
      <c r="B60" t="s">
        <v>134</v>
      </c>
      <c r="C60" t="s">
        <v>29</v>
      </c>
      <c r="D60">
        <v>54.98</v>
      </c>
      <c r="E60">
        <v>102.8</v>
      </c>
      <c r="F60">
        <v>11.55</v>
      </c>
      <c r="G60" s="4">
        <v>20</v>
      </c>
      <c r="H60">
        <v>2.6</v>
      </c>
      <c r="I60">
        <v>277</v>
      </c>
    </row>
    <row r="61" spans="1:9" x14ac:dyDescent="0.25">
      <c r="A61" t="s">
        <v>135</v>
      </c>
      <c r="B61" t="s">
        <v>136</v>
      </c>
      <c r="C61" t="s">
        <v>23</v>
      </c>
      <c r="D61">
        <v>436.88</v>
      </c>
      <c r="E61">
        <v>54.24</v>
      </c>
      <c r="F61">
        <v>78.64</v>
      </c>
      <c r="G61" s="4">
        <v>12</v>
      </c>
      <c r="H61">
        <v>2</v>
      </c>
      <c r="I61">
        <v>263</v>
      </c>
    </row>
    <row r="62" spans="1:9" x14ac:dyDescent="0.25">
      <c r="A62" t="s">
        <v>137</v>
      </c>
      <c r="B62" t="s">
        <v>138</v>
      </c>
      <c r="C62" t="s">
        <v>26</v>
      </c>
      <c r="D62">
        <v>186.88</v>
      </c>
      <c r="E62">
        <v>58.02</v>
      </c>
      <c r="F62">
        <v>29.9</v>
      </c>
      <c r="G62" s="4">
        <v>9</v>
      </c>
      <c r="H62">
        <v>1</v>
      </c>
      <c r="I62">
        <v>210</v>
      </c>
    </row>
    <row r="63" spans="1:9" x14ac:dyDescent="0.25">
      <c r="A63" t="s">
        <v>139</v>
      </c>
      <c r="B63" t="s">
        <v>140</v>
      </c>
      <c r="C63" t="s">
        <v>17</v>
      </c>
      <c r="D63">
        <v>198.39</v>
      </c>
      <c r="E63">
        <v>30.26</v>
      </c>
      <c r="F63">
        <v>49.6</v>
      </c>
      <c r="G63" s="4">
        <v>33</v>
      </c>
      <c r="H63">
        <v>11.2</v>
      </c>
      <c r="I63">
        <v>23</v>
      </c>
    </row>
    <row r="64" spans="1:9" x14ac:dyDescent="0.25">
      <c r="A64" t="s">
        <v>141</v>
      </c>
      <c r="B64" t="s">
        <v>142</v>
      </c>
      <c r="C64" t="s">
        <v>20</v>
      </c>
      <c r="D64">
        <v>314.17</v>
      </c>
      <c r="E64">
        <v>29.3</v>
      </c>
      <c r="F64">
        <v>56.55</v>
      </c>
      <c r="G64" s="4">
        <v>13</v>
      </c>
      <c r="H64">
        <v>2.2999999999999998</v>
      </c>
      <c r="I64">
        <v>117</v>
      </c>
    </row>
    <row r="65" spans="1:9" x14ac:dyDescent="0.25">
      <c r="A65" t="s">
        <v>143</v>
      </c>
      <c r="B65" t="s">
        <v>144</v>
      </c>
      <c r="C65" t="s">
        <v>34</v>
      </c>
      <c r="D65">
        <v>433.11</v>
      </c>
      <c r="E65">
        <v>117.4</v>
      </c>
      <c r="F65">
        <v>99.62</v>
      </c>
      <c r="G65" s="4">
        <v>12</v>
      </c>
      <c r="H65">
        <v>1.1000000000000001</v>
      </c>
      <c r="I65">
        <v>275</v>
      </c>
    </row>
    <row r="66" spans="1:9" x14ac:dyDescent="0.25">
      <c r="A66" t="s">
        <v>145</v>
      </c>
      <c r="B66" t="s">
        <v>146</v>
      </c>
      <c r="C66" t="s">
        <v>17</v>
      </c>
      <c r="D66">
        <v>104.3</v>
      </c>
      <c r="E66">
        <v>42.38</v>
      </c>
      <c r="F66">
        <v>20.86</v>
      </c>
      <c r="G66" s="4">
        <v>7</v>
      </c>
      <c r="H66">
        <v>2.4</v>
      </c>
      <c r="I66">
        <v>178</v>
      </c>
    </row>
    <row r="67" spans="1:9" x14ac:dyDescent="0.25">
      <c r="A67" t="s">
        <v>147</v>
      </c>
      <c r="B67" t="s">
        <v>148</v>
      </c>
      <c r="C67" t="s">
        <v>20</v>
      </c>
      <c r="D67">
        <v>117.7</v>
      </c>
      <c r="E67">
        <v>98.74</v>
      </c>
      <c r="F67">
        <v>18.829999999999998</v>
      </c>
      <c r="G67" s="4">
        <v>7</v>
      </c>
      <c r="H67">
        <v>1.4</v>
      </c>
      <c r="I67">
        <v>200</v>
      </c>
    </row>
    <row r="68" spans="1:9" x14ac:dyDescent="0.25">
      <c r="A68" t="s">
        <v>149</v>
      </c>
      <c r="B68" t="s">
        <v>150</v>
      </c>
      <c r="C68" t="s">
        <v>14</v>
      </c>
      <c r="D68">
        <v>182.14</v>
      </c>
      <c r="E68">
        <v>53.47</v>
      </c>
      <c r="F68">
        <v>43.71</v>
      </c>
      <c r="G68" s="4">
        <v>7</v>
      </c>
      <c r="H68">
        <v>2.8</v>
      </c>
      <c r="I68">
        <v>185</v>
      </c>
    </row>
    <row r="69" spans="1:9" x14ac:dyDescent="0.25">
      <c r="A69" t="s">
        <v>151</v>
      </c>
      <c r="B69" t="s">
        <v>152</v>
      </c>
      <c r="C69" t="s">
        <v>26</v>
      </c>
      <c r="D69">
        <v>298.63</v>
      </c>
      <c r="E69">
        <v>93.02</v>
      </c>
      <c r="F69">
        <v>83.62</v>
      </c>
      <c r="G69" s="4">
        <v>17</v>
      </c>
      <c r="H69">
        <v>3.3</v>
      </c>
      <c r="I69">
        <v>234</v>
      </c>
    </row>
    <row r="70" spans="1:9" x14ac:dyDescent="0.25">
      <c r="A70" t="s">
        <v>153</v>
      </c>
      <c r="B70" t="s">
        <v>154</v>
      </c>
      <c r="C70" t="s">
        <v>29</v>
      </c>
      <c r="D70">
        <v>74.06</v>
      </c>
      <c r="E70">
        <v>93.79</v>
      </c>
      <c r="F70">
        <v>18.52</v>
      </c>
      <c r="G70" s="4">
        <v>6</v>
      </c>
      <c r="H70">
        <v>3.5</v>
      </c>
      <c r="I70">
        <v>233</v>
      </c>
    </row>
    <row r="71" spans="1:9" x14ac:dyDescent="0.25">
      <c r="A71" t="s">
        <v>155</v>
      </c>
      <c r="B71" t="s">
        <v>156</v>
      </c>
      <c r="C71" t="s">
        <v>23</v>
      </c>
      <c r="D71">
        <v>332.36</v>
      </c>
      <c r="E71">
        <v>102.16</v>
      </c>
      <c r="F71">
        <v>56.5</v>
      </c>
      <c r="G71" s="4">
        <v>5</v>
      </c>
      <c r="H71">
        <v>3.5</v>
      </c>
      <c r="I71">
        <v>199</v>
      </c>
    </row>
    <row r="72" spans="1:9" x14ac:dyDescent="0.25">
      <c r="A72" t="s">
        <v>157</v>
      </c>
      <c r="B72" t="s">
        <v>158</v>
      </c>
      <c r="C72" t="s">
        <v>20</v>
      </c>
      <c r="D72">
        <v>45.61</v>
      </c>
      <c r="E72">
        <v>28.98</v>
      </c>
      <c r="F72">
        <v>11.4</v>
      </c>
      <c r="G72" s="4">
        <v>8</v>
      </c>
      <c r="H72">
        <v>2.1</v>
      </c>
      <c r="I72">
        <v>165</v>
      </c>
    </row>
    <row r="73" spans="1:9" x14ac:dyDescent="0.25">
      <c r="A73" t="s">
        <v>159</v>
      </c>
      <c r="B73" t="s">
        <v>160</v>
      </c>
      <c r="C73" t="s">
        <v>14</v>
      </c>
      <c r="D73">
        <v>285.47000000000003</v>
      </c>
      <c r="E73">
        <v>84.49</v>
      </c>
      <c r="F73">
        <v>71.37</v>
      </c>
      <c r="G73" s="4">
        <v>20</v>
      </c>
      <c r="H73">
        <v>1.8</v>
      </c>
      <c r="I73">
        <v>166</v>
      </c>
    </row>
    <row r="74" spans="1:9" x14ac:dyDescent="0.25">
      <c r="A74" t="s">
        <v>161</v>
      </c>
      <c r="B74" t="s">
        <v>162</v>
      </c>
      <c r="C74" t="s">
        <v>11</v>
      </c>
      <c r="D74">
        <v>338.73</v>
      </c>
      <c r="E74">
        <v>72.78</v>
      </c>
      <c r="F74">
        <v>77.91</v>
      </c>
      <c r="G74" s="4">
        <v>7</v>
      </c>
      <c r="H74">
        <v>3.2</v>
      </c>
      <c r="I74">
        <v>171</v>
      </c>
    </row>
    <row r="75" spans="1:9" x14ac:dyDescent="0.25">
      <c r="A75" t="s">
        <v>163</v>
      </c>
      <c r="B75" t="s">
        <v>164</v>
      </c>
      <c r="C75" t="s">
        <v>17</v>
      </c>
      <c r="D75">
        <v>365.67</v>
      </c>
      <c r="E75">
        <v>105.38</v>
      </c>
      <c r="F75">
        <v>69.48</v>
      </c>
      <c r="G75" s="4">
        <v>11</v>
      </c>
      <c r="H75">
        <v>1.7</v>
      </c>
      <c r="I75">
        <v>216</v>
      </c>
    </row>
    <row r="76" spans="1:9" x14ac:dyDescent="0.25">
      <c r="A76" t="s">
        <v>165</v>
      </c>
      <c r="B76" t="s">
        <v>166</v>
      </c>
      <c r="C76" t="s">
        <v>29</v>
      </c>
      <c r="D76">
        <v>226.33</v>
      </c>
      <c r="E76">
        <v>61.34</v>
      </c>
      <c r="F76">
        <v>49.79</v>
      </c>
      <c r="G76" s="4">
        <v>14</v>
      </c>
      <c r="H76">
        <v>3.3</v>
      </c>
      <c r="I76">
        <v>207</v>
      </c>
    </row>
    <row r="77" spans="1:9" x14ac:dyDescent="0.25">
      <c r="A77" t="s">
        <v>167</v>
      </c>
      <c r="B77" t="s">
        <v>168</v>
      </c>
      <c r="C77" t="s">
        <v>20</v>
      </c>
      <c r="D77">
        <v>42.24</v>
      </c>
      <c r="E77">
        <v>39.01</v>
      </c>
      <c r="F77">
        <v>8.0299999999999994</v>
      </c>
      <c r="G77" s="4">
        <v>14</v>
      </c>
      <c r="H77">
        <v>2.9</v>
      </c>
      <c r="I77">
        <v>84</v>
      </c>
    </row>
    <row r="78" spans="1:9" x14ac:dyDescent="0.25">
      <c r="A78" t="s">
        <v>169</v>
      </c>
      <c r="B78" t="s">
        <v>170</v>
      </c>
      <c r="C78" t="s">
        <v>14</v>
      </c>
      <c r="D78">
        <v>221.23</v>
      </c>
      <c r="E78">
        <v>71.150000000000006</v>
      </c>
      <c r="F78">
        <v>66.37</v>
      </c>
      <c r="G78" s="4">
        <v>8</v>
      </c>
      <c r="H78">
        <v>3.1</v>
      </c>
      <c r="I78">
        <v>222</v>
      </c>
    </row>
    <row r="79" spans="1:9" x14ac:dyDescent="0.25">
      <c r="A79" t="s">
        <v>171</v>
      </c>
      <c r="B79" t="s">
        <v>172</v>
      </c>
      <c r="C79" t="s">
        <v>29</v>
      </c>
      <c r="D79">
        <v>136.56</v>
      </c>
      <c r="E79">
        <v>74.069999999999993</v>
      </c>
      <c r="F79">
        <v>30.04</v>
      </c>
      <c r="G79" s="4">
        <v>19</v>
      </c>
      <c r="H79">
        <v>3.3</v>
      </c>
      <c r="I79">
        <v>278</v>
      </c>
    </row>
    <row r="80" spans="1:9" x14ac:dyDescent="0.25">
      <c r="A80" t="s">
        <v>173</v>
      </c>
      <c r="B80" t="s">
        <v>174</v>
      </c>
      <c r="C80" t="s">
        <v>20</v>
      </c>
      <c r="D80">
        <v>145.76</v>
      </c>
      <c r="E80">
        <v>33.159999999999997</v>
      </c>
      <c r="F80">
        <v>32.07</v>
      </c>
      <c r="G80" s="4">
        <v>14</v>
      </c>
      <c r="H80">
        <v>2.4</v>
      </c>
      <c r="I80">
        <v>259</v>
      </c>
    </row>
    <row r="81" spans="1:9" x14ac:dyDescent="0.25">
      <c r="A81" t="s">
        <v>175</v>
      </c>
      <c r="B81" t="s">
        <v>176</v>
      </c>
      <c r="C81" t="s">
        <v>29</v>
      </c>
      <c r="D81">
        <v>447.33</v>
      </c>
      <c r="E81">
        <v>61.75</v>
      </c>
      <c r="F81">
        <v>129.72999999999999</v>
      </c>
      <c r="G81" s="4">
        <v>11</v>
      </c>
      <c r="H81">
        <v>1.2</v>
      </c>
      <c r="I81">
        <v>73</v>
      </c>
    </row>
    <row r="82" spans="1:9" x14ac:dyDescent="0.25">
      <c r="A82" t="s">
        <v>177</v>
      </c>
      <c r="B82" t="s">
        <v>178</v>
      </c>
      <c r="C82" t="s">
        <v>26</v>
      </c>
      <c r="D82">
        <v>338.39</v>
      </c>
      <c r="E82">
        <v>49.87</v>
      </c>
      <c r="F82">
        <v>67.680000000000007</v>
      </c>
      <c r="G82" s="4">
        <v>13</v>
      </c>
      <c r="H82">
        <v>3.7</v>
      </c>
      <c r="I82">
        <v>230</v>
      </c>
    </row>
    <row r="83" spans="1:9" x14ac:dyDescent="0.25">
      <c r="A83" t="s">
        <v>179</v>
      </c>
      <c r="B83" t="s">
        <v>180</v>
      </c>
      <c r="C83" t="s">
        <v>34</v>
      </c>
      <c r="D83">
        <v>110.27</v>
      </c>
      <c r="E83">
        <v>110.28</v>
      </c>
      <c r="F83">
        <v>24.26</v>
      </c>
      <c r="G83" s="4">
        <v>5</v>
      </c>
      <c r="H83">
        <v>1.5</v>
      </c>
      <c r="I83">
        <v>293</v>
      </c>
    </row>
    <row r="84" spans="1:9" x14ac:dyDescent="0.25">
      <c r="A84" t="s">
        <v>181</v>
      </c>
      <c r="B84" t="s">
        <v>182</v>
      </c>
      <c r="C84" t="s">
        <v>29</v>
      </c>
      <c r="D84">
        <v>309.26</v>
      </c>
      <c r="E84">
        <v>63.51</v>
      </c>
      <c r="F84">
        <v>80.41</v>
      </c>
      <c r="G84" s="4">
        <v>34</v>
      </c>
      <c r="H84">
        <v>8.1</v>
      </c>
      <c r="I84">
        <v>25</v>
      </c>
    </row>
    <row r="85" spans="1:9" x14ac:dyDescent="0.25">
      <c r="A85" t="s">
        <v>183</v>
      </c>
      <c r="B85" t="s">
        <v>184</v>
      </c>
      <c r="C85" t="s">
        <v>11</v>
      </c>
      <c r="D85">
        <v>379.38</v>
      </c>
      <c r="E85">
        <v>25.17</v>
      </c>
      <c r="F85">
        <v>98.64</v>
      </c>
      <c r="G85" s="4">
        <v>17</v>
      </c>
      <c r="H85">
        <v>1.4</v>
      </c>
      <c r="I85">
        <v>287</v>
      </c>
    </row>
    <row r="86" spans="1:9" x14ac:dyDescent="0.25">
      <c r="A86" t="s">
        <v>185</v>
      </c>
      <c r="B86" t="s">
        <v>186</v>
      </c>
      <c r="C86" t="s">
        <v>20</v>
      </c>
      <c r="D86">
        <v>323.16000000000003</v>
      </c>
      <c r="E86">
        <v>110.65</v>
      </c>
      <c r="F86">
        <v>61.4</v>
      </c>
      <c r="G86" s="4">
        <v>16</v>
      </c>
      <c r="H86">
        <v>1.2</v>
      </c>
      <c r="I86">
        <v>149</v>
      </c>
    </row>
    <row r="87" spans="1:9" x14ac:dyDescent="0.25">
      <c r="A87" t="s">
        <v>187</v>
      </c>
      <c r="B87" t="s">
        <v>188</v>
      </c>
      <c r="C87" t="s">
        <v>11</v>
      </c>
      <c r="D87">
        <v>167.43</v>
      </c>
      <c r="E87">
        <v>65.67</v>
      </c>
      <c r="F87">
        <v>31.81</v>
      </c>
      <c r="G87" s="4">
        <v>6</v>
      </c>
      <c r="H87">
        <v>1.8</v>
      </c>
      <c r="I87">
        <v>63</v>
      </c>
    </row>
    <row r="88" spans="1:9" x14ac:dyDescent="0.25">
      <c r="A88" t="s">
        <v>189</v>
      </c>
      <c r="B88" t="s">
        <v>190</v>
      </c>
      <c r="C88" t="s">
        <v>17</v>
      </c>
      <c r="D88">
        <v>288.64999999999998</v>
      </c>
      <c r="E88">
        <v>39.15</v>
      </c>
      <c r="F88">
        <v>86.59</v>
      </c>
      <c r="G88" s="4">
        <v>18</v>
      </c>
      <c r="H88">
        <v>2.5</v>
      </c>
      <c r="I88">
        <v>98</v>
      </c>
    </row>
    <row r="89" spans="1:9" x14ac:dyDescent="0.25">
      <c r="A89" t="s">
        <v>191</v>
      </c>
      <c r="B89" t="s">
        <v>192</v>
      </c>
      <c r="C89" t="s">
        <v>34</v>
      </c>
      <c r="D89">
        <v>355.03</v>
      </c>
      <c r="E89">
        <v>65.64</v>
      </c>
      <c r="F89">
        <v>53.25</v>
      </c>
      <c r="G89" s="4">
        <v>17</v>
      </c>
      <c r="H89">
        <v>3.7</v>
      </c>
      <c r="I89">
        <v>290</v>
      </c>
    </row>
    <row r="90" spans="1:9" x14ac:dyDescent="0.25">
      <c r="A90" t="s">
        <v>193</v>
      </c>
      <c r="B90" t="s">
        <v>194</v>
      </c>
      <c r="C90" t="s">
        <v>20</v>
      </c>
      <c r="D90">
        <v>326.05</v>
      </c>
      <c r="E90">
        <v>29.7</v>
      </c>
      <c r="F90">
        <v>84.77</v>
      </c>
      <c r="G90" s="4">
        <v>19</v>
      </c>
      <c r="H90">
        <v>2.8</v>
      </c>
      <c r="I90">
        <v>85</v>
      </c>
    </row>
    <row r="91" spans="1:9" x14ac:dyDescent="0.25">
      <c r="A91" t="s">
        <v>195</v>
      </c>
      <c r="B91" t="s">
        <v>196</v>
      </c>
      <c r="C91" t="s">
        <v>17</v>
      </c>
      <c r="D91">
        <v>222.62</v>
      </c>
      <c r="E91">
        <v>111.63</v>
      </c>
      <c r="F91">
        <v>51.2</v>
      </c>
      <c r="G91" s="4">
        <v>10</v>
      </c>
      <c r="H91">
        <v>2.4</v>
      </c>
      <c r="I91">
        <v>137</v>
      </c>
    </row>
    <row r="92" spans="1:9" x14ac:dyDescent="0.25">
      <c r="A92" t="s">
        <v>197</v>
      </c>
      <c r="B92" t="s">
        <v>198</v>
      </c>
      <c r="C92" t="s">
        <v>17</v>
      </c>
      <c r="D92">
        <v>139.62</v>
      </c>
      <c r="E92">
        <v>95.21</v>
      </c>
      <c r="F92">
        <v>41.89</v>
      </c>
      <c r="G92" s="4">
        <v>13</v>
      </c>
      <c r="H92">
        <v>2.2000000000000002</v>
      </c>
      <c r="I92">
        <v>111</v>
      </c>
    </row>
    <row r="93" spans="1:9" x14ac:dyDescent="0.25">
      <c r="A93" t="s">
        <v>199</v>
      </c>
      <c r="B93" t="s">
        <v>200</v>
      </c>
      <c r="C93" t="s">
        <v>17</v>
      </c>
      <c r="D93">
        <v>221.57</v>
      </c>
      <c r="E93">
        <v>88.54</v>
      </c>
      <c r="F93">
        <v>37.67</v>
      </c>
      <c r="G93" s="4">
        <v>10</v>
      </c>
      <c r="H93">
        <v>1.2</v>
      </c>
      <c r="I93">
        <v>178</v>
      </c>
    </row>
    <row r="94" spans="1:9" x14ac:dyDescent="0.25">
      <c r="A94" t="s">
        <v>201</v>
      </c>
      <c r="B94" t="s">
        <v>202</v>
      </c>
      <c r="C94" t="s">
        <v>29</v>
      </c>
      <c r="D94">
        <v>251.27</v>
      </c>
      <c r="E94">
        <v>68.03</v>
      </c>
      <c r="F94">
        <v>50.25</v>
      </c>
      <c r="G94" s="4">
        <v>19</v>
      </c>
      <c r="H94">
        <v>2.2999999999999998</v>
      </c>
      <c r="I94">
        <v>190</v>
      </c>
    </row>
    <row r="95" spans="1:9" x14ac:dyDescent="0.25">
      <c r="A95" t="s">
        <v>203</v>
      </c>
      <c r="B95" t="s">
        <v>204</v>
      </c>
      <c r="C95" t="s">
        <v>20</v>
      </c>
      <c r="D95">
        <v>115.89</v>
      </c>
      <c r="E95">
        <v>41.6</v>
      </c>
      <c r="F95">
        <v>26.65</v>
      </c>
      <c r="G95" s="4">
        <v>31</v>
      </c>
      <c r="H95">
        <v>7.4</v>
      </c>
      <c r="I95">
        <v>21</v>
      </c>
    </row>
    <row r="96" spans="1:9" x14ac:dyDescent="0.25">
      <c r="A96" t="s">
        <v>205</v>
      </c>
      <c r="B96" t="s">
        <v>206</v>
      </c>
      <c r="C96" t="s">
        <v>20</v>
      </c>
      <c r="D96">
        <v>400.17</v>
      </c>
      <c r="E96">
        <v>96.22</v>
      </c>
      <c r="F96">
        <v>84.04</v>
      </c>
      <c r="G96" s="4">
        <v>18</v>
      </c>
      <c r="H96">
        <v>3.2</v>
      </c>
      <c r="I96">
        <v>103</v>
      </c>
    </row>
    <row r="97" spans="1:9" x14ac:dyDescent="0.25">
      <c r="A97" t="s">
        <v>207</v>
      </c>
      <c r="B97" t="s">
        <v>208</v>
      </c>
      <c r="C97" t="s">
        <v>23</v>
      </c>
      <c r="D97">
        <v>127.45</v>
      </c>
      <c r="E97">
        <v>96.45</v>
      </c>
      <c r="F97">
        <v>28.04</v>
      </c>
      <c r="G97" s="4">
        <v>16</v>
      </c>
      <c r="H97">
        <v>1.4</v>
      </c>
      <c r="I97">
        <v>178</v>
      </c>
    </row>
    <row r="98" spans="1:9" x14ac:dyDescent="0.25">
      <c r="A98" t="s">
        <v>209</v>
      </c>
      <c r="B98" t="s">
        <v>210</v>
      </c>
      <c r="C98" t="s">
        <v>20</v>
      </c>
      <c r="D98">
        <v>48.93</v>
      </c>
      <c r="E98">
        <v>110.2</v>
      </c>
      <c r="F98">
        <v>10.28</v>
      </c>
      <c r="G98" s="4">
        <v>19</v>
      </c>
      <c r="H98">
        <v>2.2999999999999998</v>
      </c>
      <c r="I98">
        <v>129</v>
      </c>
    </row>
    <row r="99" spans="1:9" x14ac:dyDescent="0.25">
      <c r="A99" t="s">
        <v>211</v>
      </c>
      <c r="B99" t="s">
        <v>212</v>
      </c>
      <c r="C99" t="s">
        <v>14</v>
      </c>
      <c r="D99">
        <v>64.239999999999995</v>
      </c>
      <c r="E99">
        <v>65.39</v>
      </c>
      <c r="F99">
        <v>16.7</v>
      </c>
      <c r="G99" s="4">
        <v>20</v>
      </c>
      <c r="H99">
        <v>3.9</v>
      </c>
      <c r="I99">
        <v>175</v>
      </c>
    </row>
    <row r="100" spans="1:9" x14ac:dyDescent="0.25">
      <c r="A100" t="s">
        <v>213</v>
      </c>
      <c r="B100" t="s">
        <v>214</v>
      </c>
      <c r="C100" t="s">
        <v>14</v>
      </c>
      <c r="D100">
        <v>40.33</v>
      </c>
      <c r="E100">
        <v>113.37</v>
      </c>
      <c r="F100">
        <v>11.7</v>
      </c>
      <c r="G100" s="4">
        <v>19</v>
      </c>
      <c r="H100">
        <v>3.9</v>
      </c>
      <c r="I100">
        <v>113</v>
      </c>
    </row>
    <row r="101" spans="1:9" x14ac:dyDescent="0.25">
      <c r="A101" t="s">
        <v>215</v>
      </c>
      <c r="B101" t="s">
        <v>216</v>
      </c>
      <c r="C101" t="s">
        <v>11</v>
      </c>
      <c r="D101">
        <v>106.92</v>
      </c>
      <c r="E101">
        <v>39.450000000000003</v>
      </c>
      <c r="F101">
        <v>32.08</v>
      </c>
      <c r="G101" s="4">
        <v>8</v>
      </c>
      <c r="H101">
        <v>3.8</v>
      </c>
      <c r="I101">
        <v>234</v>
      </c>
    </row>
    <row r="102" spans="1:9" x14ac:dyDescent="0.25">
      <c r="A102" t="s">
        <v>217</v>
      </c>
      <c r="B102" t="s">
        <v>218</v>
      </c>
      <c r="C102" t="s">
        <v>29</v>
      </c>
      <c r="D102">
        <v>45.57</v>
      </c>
      <c r="E102">
        <v>98.8</v>
      </c>
      <c r="F102">
        <v>6.84</v>
      </c>
      <c r="G102" s="4">
        <v>9</v>
      </c>
      <c r="H102">
        <v>1.7</v>
      </c>
      <c r="I102">
        <v>285</v>
      </c>
    </row>
    <row r="103" spans="1:9" x14ac:dyDescent="0.25">
      <c r="A103" t="s">
        <v>219</v>
      </c>
      <c r="B103" t="s">
        <v>220</v>
      </c>
      <c r="C103" t="s">
        <v>14</v>
      </c>
      <c r="D103">
        <v>293.31</v>
      </c>
      <c r="E103">
        <v>53.86</v>
      </c>
      <c r="F103">
        <v>49.86</v>
      </c>
      <c r="G103" s="4">
        <v>29</v>
      </c>
      <c r="H103">
        <v>9.1999999999999993</v>
      </c>
      <c r="I103">
        <v>32</v>
      </c>
    </row>
    <row r="104" spans="1:9" x14ac:dyDescent="0.25">
      <c r="A104" t="s">
        <v>221</v>
      </c>
      <c r="B104" t="s">
        <v>222</v>
      </c>
      <c r="C104" t="s">
        <v>11</v>
      </c>
      <c r="D104">
        <v>51.95</v>
      </c>
      <c r="E104">
        <v>53.53</v>
      </c>
      <c r="F104">
        <v>15.07</v>
      </c>
      <c r="G104" s="4">
        <v>11</v>
      </c>
      <c r="H104">
        <v>2.2000000000000002</v>
      </c>
      <c r="I104">
        <v>107</v>
      </c>
    </row>
    <row r="105" spans="1:9" x14ac:dyDescent="0.25">
      <c r="A105" t="s">
        <v>223</v>
      </c>
      <c r="B105" t="s">
        <v>224</v>
      </c>
      <c r="C105" t="s">
        <v>14</v>
      </c>
      <c r="D105">
        <v>12.62</v>
      </c>
      <c r="E105">
        <v>53.64</v>
      </c>
      <c r="F105">
        <v>2.78</v>
      </c>
      <c r="G105" s="4">
        <v>15</v>
      </c>
      <c r="H105">
        <v>2.9</v>
      </c>
      <c r="I105">
        <v>276</v>
      </c>
    </row>
    <row r="106" spans="1:9" x14ac:dyDescent="0.25">
      <c r="A106" t="s">
        <v>225</v>
      </c>
      <c r="B106" t="s">
        <v>226</v>
      </c>
      <c r="C106" t="s">
        <v>20</v>
      </c>
      <c r="D106">
        <v>218.08</v>
      </c>
      <c r="E106">
        <v>47.3</v>
      </c>
      <c r="F106">
        <v>41.44</v>
      </c>
      <c r="G106" s="4">
        <v>18</v>
      </c>
      <c r="H106">
        <v>3.1</v>
      </c>
      <c r="I106">
        <v>128</v>
      </c>
    </row>
    <row r="107" spans="1:9" x14ac:dyDescent="0.25">
      <c r="A107" t="s">
        <v>227</v>
      </c>
      <c r="B107" t="s">
        <v>228</v>
      </c>
      <c r="C107" t="s">
        <v>14</v>
      </c>
      <c r="D107">
        <v>17.63</v>
      </c>
      <c r="E107">
        <v>72.34</v>
      </c>
      <c r="F107">
        <v>4.41</v>
      </c>
      <c r="G107" s="4">
        <v>18</v>
      </c>
      <c r="H107">
        <v>1.2</v>
      </c>
      <c r="I107">
        <v>108</v>
      </c>
    </row>
    <row r="108" spans="1:9" x14ac:dyDescent="0.25">
      <c r="A108" t="s">
        <v>229</v>
      </c>
      <c r="B108" t="s">
        <v>230</v>
      </c>
      <c r="C108" t="s">
        <v>23</v>
      </c>
      <c r="D108">
        <v>416.92</v>
      </c>
      <c r="E108">
        <v>46.54</v>
      </c>
      <c r="F108">
        <v>66.709999999999994</v>
      </c>
      <c r="G108" s="4">
        <v>15</v>
      </c>
      <c r="H108">
        <v>3.2</v>
      </c>
      <c r="I108">
        <v>142</v>
      </c>
    </row>
    <row r="109" spans="1:9" x14ac:dyDescent="0.25">
      <c r="A109" t="s">
        <v>231</v>
      </c>
      <c r="B109" t="s">
        <v>232</v>
      </c>
      <c r="C109" t="s">
        <v>23</v>
      </c>
      <c r="D109">
        <v>95.55</v>
      </c>
      <c r="E109">
        <v>100.72</v>
      </c>
      <c r="F109">
        <v>24.84</v>
      </c>
      <c r="G109" s="4">
        <v>37</v>
      </c>
      <c r="H109">
        <v>6.4</v>
      </c>
      <c r="I109">
        <v>36</v>
      </c>
    </row>
    <row r="110" spans="1:9" x14ac:dyDescent="0.25">
      <c r="A110" t="s">
        <v>233</v>
      </c>
      <c r="B110" t="s">
        <v>234</v>
      </c>
      <c r="C110" t="s">
        <v>20</v>
      </c>
      <c r="D110">
        <v>145.78</v>
      </c>
      <c r="E110">
        <v>102.9</v>
      </c>
      <c r="F110">
        <v>26.24</v>
      </c>
      <c r="G110" s="4">
        <v>12</v>
      </c>
      <c r="H110">
        <v>1.8</v>
      </c>
      <c r="I110">
        <v>277</v>
      </c>
    </row>
    <row r="111" spans="1:9" x14ac:dyDescent="0.25">
      <c r="A111" t="s">
        <v>235</v>
      </c>
      <c r="B111" t="s">
        <v>236</v>
      </c>
      <c r="C111" t="s">
        <v>17</v>
      </c>
      <c r="D111">
        <v>56.18</v>
      </c>
      <c r="E111">
        <v>84.24</v>
      </c>
      <c r="F111">
        <v>13.48</v>
      </c>
      <c r="G111" s="4">
        <v>12</v>
      </c>
      <c r="H111">
        <v>2.5</v>
      </c>
      <c r="I111">
        <v>283</v>
      </c>
    </row>
    <row r="112" spans="1:9" x14ac:dyDescent="0.25">
      <c r="A112" t="s">
        <v>237</v>
      </c>
      <c r="B112" t="s">
        <v>238</v>
      </c>
      <c r="C112" t="s">
        <v>14</v>
      </c>
      <c r="D112">
        <v>427.35</v>
      </c>
      <c r="E112">
        <v>38.909999999999997</v>
      </c>
      <c r="F112">
        <v>89.74</v>
      </c>
      <c r="G112" s="4">
        <v>11</v>
      </c>
      <c r="H112">
        <v>1.1000000000000001</v>
      </c>
      <c r="I112">
        <v>202</v>
      </c>
    </row>
    <row r="113" spans="1:9" x14ac:dyDescent="0.25">
      <c r="A113" t="s">
        <v>239</v>
      </c>
      <c r="B113" t="s">
        <v>240</v>
      </c>
      <c r="C113" t="s">
        <v>26</v>
      </c>
      <c r="D113">
        <v>191.6</v>
      </c>
      <c r="E113">
        <v>92.44</v>
      </c>
      <c r="F113">
        <v>34.49</v>
      </c>
      <c r="G113" s="4">
        <v>35</v>
      </c>
      <c r="H113">
        <v>11.4</v>
      </c>
      <c r="I113">
        <v>25</v>
      </c>
    </row>
    <row r="114" spans="1:9" x14ac:dyDescent="0.25">
      <c r="A114" t="s">
        <v>241</v>
      </c>
      <c r="B114" t="s">
        <v>242</v>
      </c>
      <c r="C114" t="s">
        <v>11</v>
      </c>
      <c r="D114">
        <v>448.91</v>
      </c>
      <c r="E114">
        <v>113.5</v>
      </c>
      <c r="F114">
        <v>89.78</v>
      </c>
      <c r="G114" s="4">
        <v>10</v>
      </c>
      <c r="H114">
        <v>3</v>
      </c>
      <c r="I114">
        <v>184</v>
      </c>
    </row>
    <row r="115" spans="1:9" x14ac:dyDescent="0.25">
      <c r="A115" t="s">
        <v>243</v>
      </c>
      <c r="B115" t="s">
        <v>244</v>
      </c>
      <c r="C115" t="s">
        <v>29</v>
      </c>
      <c r="D115">
        <v>22.1</v>
      </c>
      <c r="E115">
        <v>88.12</v>
      </c>
      <c r="F115">
        <v>4.6399999999999997</v>
      </c>
      <c r="G115" s="4">
        <v>16</v>
      </c>
      <c r="H115">
        <v>4</v>
      </c>
      <c r="I115">
        <v>163</v>
      </c>
    </row>
    <row r="116" spans="1:9" x14ac:dyDescent="0.25">
      <c r="A116" t="s">
        <v>245</v>
      </c>
      <c r="B116" t="s">
        <v>246</v>
      </c>
      <c r="C116" t="s">
        <v>26</v>
      </c>
      <c r="D116">
        <v>56.16</v>
      </c>
      <c r="E116">
        <v>32.43</v>
      </c>
      <c r="F116">
        <v>8.99</v>
      </c>
      <c r="G116" s="4">
        <v>18</v>
      </c>
      <c r="H116">
        <v>3.9</v>
      </c>
      <c r="I116">
        <v>81</v>
      </c>
    </row>
    <row r="117" spans="1:9" x14ac:dyDescent="0.25">
      <c r="A117" t="s">
        <v>247</v>
      </c>
      <c r="B117" t="s">
        <v>248</v>
      </c>
      <c r="C117" t="s">
        <v>20</v>
      </c>
      <c r="D117">
        <v>176.02</v>
      </c>
      <c r="E117">
        <v>98.03</v>
      </c>
      <c r="F117">
        <v>35.200000000000003</v>
      </c>
      <c r="G117" s="4">
        <v>18</v>
      </c>
      <c r="H117">
        <v>1.3</v>
      </c>
      <c r="I117">
        <v>230</v>
      </c>
    </row>
    <row r="118" spans="1:9" x14ac:dyDescent="0.25">
      <c r="A118" t="s">
        <v>249</v>
      </c>
      <c r="B118" t="s">
        <v>250</v>
      </c>
      <c r="C118" t="s">
        <v>29</v>
      </c>
      <c r="D118">
        <v>94.51</v>
      </c>
      <c r="E118">
        <v>76.45</v>
      </c>
      <c r="F118">
        <v>20.79</v>
      </c>
      <c r="G118" s="4">
        <v>15</v>
      </c>
      <c r="H118">
        <v>2.1</v>
      </c>
      <c r="I118">
        <v>279</v>
      </c>
    </row>
    <row r="119" spans="1:9" x14ac:dyDescent="0.25">
      <c r="A119" t="s">
        <v>251</v>
      </c>
      <c r="B119" t="s">
        <v>252</v>
      </c>
      <c r="C119" t="s">
        <v>29</v>
      </c>
      <c r="D119">
        <v>21.38</v>
      </c>
      <c r="E119">
        <v>64.03</v>
      </c>
      <c r="F119">
        <v>5.77</v>
      </c>
      <c r="G119" s="4">
        <v>17</v>
      </c>
      <c r="H119">
        <v>1.1000000000000001</v>
      </c>
      <c r="I119">
        <v>58</v>
      </c>
    </row>
    <row r="120" spans="1:9" x14ac:dyDescent="0.25">
      <c r="A120" t="s">
        <v>253</v>
      </c>
      <c r="B120" t="s">
        <v>254</v>
      </c>
      <c r="C120" t="s">
        <v>29</v>
      </c>
      <c r="D120">
        <v>35.659999999999997</v>
      </c>
      <c r="E120">
        <v>112.41</v>
      </c>
      <c r="F120">
        <v>6.78</v>
      </c>
      <c r="G120" s="4">
        <v>7</v>
      </c>
      <c r="H120">
        <v>3.7</v>
      </c>
      <c r="I120">
        <v>136</v>
      </c>
    </row>
    <row r="121" spans="1:9" x14ac:dyDescent="0.25">
      <c r="A121" t="s">
        <v>255</v>
      </c>
      <c r="B121" t="s">
        <v>256</v>
      </c>
      <c r="C121" t="s">
        <v>34</v>
      </c>
      <c r="D121">
        <v>128.36000000000001</v>
      </c>
      <c r="E121">
        <v>115.98</v>
      </c>
      <c r="F121">
        <v>30.81</v>
      </c>
      <c r="G121" s="4">
        <v>13</v>
      </c>
      <c r="H121">
        <v>3.2</v>
      </c>
      <c r="I121">
        <v>226</v>
      </c>
    </row>
    <row r="122" spans="1:9" x14ac:dyDescent="0.25">
      <c r="A122" t="s">
        <v>257</v>
      </c>
      <c r="B122" t="s">
        <v>258</v>
      </c>
      <c r="C122" t="s">
        <v>34</v>
      </c>
      <c r="D122">
        <v>416.51</v>
      </c>
      <c r="E122">
        <v>53.25</v>
      </c>
      <c r="F122">
        <v>108.29</v>
      </c>
      <c r="G122" s="4">
        <v>7</v>
      </c>
      <c r="H122">
        <v>1.1000000000000001</v>
      </c>
      <c r="I122">
        <v>109</v>
      </c>
    </row>
    <row r="123" spans="1:9" x14ac:dyDescent="0.25">
      <c r="A123" t="s">
        <v>259</v>
      </c>
      <c r="B123" t="s">
        <v>260</v>
      </c>
      <c r="C123" t="s">
        <v>11</v>
      </c>
      <c r="D123">
        <v>218.03</v>
      </c>
      <c r="E123">
        <v>115.89</v>
      </c>
      <c r="F123">
        <v>63.23</v>
      </c>
      <c r="G123" s="4">
        <v>17</v>
      </c>
      <c r="H123">
        <v>3.4</v>
      </c>
      <c r="I123">
        <v>283</v>
      </c>
    </row>
    <row r="124" spans="1:9" x14ac:dyDescent="0.25">
      <c r="A124" t="s">
        <v>261</v>
      </c>
      <c r="B124" t="s">
        <v>262</v>
      </c>
      <c r="C124" t="s">
        <v>23</v>
      </c>
      <c r="D124">
        <v>368.14</v>
      </c>
      <c r="E124">
        <v>37.61</v>
      </c>
      <c r="F124">
        <v>80.989999999999995</v>
      </c>
      <c r="G124" s="4">
        <v>5</v>
      </c>
      <c r="H124">
        <v>3.4</v>
      </c>
      <c r="I124">
        <v>239</v>
      </c>
    </row>
    <row r="125" spans="1:9" x14ac:dyDescent="0.25">
      <c r="A125" t="s">
        <v>263</v>
      </c>
      <c r="B125" t="s">
        <v>264</v>
      </c>
      <c r="C125" t="s">
        <v>17</v>
      </c>
      <c r="D125">
        <v>371.66</v>
      </c>
      <c r="E125">
        <v>98.42</v>
      </c>
      <c r="F125">
        <v>89.2</v>
      </c>
      <c r="G125" s="4">
        <v>15</v>
      </c>
      <c r="H125">
        <v>3.6</v>
      </c>
      <c r="I125">
        <v>167</v>
      </c>
    </row>
    <row r="126" spans="1:9" x14ac:dyDescent="0.25">
      <c r="A126" t="s">
        <v>265</v>
      </c>
      <c r="B126" t="s">
        <v>266</v>
      </c>
      <c r="C126" t="s">
        <v>34</v>
      </c>
      <c r="D126">
        <v>354.45</v>
      </c>
      <c r="E126">
        <v>81.59</v>
      </c>
      <c r="F126">
        <v>81.52</v>
      </c>
      <c r="G126" s="4">
        <v>17</v>
      </c>
      <c r="H126">
        <v>3.3</v>
      </c>
      <c r="I126">
        <v>113</v>
      </c>
    </row>
    <row r="127" spans="1:9" x14ac:dyDescent="0.25">
      <c r="A127" t="s">
        <v>267</v>
      </c>
      <c r="B127" t="s">
        <v>268</v>
      </c>
      <c r="C127" t="s">
        <v>23</v>
      </c>
      <c r="D127">
        <v>36.61</v>
      </c>
      <c r="E127">
        <v>28.22</v>
      </c>
      <c r="F127">
        <v>8.42</v>
      </c>
      <c r="G127" s="4">
        <v>15</v>
      </c>
      <c r="H127">
        <v>1.5</v>
      </c>
      <c r="I127">
        <v>159</v>
      </c>
    </row>
    <row r="128" spans="1:9" x14ac:dyDescent="0.25">
      <c r="A128" t="s">
        <v>269</v>
      </c>
      <c r="B128" t="s">
        <v>270</v>
      </c>
      <c r="C128" t="s">
        <v>11</v>
      </c>
      <c r="D128">
        <v>444.62</v>
      </c>
      <c r="E128">
        <v>50.16</v>
      </c>
      <c r="F128">
        <v>71.14</v>
      </c>
      <c r="G128" s="4">
        <v>8</v>
      </c>
      <c r="H128">
        <v>2.2999999999999998</v>
      </c>
      <c r="I128">
        <v>231</v>
      </c>
    </row>
    <row r="129" spans="1:9" x14ac:dyDescent="0.25">
      <c r="A129" t="s">
        <v>271</v>
      </c>
      <c r="B129" t="s">
        <v>272</v>
      </c>
      <c r="C129" t="s">
        <v>29</v>
      </c>
      <c r="D129">
        <v>84.55</v>
      </c>
      <c r="E129">
        <v>37.630000000000003</v>
      </c>
      <c r="F129">
        <v>18.600000000000001</v>
      </c>
      <c r="G129" s="4">
        <v>12</v>
      </c>
      <c r="H129">
        <v>3.2</v>
      </c>
      <c r="I129">
        <v>266</v>
      </c>
    </row>
    <row r="130" spans="1:9" x14ac:dyDescent="0.25">
      <c r="A130" t="s">
        <v>273</v>
      </c>
      <c r="B130" t="s">
        <v>274</v>
      </c>
      <c r="C130" t="s">
        <v>11</v>
      </c>
      <c r="D130">
        <v>352.65</v>
      </c>
      <c r="E130">
        <v>52.92</v>
      </c>
      <c r="F130">
        <v>67</v>
      </c>
      <c r="G130" s="4">
        <v>13</v>
      </c>
      <c r="H130">
        <v>2.1</v>
      </c>
      <c r="I130">
        <v>238</v>
      </c>
    </row>
    <row r="131" spans="1:9" x14ac:dyDescent="0.25">
      <c r="A131" t="s">
        <v>275</v>
      </c>
      <c r="B131" t="s">
        <v>276</v>
      </c>
      <c r="C131" t="s">
        <v>17</v>
      </c>
      <c r="D131">
        <v>96.04</v>
      </c>
      <c r="E131">
        <v>48.51</v>
      </c>
      <c r="F131">
        <v>18.25</v>
      </c>
      <c r="G131" s="4">
        <v>25</v>
      </c>
      <c r="H131">
        <v>7.7</v>
      </c>
      <c r="I131">
        <v>17</v>
      </c>
    </row>
    <row r="132" spans="1:9" x14ac:dyDescent="0.25">
      <c r="A132" t="s">
        <v>277</v>
      </c>
      <c r="B132" t="s">
        <v>278</v>
      </c>
      <c r="C132" t="s">
        <v>34</v>
      </c>
      <c r="D132">
        <v>36.64</v>
      </c>
      <c r="E132">
        <v>48.91</v>
      </c>
      <c r="F132">
        <v>6.96</v>
      </c>
      <c r="G132" s="4">
        <v>12</v>
      </c>
      <c r="H132">
        <v>2.9</v>
      </c>
      <c r="I132">
        <v>75</v>
      </c>
    </row>
    <row r="133" spans="1:9" x14ac:dyDescent="0.25">
      <c r="A133" t="s">
        <v>279</v>
      </c>
      <c r="B133" t="s">
        <v>280</v>
      </c>
      <c r="C133" t="s">
        <v>29</v>
      </c>
      <c r="D133">
        <v>446</v>
      </c>
      <c r="E133">
        <v>34.72</v>
      </c>
      <c r="F133">
        <v>98.12</v>
      </c>
      <c r="G133" s="4">
        <v>12</v>
      </c>
      <c r="H133">
        <v>3.5</v>
      </c>
      <c r="I133">
        <v>284</v>
      </c>
    </row>
    <row r="134" spans="1:9" x14ac:dyDescent="0.25">
      <c r="A134" t="s">
        <v>281</v>
      </c>
      <c r="B134" t="s">
        <v>282</v>
      </c>
      <c r="C134" t="s">
        <v>34</v>
      </c>
      <c r="D134">
        <v>25.84</v>
      </c>
      <c r="E134">
        <v>52.9</v>
      </c>
      <c r="F134">
        <v>4.3899999999999997</v>
      </c>
      <c r="G134" s="4">
        <v>11</v>
      </c>
      <c r="H134">
        <v>2.8</v>
      </c>
      <c r="I134">
        <v>261</v>
      </c>
    </row>
    <row r="135" spans="1:9" x14ac:dyDescent="0.25">
      <c r="A135" t="s">
        <v>283</v>
      </c>
      <c r="B135" t="s">
        <v>284</v>
      </c>
      <c r="C135" t="s">
        <v>20</v>
      </c>
      <c r="D135">
        <v>419.14</v>
      </c>
      <c r="E135">
        <v>60.36</v>
      </c>
      <c r="F135">
        <v>117.36</v>
      </c>
      <c r="G135" s="4">
        <v>19</v>
      </c>
      <c r="H135">
        <v>2.8</v>
      </c>
      <c r="I135">
        <v>248</v>
      </c>
    </row>
    <row r="136" spans="1:9" x14ac:dyDescent="0.25">
      <c r="A136" t="s">
        <v>285</v>
      </c>
      <c r="B136" t="s">
        <v>286</v>
      </c>
      <c r="C136" t="s">
        <v>14</v>
      </c>
      <c r="D136">
        <v>54.75</v>
      </c>
      <c r="E136">
        <v>81.63</v>
      </c>
      <c r="F136">
        <v>13.14</v>
      </c>
      <c r="G136" s="4">
        <v>11</v>
      </c>
      <c r="H136">
        <v>1.1000000000000001</v>
      </c>
      <c r="I136">
        <v>137</v>
      </c>
    </row>
    <row r="137" spans="1:9" x14ac:dyDescent="0.25">
      <c r="A137" t="s">
        <v>287</v>
      </c>
      <c r="B137" t="s">
        <v>288</v>
      </c>
      <c r="C137" t="s">
        <v>26</v>
      </c>
      <c r="D137">
        <v>27.52</v>
      </c>
      <c r="E137">
        <v>119.99</v>
      </c>
      <c r="F137">
        <v>4.4000000000000004</v>
      </c>
      <c r="G137" s="4">
        <v>11</v>
      </c>
      <c r="H137">
        <v>3.4</v>
      </c>
      <c r="I137">
        <v>259</v>
      </c>
    </row>
    <row r="138" spans="1:9" x14ac:dyDescent="0.25">
      <c r="A138" t="s">
        <v>289</v>
      </c>
      <c r="B138" t="s">
        <v>290</v>
      </c>
      <c r="C138" t="s">
        <v>34</v>
      </c>
      <c r="D138">
        <v>188.78</v>
      </c>
      <c r="E138">
        <v>60.32</v>
      </c>
      <c r="F138">
        <v>45.31</v>
      </c>
      <c r="G138" s="4">
        <v>7</v>
      </c>
      <c r="H138">
        <v>1.6</v>
      </c>
      <c r="I138">
        <v>253</v>
      </c>
    </row>
    <row r="139" spans="1:9" x14ac:dyDescent="0.25">
      <c r="A139" t="s">
        <v>291</v>
      </c>
      <c r="B139" t="s">
        <v>292</v>
      </c>
      <c r="C139" t="s">
        <v>29</v>
      </c>
      <c r="D139">
        <v>250.24</v>
      </c>
      <c r="E139">
        <v>31.01</v>
      </c>
      <c r="F139">
        <v>42.54</v>
      </c>
      <c r="G139" s="4">
        <v>33</v>
      </c>
      <c r="H139">
        <v>10</v>
      </c>
      <c r="I139">
        <v>14</v>
      </c>
    </row>
    <row r="140" spans="1:9" x14ac:dyDescent="0.25">
      <c r="A140" t="s">
        <v>293</v>
      </c>
      <c r="B140" t="s">
        <v>294</v>
      </c>
      <c r="C140" t="s">
        <v>11</v>
      </c>
      <c r="D140">
        <v>296.64999999999998</v>
      </c>
      <c r="E140">
        <v>62.79</v>
      </c>
      <c r="F140">
        <v>56.36</v>
      </c>
      <c r="G140" s="4">
        <v>14</v>
      </c>
      <c r="H140">
        <v>3</v>
      </c>
      <c r="I140">
        <v>156</v>
      </c>
    </row>
    <row r="141" spans="1:9" x14ac:dyDescent="0.25">
      <c r="A141" t="s">
        <v>295</v>
      </c>
      <c r="B141" t="s">
        <v>296</v>
      </c>
      <c r="C141" t="s">
        <v>14</v>
      </c>
      <c r="D141">
        <v>146.06</v>
      </c>
      <c r="E141">
        <v>78.819999999999993</v>
      </c>
      <c r="F141">
        <v>29.21</v>
      </c>
      <c r="G141" s="4">
        <v>18</v>
      </c>
      <c r="H141">
        <v>1.1000000000000001</v>
      </c>
      <c r="I141">
        <v>246</v>
      </c>
    </row>
    <row r="142" spans="1:9" x14ac:dyDescent="0.25">
      <c r="A142" t="s">
        <v>297</v>
      </c>
      <c r="B142" t="s">
        <v>298</v>
      </c>
      <c r="C142" t="s">
        <v>34</v>
      </c>
      <c r="D142">
        <v>292.86</v>
      </c>
      <c r="E142">
        <v>62.12</v>
      </c>
      <c r="F142">
        <v>61.5</v>
      </c>
      <c r="G142" s="4">
        <v>5</v>
      </c>
      <c r="H142">
        <v>2.2999999999999998</v>
      </c>
      <c r="I142">
        <v>90</v>
      </c>
    </row>
    <row r="143" spans="1:9" x14ac:dyDescent="0.25">
      <c r="A143" t="s">
        <v>299</v>
      </c>
      <c r="B143" t="s">
        <v>300</v>
      </c>
      <c r="C143" t="s">
        <v>23</v>
      </c>
      <c r="D143">
        <v>58.18</v>
      </c>
      <c r="E143">
        <v>33.6</v>
      </c>
      <c r="F143">
        <v>13.96</v>
      </c>
      <c r="G143" s="4">
        <v>16</v>
      </c>
      <c r="H143">
        <v>2.4</v>
      </c>
      <c r="I143">
        <v>91</v>
      </c>
    </row>
    <row r="144" spans="1:9" x14ac:dyDescent="0.25">
      <c r="A144" t="s">
        <v>301</v>
      </c>
      <c r="B144" t="s">
        <v>302</v>
      </c>
      <c r="C144" t="s">
        <v>26</v>
      </c>
      <c r="D144">
        <v>14.56</v>
      </c>
      <c r="E144">
        <v>77.400000000000006</v>
      </c>
      <c r="F144">
        <v>3.64</v>
      </c>
      <c r="G144" s="4">
        <v>17</v>
      </c>
      <c r="H144">
        <v>1.3</v>
      </c>
      <c r="I144">
        <v>209</v>
      </c>
    </row>
    <row r="145" spans="1:9" x14ac:dyDescent="0.25">
      <c r="A145" t="s">
        <v>303</v>
      </c>
      <c r="B145" t="s">
        <v>304</v>
      </c>
      <c r="C145" t="s">
        <v>34</v>
      </c>
      <c r="D145">
        <v>333.86</v>
      </c>
      <c r="E145">
        <v>41.31</v>
      </c>
      <c r="F145">
        <v>66.77</v>
      </c>
      <c r="G145" s="4">
        <v>10</v>
      </c>
      <c r="H145">
        <v>2.6</v>
      </c>
      <c r="I145">
        <v>286</v>
      </c>
    </row>
    <row r="146" spans="1:9" x14ac:dyDescent="0.25">
      <c r="A146" t="s">
        <v>305</v>
      </c>
      <c r="B146" t="s">
        <v>306</v>
      </c>
      <c r="C146" t="s">
        <v>11</v>
      </c>
      <c r="D146">
        <v>56.09</v>
      </c>
      <c r="E146">
        <v>71.599999999999994</v>
      </c>
      <c r="F146">
        <v>15.14</v>
      </c>
      <c r="G146" s="4">
        <v>11</v>
      </c>
      <c r="H146">
        <v>1.9</v>
      </c>
      <c r="I146">
        <v>264</v>
      </c>
    </row>
    <row r="147" spans="1:9" x14ac:dyDescent="0.25">
      <c r="A147" t="s">
        <v>307</v>
      </c>
      <c r="B147" t="s">
        <v>308</v>
      </c>
      <c r="C147" t="s">
        <v>14</v>
      </c>
      <c r="D147">
        <v>439.19</v>
      </c>
      <c r="E147">
        <v>70.86</v>
      </c>
      <c r="F147">
        <v>70.27</v>
      </c>
      <c r="G147" s="4">
        <v>17</v>
      </c>
      <c r="H147">
        <v>1.3</v>
      </c>
      <c r="I147">
        <v>232</v>
      </c>
    </row>
    <row r="148" spans="1:9" x14ac:dyDescent="0.25">
      <c r="A148" t="s">
        <v>309</v>
      </c>
      <c r="B148" t="s">
        <v>310</v>
      </c>
      <c r="C148" t="s">
        <v>26</v>
      </c>
      <c r="D148">
        <v>291.02</v>
      </c>
      <c r="E148">
        <v>106.38</v>
      </c>
      <c r="F148">
        <v>69.84</v>
      </c>
      <c r="G148" s="4">
        <v>11</v>
      </c>
      <c r="H148">
        <v>3.5</v>
      </c>
      <c r="I148">
        <v>96</v>
      </c>
    </row>
    <row r="149" spans="1:9" x14ac:dyDescent="0.25">
      <c r="A149" t="s">
        <v>311</v>
      </c>
      <c r="B149" t="s">
        <v>312</v>
      </c>
      <c r="C149" t="s">
        <v>20</v>
      </c>
      <c r="D149">
        <v>26.44</v>
      </c>
      <c r="E149">
        <v>114.16</v>
      </c>
      <c r="F149">
        <v>4.49</v>
      </c>
      <c r="G149" s="4">
        <v>16</v>
      </c>
      <c r="H149">
        <v>1.4</v>
      </c>
      <c r="I149">
        <v>113</v>
      </c>
    </row>
    <row r="150" spans="1:9" x14ac:dyDescent="0.25">
      <c r="A150" t="s">
        <v>313</v>
      </c>
      <c r="B150" t="s">
        <v>314</v>
      </c>
      <c r="C150" t="s">
        <v>20</v>
      </c>
      <c r="D150">
        <v>26.17</v>
      </c>
      <c r="E150">
        <v>78.42</v>
      </c>
      <c r="F150">
        <v>6.8</v>
      </c>
      <c r="G150" s="4">
        <v>6</v>
      </c>
      <c r="H150">
        <v>3</v>
      </c>
      <c r="I150">
        <v>132</v>
      </c>
    </row>
    <row r="151" spans="1:9" x14ac:dyDescent="0.25">
      <c r="A151" t="s">
        <v>315</v>
      </c>
      <c r="B151" t="s">
        <v>316</v>
      </c>
      <c r="C151" t="s">
        <v>11</v>
      </c>
      <c r="D151">
        <v>180.31</v>
      </c>
      <c r="E151">
        <v>68.290000000000006</v>
      </c>
      <c r="F151">
        <v>50.49</v>
      </c>
      <c r="G151" s="4">
        <v>45</v>
      </c>
      <c r="H151">
        <v>7.8</v>
      </c>
      <c r="I151">
        <v>31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2F34-745E-4904-A917-7952B5B9F42B}">
  <dimension ref="A1:C152"/>
  <sheetViews>
    <sheetView workbookViewId="0">
      <selection activeCell="B2" sqref="B2"/>
    </sheetView>
  </sheetViews>
  <sheetFormatPr defaultRowHeight="15" x14ac:dyDescent="0.25"/>
  <cols>
    <col min="1" max="1" width="12.7109375" bestFit="1" customWidth="1"/>
    <col min="2" max="2" width="17.5703125" bestFit="1" customWidth="1"/>
    <col min="3" max="3" width="20.85546875" bestFit="1" customWidth="1"/>
  </cols>
  <sheetData>
    <row r="1" spans="1:3" x14ac:dyDescent="0.25">
      <c r="A1" s="5" t="s">
        <v>0</v>
      </c>
      <c r="B1" t="s">
        <v>321</v>
      </c>
      <c r="C1" t="s">
        <v>322</v>
      </c>
    </row>
    <row r="2" spans="1:3" x14ac:dyDescent="0.25">
      <c r="A2" s="6" t="s">
        <v>9</v>
      </c>
      <c r="B2" s="3">
        <v>62.115384615384613</v>
      </c>
      <c r="C2" s="3">
        <v>8.2089069824279139</v>
      </c>
    </row>
    <row r="3" spans="1:3" x14ac:dyDescent="0.25">
      <c r="A3" s="6" t="s">
        <v>12</v>
      </c>
      <c r="B3" s="3">
        <v>90.538461538461533</v>
      </c>
      <c r="C3" s="3">
        <v>19.561657944521503</v>
      </c>
    </row>
    <row r="4" spans="1:3" x14ac:dyDescent="0.25">
      <c r="A4" s="6" t="s">
        <v>15</v>
      </c>
      <c r="B4" s="3">
        <v>109.19230769230769</v>
      </c>
      <c r="C4" s="3">
        <v>16.928128616640929</v>
      </c>
    </row>
    <row r="5" spans="1:3" x14ac:dyDescent="0.25">
      <c r="A5" s="6" t="s">
        <v>18</v>
      </c>
      <c r="B5" s="3">
        <v>130.03846153846155</v>
      </c>
      <c r="C5" s="3">
        <v>11.921344787332613</v>
      </c>
    </row>
    <row r="6" spans="1:3" x14ac:dyDescent="0.25">
      <c r="A6" s="6" t="s">
        <v>21</v>
      </c>
      <c r="B6" s="3">
        <v>80.807692307692307</v>
      </c>
      <c r="C6" s="3">
        <v>12.778166474950103</v>
      </c>
    </row>
    <row r="7" spans="1:3" x14ac:dyDescent="0.25">
      <c r="A7" s="6" t="s">
        <v>24</v>
      </c>
      <c r="B7" s="3">
        <v>76.769230769230774</v>
      </c>
      <c r="C7" s="3">
        <v>11.483231922443046</v>
      </c>
    </row>
    <row r="8" spans="1:3" x14ac:dyDescent="0.25">
      <c r="A8" s="6" t="s">
        <v>27</v>
      </c>
      <c r="B8" s="3">
        <v>56.42307692307692</v>
      </c>
      <c r="C8" s="3">
        <v>8.4908095111035351</v>
      </c>
    </row>
    <row r="9" spans="1:3" x14ac:dyDescent="0.25">
      <c r="A9" s="6" t="s">
        <v>30</v>
      </c>
      <c r="B9" s="3">
        <v>118.73076923076923</v>
      </c>
      <c r="C9" s="3">
        <v>21.680512341377337</v>
      </c>
    </row>
    <row r="10" spans="1:3" x14ac:dyDescent="0.25">
      <c r="A10" s="6" t="s">
        <v>32</v>
      </c>
      <c r="B10" s="3">
        <v>23.615384615384617</v>
      </c>
      <c r="C10" s="3">
        <v>2.9131003838099758</v>
      </c>
    </row>
    <row r="11" spans="1:3" x14ac:dyDescent="0.25">
      <c r="A11" s="6" t="s">
        <v>35</v>
      </c>
      <c r="B11" s="3">
        <v>53.384615384615387</v>
      </c>
      <c r="C11" s="3">
        <v>19.946081165135013</v>
      </c>
    </row>
    <row r="12" spans="1:3" x14ac:dyDescent="0.25">
      <c r="A12" s="6" t="s">
        <v>37</v>
      </c>
      <c r="B12" s="3">
        <v>123.73076923076923</v>
      </c>
      <c r="C12" s="3">
        <v>18.197928876237953</v>
      </c>
    </row>
    <row r="13" spans="1:3" x14ac:dyDescent="0.25">
      <c r="A13" s="6" t="s">
        <v>39</v>
      </c>
      <c r="B13" s="3">
        <v>97.692307692307693</v>
      </c>
      <c r="C13" s="3">
        <v>14.877551494165253</v>
      </c>
    </row>
    <row r="14" spans="1:3" x14ac:dyDescent="0.25">
      <c r="A14" s="6" t="s">
        <v>41</v>
      </c>
      <c r="B14" s="3">
        <v>45.230769230769234</v>
      </c>
      <c r="C14" s="3">
        <v>15.639201238701908</v>
      </c>
    </row>
    <row r="15" spans="1:3" x14ac:dyDescent="0.25">
      <c r="A15" s="6" t="s">
        <v>43</v>
      </c>
      <c r="B15" s="3">
        <v>108.19230769230769</v>
      </c>
      <c r="C15" s="3">
        <v>12.890366110453867</v>
      </c>
    </row>
    <row r="16" spans="1:3" x14ac:dyDescent="0.25">
      <c r="A16" s="6" t="s">
        <v>45</v>
      </c>
      <c r="B16" s="3">
        <v>83.884615384615387</v>
      </c>
      <c r="C16" s="3">
        <v>32.026647558652684</v>
      </c>
    </row>
    <row r="17" spans="1:3" x14ac:dyDescent="0.25">
      <c r="A17" s="6" t="s">
        <v>47</v>
      </c>
      <c r="B17" s="3">
        <v>83.692307692307693</v>
      </c>
      <c r="C17" s="3">
        <v>8.7853024115017657</v>
      </c>
    </row>
    <row r="18" spans="1:3" x14ac:dyDescent="0.25">
      <c r="A18" s="6" t="s">
        <v>49</v>
      </c>
      <c r="B18" s="3">
        <v>107.61538461538461</v>
      </c>
      <c r="C18" s="3">
        <v>15.738047968098043</v>
      </c>
    </row>
    <row r="19" spans="1:3" x14ac:dyDescent="0.25">
      <c r="A19" s="6" t="s">
        <v>51</v>
      </c>
      <c r="B19" s="3">
        <v>131.61538461538461</v>
      </c>
      <c r="C19" s="3">
        <v>48.367821470954787</v>
      </c>
    </row>
    <row r="20" spans="1:3" x14ac:dyDescent="0.25">
      <c r="A20" s="6" t="s">
        <v>53</v>
      </c>
      <c r="B20" s="3">
        <v>107.34615384615384</v>
      </c>
      <c r="C20" s="3">
        <v>50.67223484922868</v>
      </c>
    </row>
    <row r="21" spans="1:3" x14ac:dyDescent="0.25">
      <c r="A21" s="6" t="s">
        <v>55</v>
      </c>
      <c r="B21" s="3">
        <v>89.5</v>
      </c>
      <c r="C21" s="3">
        <v>14.230249470757707</v>
      </c>
    </row>
    <row r="22" spans="1:3" x14ac:dyDescent="0.25">
      <c r="A22" s="6" t="s">
        <v>57</v>
      </c>
      <c r="B22" s="3">
        <v>86.230769230769226</v>
      </c>
      <c r="C22" s="3">
        <v>12.37192852325841</v>
      </c>
    </row>
    <row r="23" spans="1:3" x14ac:dyDescent="0.25">
      <c r="A23" s="6" t="s">
        <v>59</v>
      </c>
      <c r="B23" s="3">
        <v>82.07692307692308</v>
      </c>
      <c r="C23" s="3">
        <v>13.022820207383893</v>
      </c>
    </row>
    <row r="24" spans="1:3" x14ac:dyDescent="0.25">
      <c r="A24" s="6" t="s">
        <v>61</v>
      </c>
      <c r="B24" s="3">
        <v>55.03846153846154</v>
      </c>
      <c r="C24" s="3">
        <v>21.543408772486799</v>
      </c>
    </row>
    <row r="25" spans="1:3" x14ac:dyDescent="0.25">
      <c r="A25" s="6" t="s">
        <v>63</v>
      </c>
      <c r="B25" s="3">
        <v>30.73076923076923</v>
      </c>
      <c r="C25" s="3">
        <v>3.6721404363960968</v>
      </c>
    </row>
    <row r="26" spans="1:3" x14ac:dyDescent="0.25">
      <c r="A26" s="6" t="s">
        <v>65</v>
      </c>
      <c r="B26" s="3">
        <v>93.538461538461533</v>
      </c>
      <c r="C26" s="3">
        <v>32.389171979821612</v>
      </c>
    </row>
    <row r="27" spans="1:3" x14ac:dyDescent="0.25">
      <c r="A27" s="6" t="s">
        <v>67</v>
      </c>
      <c r="B27" s="3">
        <v>39.42307692307692</v>
      </c>
      <c r="C27" s="3">
        <v>6.1978904599747686</v>
      </c>
    </row>
    <row r="28" spans="1:3" x14ac:dyDescent="0.25">
      <c r="A28" s="6" t="s">
        <v>69</v>
      </c>
      <c r="B28" s="3">
        <v>28.5</v>
      </c>
      <c r="C28" s="3">
        <v>4.0224370722237532</v>
      </c>
    </row>
    <row r="29" spans="1:3" x14ac:dyDescent="0.25">
      <c r="A29" s="6" t="s">
        <v>71</v>
      </c>
      <c r="B29" s="3">
        <v>140.73076923076923</v>
      </c>
      <c r="C29" s="3">
        <v>21.342085544402988</v>
      </c>
    </row>
    <row r="30" spans="1:3" x14ac:dyDescent="0.25">
      <c r="A30" s="6" t="s">
        <v>73</v>
      </c>
      <c r="B30" s="3">
        <v>144.76923076923077</v>
      </c>
      <c r="C30" s="3">
        <v>23.041367480785837</v>
      </c>
    </row>
    <row r="31" spans="1:3" x14ac:dyDescent="0.25">
      <c r="A31" s="6" t="s">
        <v>75</v>
      </c>
      <c r="B31" s="3">
        <v>129</v>
      </c>
      <c r="C31" s="3">
        <v>15.346660874600703</v>
      </c>
    </row>
    <row r="32" spans="1:3" x14ac:dyDescent="0.25">
      <c r="A32" s="6" t="s">
        <v>77</v>
      </c>
      <c r="B32" s="3">
        <v>39.269230769230766</v>
      </c>
      <c r="C32" s="3">
        <v>6.514953214307476</v>
      </c>
    </row>
    <row r="33" spans="1:3" x14ac:dyDescent="0.25">
      <c r="A33" s="6" t="s">
        <v>79</v>
      </c>
      <c r="B33" s="3">
        <v>89.92307692307692</v>
      </c>
      <c r="C33" s="3">
        <v>16.069656068312298</v>
      </c>
    </row>
    <row r="34" spans="1:3" x14ac:dyDescent="0.25">
      <c r="A34" s="6" t="s">
        <v>81</v>
      </c>
      <c r="B34" s="3">
        <v>40.96153846153846</v>
      </c>
      <c r="C34" s="3">
        <v>4.321858574555808</v>
      </c>
    </row>
    <row r="35" spans="1:3" x14ac:dyDescent="0.25">
      <c r="A35" s="6" t="s">
        <v>83</v>
      </c>
      <c r="B35" s="3">
        <v>107.84615384615384</v>
      </c>
      <c r="C35" s="3">
        <v>17.496724968272918</v>
      </c>
    </row>
    <row r="36" spans="1:3" x14ac:dyDescent="0.25">
      <c r="A36" s="6" t="s">
        <v>85</v>
      </c>
      <c r="B36" s="3">
        <v>87.92307692307692</v>
      </c>
      <c r="C36" s="3">
        <v>12.003076528700724</v>
      </c>
    </row>
    <row r="37" spans="1:3" x14ac:dyDescent="0.25">
      <c r="A37" s="6" t="s">
        <v>87</v>
      </c>
      <c r="B37" s="3">
        <v>56.53846153846154</v>
      </c>
      <c r="C37" s="3">
        <v>6.6647176638220218</v>
      </c>
    </row>
    <row r="38" spans="1:3" x14ac:dyDescent="0.25">
      <c r="A38" s="6" t="s">
        <v>89</v>
      </c>
      <c r="B38" s="3">
        <v>96.769230769230774</v>
      </c>
      <c r="C38" s="3">
        <v>11.172493695886118</v>
      </c>
    </row>
    <row r="39" spans="1:3" x14ac:dyDescent="0.25">
      <c r="A39" s="6" t="s">
        <v>91</v>
      </c>
      <c r="B39" s="3">
        <v>74.807692307692307</v>
      </c>
      <c r="C39" s="3">
        <v>14.096862716985603</v>
      </c>
    </row>
    <row r="40" spans="1:3" x14ac:dyDescent="0.25">
      <c r="A40" s="6" t="s">
        <v>93</v>
      </c>
      <c r="B40" s="3">
        <v>86.34615384615384</v>
      </c>
      <c r="C40" s="3">
        <v>48.824536706612847</v>
      </c>
    </row>
    <row r="41" spans="1:3" x14ac:dyDescent="0.25">
      <c r="A41" s="6" t="s">
        <v>95</v>
      </c>
      <c r="B41" s="3">
        <v>41.653846153846153</v>
      </c>
      <c r="C41" s="3">
        <v>6.2797599170179019</v>
      </c>
    </row>
    <row r="42" spans="1:3" x14ac:dyDescent="0.25">
      <c r="A42" s="6" t="s">
        <v>97</v>
      </c>
      <c r="B42" s="3">
        <v>95.038461538461533</v>
      </c>
      <c r="C42" s="3">
        <v>12.542665647240273</v>
      </c>
    </row>
    <row r="43" spans="1:3" x14ac:dyDescent="0.25">
      <c r="A43" s="6" t="s">
        <v>99</v>
      </c>
      <c r="B43" s="3">
        <v>110.80769230769231</v>
      </c>
      <c r="C43" s="3">
        <v>14.713311607572836</v>
      </c>
    </row>
    <row r="44" spans="1:3" x14ac:dyDescent="0.25">
      <c r="A44" s="6" t="s">
        <v>101</v>
      </c>
      <c r="B44" s="3">
        <v>93.5</v>
      </c>
      <c r="C44" s="3">
        <v>15.250573759698355</v>
      </c>
    </row>
    <row r="45" spans="1:3" x14ac:dyDescent="0.25">
      <c r="A45" s="6" t="s">
        <v>103</v>
      </c>
      <c r="B45" s="3">
        <v>64.84615384615384</v>
      </c>
      <c r="C45" s="3">
        <v>9.0186132312780991</v>
      </c>
    </row>
    <row r="46" spans="1:3" x14ac:dyDescent="0.25">
      <c r="A46" s="6" t="s">
        <v>105</v>
      </c>
      <c r="B46" s="3">
        <v>105.57692307692308</v>
      </c>
      <c r="C46" s="3">
        <v>11.107378005355049</v>
      </c>
    </row>
    <row r="47" spans="1:3" x14ac:dyDescent="0.25">
      <c r="A47" s="6" t="s">
        <v>107</v>
      </c>
      <c r="B47" s="3">
        <v>21.923076923076923</v>
      </c>
      <c r="C47" s="3">
        <v>3.0584058190250309</v>
      </c>
    </row>
    <row r="48" spans="1:3" x14ac:dyDescent="0.25">
      <c r="A48" s="6" t="s">
        <v>109</v>
      </c>
      <c r="B48" s="3">
        <v>127.15384615384616</v>
      </c>
      <c r="C48" s="3">
        <v>17.485290521332065</v>
      </c>
    </row>
    <row r="49" spans="1:3" x14ac:dyDescent="0.25">
      <c r="A49" s="6" t="s">
        <v>111</v>
      </c>
      <c r="B49" s="3">
        <v>141.88461538461539</v>
      </c>
      <c r="C49" s="3">
        <v>16.831700860167249</v>
      </c>
    </row>
    <row r="50" spans="1:3" x14ac:dyDescent="0.25">
      <c r="A50" s="6" t="s">
        <v>113</v>
      </c>
      <c r="B50" s="3">
        <v>50</v>
      </c>
      <c r="C50" s="3">
        <v>6.4436014774348047</v>
      </c>
    </row>
    <row r="51" spans="1:3" x14ac:dyDescent="0.25">
      <c r="A51" s="6" t="s">
        <v>115</v>
      </c>
      <c r="B51" s="3">
        <v>70.807692307692307</v>
      </c>
      <c r="C51" s="3">
        <v>9.3167343238679248</v>
      </c>
    </row>
    <row r="52" spans="1:3" x14ac:dyDescent="0.25">
      <c r="A52" s="6" t="s">
        <v>117</v>
      </c>
      <c r="B52" s="3">
        <v>59.42307692307692</v>
      </c>
      <c r="C52" s="3">
        <v>9.2527750515100191</v>
      </c>
    </row>
    <row r="53" spans="1:3" x14ac:dyDescent="0.25">
      <c r="A53" s="6" t="s">
        <v>119</v>
      </c>
      <c r="B53" s="3">
        <v>77.57692307692308</v>
      </c>
      <c r="C53" s="3">
        <v>14.519429952785552</v>
      </c>
    </row>
    <row r="54" spans="1:3" x14ac:dyDescent="0.25">
      <c r="A54" s="6" t="s">
        <v>121</v>
      </c>
      <c r="B54" s="3">
        <v>113.15384615384616</v>
      </c>
      <c r="C54" s="3">
        <v>10.509775669127528</v>
      </c>
    </row>
    <row r="55" spans="1:3" x14ac:dyDescent="0.25">
      <c r="A55" s="6" t="s">
        <v>123</v>
      </c>
      <c r="B55" s="3">
        <v>85.538461538461533</v>
      </c>
      <c r="C55" s="3">
        <v>11.093171843006006</v>
      </c>
    </row>
    <row r="56" spans="1:3" x14ac:dyDescent="0.25">
      <c r="A56" s="6" t="s">
        <v>125</v>
      </c>
      <c r="B56" s="3">
        <v>91.42307692307692</v>
      </c>
      <c r="C56" s="3">
        <v>32.676808995889523</v>
      </c>
    </row>
    <row r="57" spans="1:3" x14ac:dyDescent="0.25">
      <c r="A57" s="6" t="s">
        <v>127</v>
      </c>
      <c r="B57" s="3">
        <v>73.42307692307692</v>
      </c>
      <c r="C57" s="3">
        <v>10.068457982921032</v>
      </c>
    </row>
    <row r="58" spans="1:3" x14ac:dyDescent="0.25">
      <c r="A58" s="6" t="s">
        <v>129</v>
      </c>
      <c r="B58" s="3">
        <v>21.884615384615383</v>
      </c>
      <c r="C58" s="3">
        <v>4.8852997703471406</v>
      </c>
    </row>
    <row r="59" spans="1:3" x14ac:dyDescent="0.25">
      <c r="A59" s="6" t="s">
        <v>131</v>
      </c>
      <c r="B59" s="3">
        <v>109.57692307692308</v>
      </c>
      <c r="C59" s="3">
        <v>14.513919048756097</v>
      </c>
    </row>
    <row r="60" spans="1:3" x14ac:dyDescent="0.25">
      <c r="A60" s="6" t="s">
        <v>133</v>
      </c>
      <c r="B60" s="3">
        <v>47.615384615384613</v>
      </c>
      <c r="C60" s="3">
        <v>6.7235521747178968</v>
      </c>
    </row>
    <row r="61" spans="1:3" x14ac:dyDescent="0.25">
      <c r="A61" s="6" t="s">
        <v>135</v>
      </c>
      <c r="B61" s="3">
        <v>78.192307692307693</v>
      </c>
      <c r="C61" s="3">
        <v>9.4107140250641308</v>
      </c>
    </row>
    <row r="62" spans="1:3" x14ac:dyDescent="0.25">
      <c r="A62" s="6" t="s">
        <v>137</v>
      </c>
      <c r="B62" s="3">
        <v>55.230769230769234</v>
      </c>
      <c r="C62" s="3">
        <v>4.7015545710557918</v>
      </c>
    </row>
    <row r="63" spans="1:3" x14ac:dyDescent="0.25">
      <c r="A63" s="6" t="s">
        <v>139</v>
      </c>
      <c r="B63" s="3">
        <v>38.92307692307692</v>
      </c>
      <c r="C63" s="3">
        <v>15.52268810979098</v>
      </c>
    </row>
    <row r="64" spans="1:3" x14ac:dyDescent="0.25">
      <c r="A64" s="6" t="s">
        <v>141</v>
      </c>
      <c r="B64" s="3">
        <v>108.76923076923077</v>
      </c>
      <c r="C64" s="3">
        <v>11.357139401478483</v>
      </c>
    </row>
    <row r="65" spans="1:3" x14ac:dyDescent="0.25">
      <c r="A65" s="6" t="s">
        <v>143</v>
      </c>
      <c r="B65" s="3">
        <v>45.92307692307692</v>
      </c>
      <c r="C65" s="3">
        <v>8.979635079102394</v>
      </c>
    </row>
    <row r="66" spans="1:3" x14ac:dyDescent="0.25">
      <c r="A66" s="6" t="s">
        <v>145</v>
      </c>
      <c r="B66" s="3">
        <v>17.23076923076923</v>
      </c>
      <c r="C66" s="3">
        <v>3.4906468432964384</v>
      </c>
    </row>
    <row r="67" spans="1:3" x14ac:dyDescent="0.25">
      <c r="A67" s="6" t="s">
        <v>147</v>
      </c>
      <c r="B67" s="3">
        <v>55.53846153846154</v>
      </c>
      <c r="C67" s="3">
        <v>7.4738518541954839</v>
      </c>
    </row>
    <row r="68" spans="1:3" x14ac:dyDescent="0.25">
      <c r="A68" s="6" t="s">
        <v>149</v>
      </c>
      <c r="B68" s="3">
        <v>21.346153846153847</v>
      </c>
      <c r="C68" s="3">
        <v>4.0491214621673937</v>
      </c>
    </row>
    <row r="69" spans="1:3" x14ac:dyDescent="0.25">
      <c r="A69" s="6" t="s">
        <v>151</v>
      </c>
      <c r="B69" s="3">
        <v>78.730769230769226</v>
      </c>
      <c r="C69" s="3">
        <v>12.005191184842291</v>
      </c>
    </row>
    <row r="70" spans="1:3" x14ac:dyDescent="0.25">
      <c r="A70" s="6" t="s">
        <v>153</v>
      </c>
      <c r="B70" s="3">
        <v>29.115384615384617</v>
      </c>
      <c r="C70" s="3">
        <v>5.3015237287174246</v>
      </c>
    </row>
    <row r="71" spans="1:3" x14ac:dyDescent="0.25">
      <c r="A71" s="6" t="s">
        <v>155</v>
      </c>
      <c r="B71" s="3">
        <v>142.92307692307693</v>
      </c>
      <c r="C71" s="3">
        <v>25.180822984045719</v>
      </c>
    </row>
    <row r="72" spans="1:3" x14ac:dyDescent="0.25">
      <c r="A72" s="6" t="s">
        <v>157</v>
      </c>
      <c r="B72" s="3">
        <v>59.192307692307693</v>
      </c>
      <c r="C72" s="3">
        <v>7.0881265833461757</v>
      </c>
    </row>
    <row r="73" spans="1:3" x14ac:dyDescent="0.25">
      <c r="A73" s="6" t="s">
        <v>159</v>
      </c>
      <c r="B73" s="3">
        <v>88.269230769230774</v>
      </c>
      <c r="C73" s="3">
        <v>11.022005960106128</v>
      </c>
    </row>
    <row r="74" spans="1:3" x14ac:dyDescent="0.25">
      <c r="A74" s="6" t="s">
        <v>161</v>
      </c>
      <c r="B74" s="3">
        <v>131.19230769230768</v>
      </c>
      <c r="C74" s="3">
        <v>23.075561498293762</v>
      </c>
    </row>
    <row r="75" spans="1:3" x14ac:dyDescent="0.25">
      <c r="A75" s="6" t="s">
        <v>163</v>
      </c>
      <c r="B75" s="3">
        <v>124.30769230769231</v>
      </c>
      <c r="C75" s="3">
        <v>19.957493291030755</v>
      </c>
    </row>
    <row r="76" spans="1:3" x14ac:dyDescent="0.25">
      <c r="A76" s="6" t="s">
        <v>165</v>
      </c>
      <c r="B76" s="3">
        <v>62.07692307692308</v>
      </c>
      <c r="C76" s="3">
        <v>10.027654070312071</v>
      </c>
    </row>
    <row r="77" spans="1:3" x14ac:dyDescent="0.25">
      <c r="A77" s="6" t="s">
        <v>167</v>
      </c>
      <c r="B77" s="3">
        <v>102.15384615384616</v>
      </c>
      <c r="C77" s="3">
        <v>13.113938562284977</v>
      </c>
    </row>
    <row r="78" spans="1:3" x14ac:dyDescent="0.25">
      <c r="A78" s="6" t="s">
        <v>169</v>
      </c>
      <c r="B78" s="3">
        <v>30.115384615384617</v>
      </c>
      <c r="C78" s="3">
        <v>3.2413197691918492</v>
      </c>
    </row>
    <row r="79" spans="1:3" x14ac:dyDescent="0.25">
      <c r="A79" s="6" t="s">
        <v>171</v>
      </c>
      <c r="B79" s="3">
        <v>90.269230769230774</v>
      </c>
      <c r="C79" s="3">
        <v>13.898367363996933</v>
      </c>
    </row>
    <row r="80" spans="1:3" x14ac:dyDescent="0.25">
      <c r="A80" s="6" t="s">
        <v>173</v>
      </c>
      <c r="B80" s="3">
        <v>96.884615384615387</v>
      </c>
      <c r="C80" s="3">
        <v>13.411418785727101</v>
      </c>
    </row>
    <row r="81" spans="1:3" x14ac:dyDescent="0.25">
      <c r="A81" s="6" t="s">
        <v>175</v>
      </c>
      <c r="B81" s="3">
        <v>18.53846153846154</v>
      </c>
      <c r="C81" s="3">
        <v>2.4368958817441424</v>
      </c>
    </row>
    <row r="82" spans="1:3" x14ac:dyDescent="0.25">
      <c r="A82" s="6" t="s">
        <v>177</v>
      </c>
      <c r="B82" s="3">
        <v>79.807692307692307</v>
      </c>
      <c r="C82" s="3">
        <v>14.677926912937629</v>
      </c>
    </row>
    <row r="83" spans="1:3" x14ac:dyDescent="0.25">
      <c r="A83" s="6" t="s">
        <v>179</v>
      </c>
      <c r="B83" s="3">
        <v>45.346153846153847</v>
      </c>
      <c r="C83" s="3">
        <v>7.5362712673698713</v>
      </c>
    </row>
    <row r="84" spans="1:3" x14ac:dyDescent="0.25">
      <c r="A84" s="6" t="s">
        <v>181</v>
      </c>
      <c r="B84" s="3">
        <v>32.153846153846153</v>
      </c>
      <c r="C84" s="3">
        <v>13.472022291229505</v>
      </c>
    </row>
    <row r="85" spans="1:3" x14ac:dyDescent="0.25">
      <c r="A85" s="6" t="s">
        <v>183</v>
      </c>
      <c r="B85" s="3">
        <v>66.115384615384613</v>
      </c>
      <c r="C85" s="3">
        <v>9.949178551325419</v>
      </c>
    </row>
    <row r="86" spans="1:3" x14ac:dyDescent="0.25">
      <c r="A86" s="6" t="s">
        <v>185</v>
      </c>
      <c r="B86" s="3">
        <v>37.884615384615387</v>
      </c>
      <c r="C86" s="3">
        <v>5.1328504601394496</v>
      </c>
    </row>
    <row r="87" spans="1:3" x14ac:dyDescent="0.25">
      <c r="A87" s="6" t="s">
        <v>187</v>
      </c>
      <c r="B87" s="3">
        <v>24.346153846153847</v>
      </c>
      <c r="C87" s="3">
        <v>2.8557634032574564</v>
      </c>
    </row>
    <row r="88" spans="1:3" x14ac:dyDescent="0.25">
      <c r="A88" s="6" t="s">
        <v>189</v>
      </c>
      <c r="B88" s="3">
        <v>46.807692307692307</v>
      </c>
      <c r="C88" s="3">
        <v>6.8353155348921852</v>
      </c>
    </row>
    <row r="89" spans="1:3" x14ac:dyDescent="0.25">
      <c r="A89" s="6" t="s">
        <v>191</v>
      </c>
      <c r="B89" s="3">
        <v>93.538461538461533</v>
      </c>
      <c r="C89" s="3">
        <v>19.206729589871912</v>
      </c>
    </row>
    <row r="90" spans="1:3" x14ac:dyDescent="0.25">
      <c r="A90" s="6" t="s">
        <v>193</v>
      </c>
      <c r="B90" s="3">
        <v>26.03846153846154</v>
      </c>
      <c r="C90" s="3">
        <v>6.1480453429087163</v>
      </c>
    </row>
    <row r="91" spans="1:3" x14ac:dyDescent="0.25">
      <c r="A91" s="6" t="s">
        <v>195</v>
      </c>
      <c r="B91" s="3">
        <v>75.384615384615387</v>
      </c>
      <c r="C91" s="3">
        <v>11.859433116559735</v>
      </c>
    </row>
    <row r="92" spans="1:3" x14ac:dyDescent="0.25">
      <c r="A92" s="6" t="s">
        <v>197</v>
      </c>
      <c r="B92" s="3">
        <v>29.96153846153846</v>
      </c>
      <c r="C92" s="3">
        <v>4.1132057495901613</v>
      </c>
    </row>
    <row r="93" spans="1:3" x14ac:dyDescent="0.25">
      <c r="A93" s="6" t="s">
        <v>199</v>
      </c>
      <c r="B93" s="3">
        <v>50.92307692307692</v>
      </c>
      <c r="C93" s="3">
        <v>7.7093350007537129</v>
      </c>
    </row>
    <row r="94" spans="1:3" x14ac:dyDescent="0.25">
      <c r="A94" s="6" t="s">
        <v>201</v>
      </c>
      <c r="B94" s="3">
        <v>31.307692307692307</v>
      </c>
      <c r="C94" s="3">
        <v>6.3609384890547744</v>
      </c>
    </row>
    <row r="95" spans="1:3" x14ac:dyDescent="0.25">
      <c r="A95" s="6" t="s">
        <v>203</v>
      </c>
      <c r="B95" s="3">
        <v>92.269230769230774</v>
      </c>
      <c r="C95" s="3">
        <v>48.268049633112533</v>
      </c>
    </row>
    <row r="96" spans="1:3" x14ac:dyDescent="0.25">
      <c r="A96" s="6" t="s">
        <v>205</v>
      </c>
      <c r="B96" s="3">
        <v>121.46153846153847</v>
      </c>
      <c r="C96" s="3">
        <v>23.546092277455774</v>
      </c>
    </row>
    <row r="97" spans="1:3" x14ac:dyDescent="0.25">
      <c r="A97" s="6" t="s">
        <v>207</v>
      </c>
      <c r="B97" s="3">
        <v>62.53846153846154</v>
      </c>
      <c r="C97" s="3">
        <v>8.0310934211015912</v>
      </c>
    </row>
    <row r="98" spans="1:3" x14ac:dyDescent="0.25">
      <c r="A98" s="6" t="s">
        <v>209</v>
      </c>
      <c r="B98" s="3">
        <v>70</v>
      </c>
      <c r="C98" s="3">
        <v>12.856126943990558</v>
      </c>
    </row>
    <row r="99" spans="1:3" x14ac:dyDescent="0.25">
      <c r="A99" s="6" t="s">
        <v>211</v>
      </c>
      <c r="B99" s="3">
        <v>74.884615384615387</v>
      </c>
      <c r="C99" s="3">
        <v>10.926397111864175</v>
      </c>
    </row>
    <row r="100" spans="1:3" x14ac:dyDescent="0.25">
      <c r="A100" s="6" t="s">
        <v>213</v>
      </c>
      <c r="B100" s="3">
        <v>115.19230769230769</v>
      </c>
      <c r="C100" s="3">
        <v>23.903170050466894</v>
      </c>
    </row>
    <row r="101" spans="1:3" x14ac:dyDescent="0.25">
      <c r="A101" s="6" t="s">
        <v>215</v>
      </c>
      <c r="B101" s="3">
        <v>99.461538461538467</v>
      </c>
      <c r="C101" s="3">
        <v>15.892717248427385</v>
      </c>
    </row>
    <row r="102" spans="1:3" x14ac:dyDescent="0.25">
      <c r="A102" s="6" t="s">
        <v>217</v>
      </c>
      <c r="B102" s="3">
        <v>25.884615384615383</v>
      </c>
      <c r="C102" s="3">
        <v>4.1019695081940704</v>
      </c>
    </row>
    <row r="103" spans="1:3" x14ac:dyDescent="0.25">
      <c r="A103" s="6" t="s">
        <v>219</v>
      </c>
      <c r="B103" s="3">
        <v>21.576923076923077</v>
      </c>
      <c r="C103" s="3">
        <v>9.691947490254277</v>
      </c>
    </row>
    <row r="104" spans="1:3" x14ac:dyDescent="0.25">
      <c r="A104" s="6" t="s">
        <v>221</v>
      </c>
      <c r="B104" s="3">
        <v>67</v>
      </c>
      <c r="C104" s="3">
        <v>12.396773773849388</v>
      </c>
    </row>
    <row r="105" spans="1:3" x14ac:dyDescent="0.25">
      <c r="A105" s="6" t="s">
        <v>223</v>
      </c>
      <c r="B105" s="3">
        <v>86.884615384615387</v>
      </c>
      <c r="C105" s="3">
        <v>13.842909876400762</v>
      </c>
    </row>
    <row r="106" spans="1:3" x14ac:dyDescent="0.25">
      <c r="A106" s="6" t="s">
        <v>225</v>
      </c>
      <c r="B106" s="3">
        <v>115.88461538461539</v>
      </c>
      <c r="C106" s="3">
        <v>19.938559472693981</v>
      </c>
    </row>
    <row r="107" spans="1:3" x14ac:dyDescent="0.25">
      <c r="A107" s="6" t="s">
        <v>227</v>
      </c>
      <c r="B107" s="3">
        <v>115.80769230769231</v>
      </c>
      <c r="C107" s="3">
        <v>12.425841559489545</v>
      </c>
    </row>
    <row r="108" spans="1:3" x14ac:dyDescent="0.25">
      <c r="A108" s="6" t="s">
        <v>229</v>
      </c>
      <c r="B108" s="3">
        <v>120.80769230769231</v>
      </c>
      <c r="C108" s="3">
        <v>12.445141158763027</v>
      </c>
    </row>
    <row r="109" spans="1:3" x14ac:dyDescent="0.25">
      <c r="A109" s="6" t="s">
        <v>231</v>
      </c>
      <c r="B109" s="3">
        <v>113.42307692307692</v>
      </c>
      <c r="C109" s="3">
        <v>41.872351810638065</v>
      </c>
    </row>
    <row r="110" spans="1:3" x14ac:dyDescent="0.25">
      <c r="A110" s="6" t="s">
        <v>233</v>
      </c>
      <c r="B110" s="3">
        <v>37.03846153846154</v>
      </c>
      <c r="C110" s="3">
        <v>5.517106264923811</v>
      </c>
    </row>
    <row r="111" spans="1:3" x14ac:dyDescent="0.25">
      <c r="A111" s="6" t="s">
        <v>235</v>
      </c>
      <c r="B111" s="3">
        <v>143.38461538461539</v>
      </c>
      <c r="C111" s="3">
        <v>27.767717836476134</v>
      </c>
    </row>
    <row r="112" spans="1:3" x14ac:dyDescent="0.25">
      <c r="A112" s="6" t="s">
        <v>237</v>
      </c>
      <c r="B112" s="3">
        <v>61.5</v>
      </c>
      <c r="C112" s="3">
        <v>9.1749659399912762</v>
      </c>
    </row>
    <row r="113" spans="1:3" x14ac:dyDescent="0.25">
      <c r="A113" s="6" t="s">
        <v>239</v>
      </c>
      <c r="B113" s="3">
        <v>62.46153846153846</v>
      </c>
      <c r="C113" s="3">
        <v>20.284438901247952</v>
      </c>
    </row>
    <row r="114" spans="1:3" x14ac:dyDescent="0.25">
      <c r="A114" s="6" t="s">
        <v>241</v>
      </c>
      <c r="B114" s="3">
        <v>55.230769230769234</v>
      </c>
      <c r="C114" s="3">
        <v>7.8450376279923359</v>
      </c>
    </row>
    <row r="115" spans="1:3" x14ac:dyDescent="0.25">
      <c r="A115" s="6" t="s">
        <v>243</v>
      </c>
      <c r="B115" s="3">
        <v>87.92307692307692</v>
      </c>
      <c r="C115" s="3">
        <v>10.345716319030124</v>
      </c>
    </row>
    <row r="116" spans="1:3" x14ac:dyDescent="0.25">
      <c r="A116" s="6" t="s">
        <v>245</v>
      </c>
      <c r="B116" s="3">
        <v>74.65384615384616</v>
      </c>
      <c r="C116" s="3">
        <v>7.2329374817832468</v>
      </c>
    </row>
    <row r="117" spans="1:3" x14ac:dyDescent="0.25">
      <c r="A117" s="6" t="s">
        <v>247</v>
      </c>
      <c r="B117" s="3">
        <v>126.38461538461539</v>
      </c>
      <c r="C117" s="3">
        <v>16.010189063410678</v>
      </c>
    </row>
    <row r="118" spans="1:3" x14ac:dyDescent="0.25">
      <c r="A118" s="6" t="s">
        <v>249</v>
      </c>
      <c r="B118" s="3">
        <v>42.846153846153847</v>
      </c>
      <c r="C118" s="3">
        <v>4.2491628134709876</v>
      </c>
    </row>
    <row r="119" spans="1:3" x14ac:dyDescent="0.25">
      <c r="A119" s="6" t="s">
        <v>251</v>
      </c>
      <c r="B119" s="3">
        <v>85.038461538461533</v>
      </c>
      <c r="C119" s="3">
        <v>12.356312619000107</v>
      </c>
    </row>
    <row r="120" spans="1:3" x14ac:dyDescent="0.25">
      <c r="A120" s="6" t="s">
        <v>253</v>
      </c>
      <c r="B120" s="3">
        <v>19.76923076923077</v>
      </c>
      <c r="C120" s="3">
        <v>3.2778980131504074</v>
      </c>
    </row>
    <row r="121" spans="1:3" x14ac:dyDescent="0.25">
      <c r="A121" s="6" t="s">
        <v>255</v>
      </c>
      <c r="B121" s="3">
        <v>53.384615384615387</v>
      </c>
      <c r="C121" s="3">
        <v>8.4193915365751799</v>
      </c>
    </row>
    <row r="122" spans="1:3" x14ac:dyDescent="0.25">
      <c r="A122" s="6" t="s">
        <v>257</v>
      </c>
      <c r="B122" s="3">
        <v>33.92307692307692</v>
      </c>
      <c r="C122" s="3">
        <v>6.260498874198932</v>
      </c>
    </row>
    <row r="123" spans="1:3" x14ac:dyDescent="0.25">
      <c r="A123" s="6" t="s">
        <v>259</v>
      </c>
      <c r="B123" s="3">
        <v>130.61538461538461</v>
      </c>
      <c r="C123" s="3">
        <v>17.68858823779204</v>
      </c>
    </row>
    <row r="124" spans="1:3" x14ac:dyDescent="0.25">
      <c r="A124" s="6" t="s">
        <v>261</v>
      </c>
      <c r="B124" s="3">
        <v>41.92307692307692</v>
      </c>
      <c r="C124" s="3">
        <v>5.2070957504012005</v>
      </c>
    </row>
    <row r="125" spans="1:3" x14ac:dyDescent="0.25">
      <c r="A125" s="6" t="s">
        <v>263</v>
      </c>
      <c r="B125" s="3">
        <v>28.153846153846153</v>
      </c>
      <c r="C125" s="3">
        <v>3.9465661802869443</v>
      </c>
    </row>
    <row r="126" spans="1:3" x14ac:dyDescent="0.25">
      <c r="A126" s="6" t="s">
        <v>265</v>
      </c>
      <c r="B126" s="3">
        <v>110.84615384615384</v>
      </c>
      <c r="C126" s="3">
        <v>13.436345657037295</v>
      </c>
    </row>
    <row r="127" spans="1:3" x14ac:dyDescent="0.25">
      <c r="A127" s="6" t="s">
        <v>267</v>
      </c>
      <c r="B127" s="3">
        <v>125.07692307692308</v>
      </c>
      <c r="C127" s="3">
        <v>21.983490308725887</v>
      </c>
    </row>
    <row r="128" spans="1:3" x14ac:dyDescent="0.25">
      <c r="A128" s="6" t="s">
        <v>269</v>
      </c>
      <c r="B128" s="3">
        <v>99.92307692307692</v>
      </c>
      <c r="C128" s="3">
        <v>11.453988220434237</v>
      </c>
    </row>
    <row r="129" spans="1:3" x14ac:dyDescent="0.25">
      <c r="A129" s="6" t="s">
        <v>271</v>
      </c>
      <c r="B129" s="3">
        <v>51.730769230769234</v>
      </c>
      <c r="C129" s="3">
        <v>6.3343993704703854</v>
      </c>
    </row>
    <row r="130" spans="1:3" x14ac:dyDescent="0.25">
      <c r="A130" s="6" t="s">
        <v>273</v>
      </c>
      <c r="B130" s="3">
        <v>127.07692307692308</v>
      </c>
      <c r="C130" s="3">
        <v>23.753607013543125</v>
      </c>
    </row>
    <row r="131" spans="1:3" x14ac:dyDescent="0.25">
      <c r="A131" s="6" t="s">
        <v>275</v>
      </c>
      <c r="B131" s="3">
        <v>54.615384615384613</v>
      </c>
      <c r="C131" s="3">
        <v>24.845244089083806</v>
      </c>
    </row>
    <row r="132" spans="1:3" x14ac:dyDescent="0.25">
      <c r="A132" s="6" t="s">
        <v>277</v>
      </c>
      <c r="B132" s="3">
        <v>68.269230769230774</v>
      </c>
      <c r="C132" s="3">
        <v>9.8206219448981749</v>
      </c>
    </row>
    <row r="133" spans="1:3" x14ac:dyDescent="0.25">
      <c r="A133" s="6" t="s">
        <v>279</v>
      </c>
      <c r="B133" s="3">
        <v>69.961538461538467</v>
      </c>
      <c r="C133" s="3">
        <v>9.6642879478242616</v>
      </c>
    </row>
    <row r="134" spans="1:3" x14ac:dyDescent="0.25">
      <c r="A134" s="6" t="s">
        <v>281</v>
      </c>
      <c r="B134" s="3">
        <v>129.5</v>
      </c>
      <c r="C134" s="3">
        <v>21.905707018948281</v>
      </c>
    </row>
    <row r="135" spans="1:3" x14ac:dyDescent="0.25">
      <c r="A135" s="6" t="s">
        <v>283</v>
      </c>
      <c r="B135" s="3">
        <v>23.26923076923077</v>
      </c>
      <c r="C135" s="3">
        <v>4.8707920695319551</v>
      </c>
    </row>
    <row r="136" spans="1:3" x14ac:dyDescent="0.25">
      <c r="A136" s="6" t="s">
        <v>285</v>
      </c>
      <c r="B136" s="3">
        <v>92.692307692307693</v>
      </c>
      <c r="C136" s="3">
        <v>16.62713259890408</v>
      </c>
    </row>
    <row r="137" spans="1:3" x14ac:dyDescent="0.25">
      <c r="A137" s="6" t="s">
        <v>287</v>
      </c>
      <c r="B137" s="3">
        <v>52.53846153846154</v>
      </c>
      <c r="C137" s="3">
        <v>6.0546231541245623</v>
      </c>
    </row>
    <row r="138" spans="1:3" x14ac:dyDescent="0.25">
      <c r="A138" s="6" t="s">
        <v>289</v>
      </c>
      <c r="B138" s="3">
        <v>65.038461538461533</v>
      </c>
      <c r="C138" s="3">
        <v>10.879267509279348</v>
      </c>
    </row>
    <row r="139" spans="1:3" x14ac:dyDescent="0.25">
      <c r="A139" s="6" t="s">
        <v>291</v>
      </c>
      <c r="B139" s="3">
        <v>99.192307692307693</v>
      </c>
      <c r="C139" s="3">
        <v>35.403976308623001</v>
      </c>
    </row>
    <row r="140" spans="1:3" x14ac:dyDescent="0.25">
      <c r="A140" s="6" t="s">
        <v>293</v>
      </c>
      <c r="B140" s="3">
        <v>69.115384615384613</v>
      </c>
      <c r="C140" s="3">
        <v>8.7330495158423194</v>
      </c>
    </row>
    <row r="141" spans="1:3" x14ac:dyDescent="0.25">
      <c r="A141" s="6" t="s">
        <v>295</v>
      </c>
      <c r="B141" s="3">
        <v>45.192307692307693</v>
      </c>
      <c r="C141" s="3">
        <v>6.7291558505906544</v>
      </c>
    </row>
    <row r="142" spans="1:3" x14ac:dyDescent="0.25">
      <c r="A142" s="6" t="s">
        <v>297</v>
      </c>
      <c r="B142" s="3">
        <v>122.5</v>
      </c>
      <c r="C142" s="3">
        <v>20.294334184693028</v>
      </c>
    </row>
    <row r="143" spans="1:3" x14ac:dyDescent="0.25">
      <c r="A143" s="6" t="s">
        <v>299</v>
      </c>
      <c r="B143" s="3">
        <v>124.07692307692308</v>
      </c>
      <c r="C143" s="3">
        <v>24.757904720590656</v>
      </c>
    </row>
    <row r="144" spans="1:3" x14ac:dyDescent="0.25">
      <c r="A144" s="6" t="s">
        <v>301</v>
      </c>
      <c r="B144" s="3">
        <v>131.19230769230768</v>
      </c>
      <c r="C144" s="3">
        <v>16.326712420494751</v>
      </c>
    </row>
    <row r="145" spans="1:3" x14ac:dyDescent="0.25">
      <c r="A145" s="6" t="s">
        <v>303</v>
      </c>
      <c r="B145" s="3">
        <v>92.538461538461533</v>
      </c>
      <c r="C145" s="3">
        <v>21.164556729080374</v>
      </c>
    </row>
    <row r="146" spans="1:3" x14ac:dyDescent="0.25">
      <c r="A146" s="6" t="s">
        <v>305</v>
      </c>
      <c r="B146" s="3">
        <v>22.5</v>
      </c>
      <c r="C146" s="3">
        <v>3.0495901363953815</v>
      </c>
    </row>
    <row r="147" spans="1:3" x14ac:dyDescent="0.25">
      <c r="A147" s="6" t="s">
        <v>307</v>
      </c>
      <c r="B147" s="3">
        <v>82.269230769230774</v>
      </c>
      <c r="C147" s="3">
        <v>10.963786544101222</v>
      </c>
    </row>
    <row r="148" spans="1:3" x14ac:dyDescent="0.25">
      <c r="A148" s="6" t="s">
        <v>309</v>
      </c>
      <c r="B148" s="3">
        <v>35.03846153846154</v>
      </c>
      <c r="C148" s="3">
        <v>7.5231949023311611</v>
      </c>
    </row>
    <row r="149" spans="1:3" x14ac:dyDescent="0.25">
      <c r="A149" s="6" t="s">
        <v>311</v>
      </c>
      <c r="B149" s="3">
        <v>27.192307692307693</v>
      </c>
      <c r="C149" s="3">
        <v>4.233383807492352</v>
      </c>
    </row>
    <row r="150" spans="1:3" x14ac:dyDescent="0.25">
      <c r="A150" s="6" t="s">
        <v>313</v>
      </c>
      <c r="B150" s="3">
        <v>50.615384615384613</v>
      </c>
      <c r="C150" s="3">
        <v>6.2996947422993248</v>
      </c>
    </row>
    <row r="151" spans="1:3" x14ac:dyDescent="0.25">
      <c r="A151" s="6" t="s">
        <v>315</v>
      </c>
      <c r="B151" s="3">
        <v>78.57692307692308</v>
      </c>
      <c r="C151" s="3">
        <v>22.597651341540921</v>
      </c>
    </row>
    <row r="152" spans="1:3" x14ac:dyDescent="0.25">
      <c r="A152" s="6" t="s">
        <v>325</v>
      </c>
      <c r="B152" s="3">
        <v>76.304871794871801</v>
      </c>
      <c r="C152" s="3">
        <v>38.326771285051862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1DDAA-98D5-4BA2-8AA1-F0C8AFB6DA6D}">
  <dimension ref="A1:O3901"/>
  <sheetViews>
    <sheetView workbookViewId="0">
      <selection activeCell="G2" sqref="G2"/>
    </sheetView>
  </sheetViews>
  <sheetFormatPr defaultRowHeight="15" x14ac:dyDescent="0.25"/>
  <cols>
    <col min="1" max="1" width="8.42578125" bestFit="1" customWidth="1"/>
    <col min="2" max="2" width="18" bestFit="1" customWidth="1"/>
    <col min="3" max="3" width="15.7109375" bestFit="1" customWidth="1"/>
    <col min="4" max="4" width="19.42578125" customWidth="1"/>
    <col min="5" max="5" width="17.85546875" customWidth="1"/>
    <col min="6" max="6" width="17.7109375" customWidth="1"/>
    <col min="7" max="7" width="16.42578125" customWidth="1"/>
    <col min="15" max="15" width="22.85546875" customWidth="1"/>
  </cols>
  <sheetData>
    <row r="1" spans="1:15" x14ac:dyDescent="0.25">
      <c r="A1" t="s">
        <v>0</v>
      </c>
      <c r="B1" t="s">
        <v>317</v>
      </c>
      <c r="C1" t="s">
        <v>318</v>
      </c>
      <c r="D1" t="s">
        <v>332</v>
      </c>
      <c r="E1" t="s">
        <v>333</v>
      </c>
      <c r="F1" t="s">
        <v>334</v>
      </c>
    </row>
    <row r="2" spans="1:15" x14ac:dyDescent="0.25">
      <c r="A2" t="s">
        <v>9</v>
      </c>
      <c r="B2" s="1">
        <v>46027</v>
      </c>
      <c r="C2">
        <v>43</v>
      </c>
      <c r="D2" t="str">
        <f t="shared" ref="D2:D65" si="0">IF(E2 &lt; 5, "", AVERAGEIFS(C:C, A:A, A2, B:B, "&gt;=" &amp; (B2-35), B:B, "&lt;=" &amp; (B2-7)))</f>
        <v/>
      </c>
      <c r="E2">
        <f t="shared" ref="E2:E65" si="1">COUNTIFS(A:A, A2, B:B, "&gt;=" &amp; (B2-35), B:B, "&lt;=" &amp; (B2-7))</f>
        <v>0</v>
      </c>
      <c r="F2" t="str">
        <f t="shared" ref="F2:F65" si="2">IF(OR(C2=0, D2=""), "", ABS(C2 - D2) / C2)</f>
        <v/>
      </c>
      <c r="O2" s="1"/>
    </row>
    <row r="3" spans="1:15" x14ac:dyDescent="0.25">
      <c r="A3" t="s">
        <v>9</v>
      </c>
      <c r="B3" s="1">
        <v>46034</v>
      </c>
      <c r="C3">
        <v>60</v>
      </c>
      <c r="D3" t="str">
        <f t="shared" si="0"/>
        <v/>
      </c>
      <c r="E3">
        <f t="shared" si="1"/>
        <v>1</v>
      </c>
      <c r="F3" t="str">
        <f t="shared" si="2"/>
        <v/>
      </c>
      <c r="O3" s="1"/>
    </row>
    <row r="4" spans="1:15" x14ac:dyDescent="0.25">
      <c r="A4" t="s">
        <v>9</v>
      </c>
      <c r="B4" s="1">
        <v>46041</v>
      </c>
      <c r="C4">
        <v>47</v>
      </c>
      <c r="D4" t="str">
        <f t="shared" si="0"/>
        <v/>
      </c>
      <c r="E4">
        <f t="shared" si="1"/>
        <v>2</v>
      </c>
      <c r="F4" t="str">
        <f t="shared" si="2"/>
        <v/>
      </c>
      <c r="O4" s="1"/>
    </row>
    <row r="5" spans="1:15" x14ac:dyDescent="0.25">
      <c r="A5" t="s">
        <v>9</v>
      </c>
      <c r="B5" s="1">
        <v>46048</v>
      </c>
      <c r="C5">
        <v>59</v>
      </c>
      <c r="D5" t="str">
        <f t="shared" si="0"/>
        <v/>
      </c>
      <c r="E5">
        <f t="shared" si="1"/>
        <v>3</v>
      </c>
      <c r="F5" t="str">
        <f t="shared" si="2"/>
        <v/>
      </c>
      <c r="O5" s="1"/>
    </row>
    <row r="6" spans="1:15" x14ac:dyDescent="0.25">
      <c r="A6" t="s">
        <v>9</v>
      </c>
      <c r="B6" s="1">
        <v>46055</v>
      </c>
      <c r="C6">
        <v>68</v>
      </c>
      <c r="D6" t="str">
        <f t="shared" si="0"/>
        <v/>
      </c>
      <c r="E6">
        <f t="shared" si="1"/>
        <v>4</v>
      </c>
      <c r="F6" t="str">
        <f t="shared" si="2"/>
        <v/>
      </c>
      <c r="O6" s="1"/>
    </row>
    <row r="7" spans="1:15" x14ac:dyDescent="0.25">
      <c r="A7" t="s">
        <v>9</v>
      </c>
      <c r="B7" s="1">
        <v>46062</v>
      </c>
      <c r="C7">
        <v>59</v>
      </c>
      <c r="D7">
        <f t="shared" si="0"/>
        <v>55.4</v>
      </c>
      <c r="E7">
        <f t="shared" si="1"/>
        <v>5</v>
      </c>
      <c r="F7">
        <f t="shared" si="2"/>
        <v>6.1016949152542396E-2</v>
      </c>
      <c r="O7" s="1"/>
    </row>
    <row r="8" spans="1:15" x14ac:dyDescent="0.25">
      <c r="A8" t="s">
        <v>9</v>
      </c>
      <c r="B8" s="1">
        <v>46069</v>
      </c>
      <c r="C8">
        <v>52</v>
      </c>
      <c r="D8">
        <f t="shared" si="0"/>
        <v>58.6</v>
      </c>
      <c r="E8">
        <f t="shared" si="1"/>
        <v>5</v>
      </c>
      <c r="F8">
        <f t="shared" si="2"/>
        <v>0.12692307692307694</v>
      </c>
    </row>
    <row r="9" spans="1:15" x14ac:dyDescent="0.25">
      <c r="A9" t="s">
        <v>9</v>
      </c>
      <c r="B9" s="1">
        <v>46076</v>
      </c>
      <c r="C9">
        <v>59</v>
      </c>
      <c r="D9">
        <f t="shared" si="0"/>
        <v>57</v>
      </c>
      <c r="E9">
        <f t="shared" si="1"/>
        <v>5</v>
      </c>
      <c r="F9">
        <f t="shared" si="2"/>
        <v>3.3898305084745763E-2</v>
      </c>
    </row>
    <row r="10" spans="1:15" x14ac:dyDescent="0.25">
      <c r="A10" t="s">
        <v>9</v>
      </c>
      <c r="B10" s="1">
        <v>46083</v>
      </c>
      <c r="C10">
        <v>61</v>
      </c>
      <c r="D10">
        <f t="shared" si="0"/>
        <v>59.4</v>
      </c>
      <c r="E10">
        <f t="shared" si="1"/>
        <v>5</v>
      </c>
      <c r="F10">
        <f t="shared" si="2"/>
        <v>2.6229508196721336E-2</v>
      </c>
    </row>
    <row r="11" spans="1:15" x14ac:dyDescent="0.25">
      <c r="A11" t="s">
        <v>9</v>
      </c>
      <c r="B11" s="1">
        <v>46090</v>
      </c>
      <c r="C11">
        <v>47</v>
      </c>
      <c r="D11">
        <f t="shared" si="0"/>
        <v>59.8</v>
      </c>
      <c r="E11">
        <f t="shared" si="1"/>
        <v>5</v>
      </c>
      <c r="F11">
        <f t="shared" si="2"/>
        <v>0.27234042553191484</v>
      </c>
    </row>
    <row r="12" spans="1:15" x14ac:dyDescent="0.25">
      <c r="A12" t="s">
        <v>9</v>
      </c>
      <c r="B12" s="1">
        <v>46097</v>
      </c>
      <c r="C12">
        <v>56</v>
      </c>
      <c r="D12">
        <f t="shared" si="0"/>
        <v>55.6</v>
      </c>
      <c r="E12">
        <f t="shared" si="1"/>
        <v>5</v>
      </c>
      <c r="F12">
        <f t="shared" si="2"/>
        <v>7.1428571428571175E-3</v>
      </c>
      <c r="O12" s="1"/>
    </row>
    <row r="13" spans="1:15" x14ac:dyDescent="0.25">
      <c r="A13" t="s">
        <v>9</v>
      </c>
      <c r="B13" s="1">
        <v>46104</v>
      </c>
      <c r="C13">
        <v>63</v>
      </c>
      <c r="D13">
        <f t="shared" si="0"/>
        <v>55</v>
      </c>
      <c r="E13">
        <f t="shared" si="1"/>
        <v>5</v>
      </c>
      <c r="F13">
        <f t="shared" si="2"/>
        <v>0.12698412698412698</v>
      </c>
    </row>
    <row r="14" spans="1:15" x14ac:dyDescent="0.25">
      <c r="A14" t="s">
        <v>9</v>
      </c>
      <c r="B14" s="1">
        <v>46111</v>
      </c>
      <c r="C14">
        <v>59</v>
      </c>
      <c r="D14">
        <f t="shared" si="0"/>
        <v>57.2</v>
      </c>
      <c r="E14">
        <f t="shared" si="1"/>
        <v>5</v>
      </c>
      <c r="F14">
        <f t="shared" si="2"/>
        <v>3.0508474576271139E-2</v>
      </c>
    </row>
    <row r="15" spans="1:15" x14ac:dyDescent="0.25">
      <c r="A15" t="s">
        <v>9</v>
      </c>
      <c r="B15" s="1">
        <v>46118</v>
      </c>
      <c r="C15">
        <v>64</v>
      </c>
      <c r="D15">
        <f t="shared" si="0"/>
        <v>57.2</v>
      </c>
      <c r="E15">
        <f t="shared" si="1"/>
        <v>5</v>
      </c>
      <c r="F15">
        <f t="shared" si="2"/>
        <v>0.10624999999999996</v>
      </c>
    </row>
    <row r="16" spans="1:15" x14ac:dyDescent="0.25">
      <c r="A16" t="s">
        <v>9</v>
      </c>
      <c r="B16" s="1">
        <v>46125</v>
      </c>
      <c r="C16">
        <v>70</v>
      </c>
      <c r="D16">
        <f t="shared" si="0"/>
        <v>57.8</v>
      </c>
      <c r="E16">
        <f t="shared" si="1"/>
        <v>5</v>
      </c>
      <c r="F16">
        <f t="shared" si="2"/>
        <v>0.17428571428571432</v>
      </c>
    </row>
    <row r="17" spans="1:6" x14ac:dyDescent="0.25">
      <c r="A17" t="s">
        <v>9</v>
      </c>
      <c r="B17" s="1">
        <v>46132</v>
      </c>
      <c r="C17">
        <v>71</v>
      </c>
      <c r="D17">
        <f t="shared" si="0"/>
        <v>62.4</v>
      </c>
      <c r="E17">
        <f t="shared" si="1"/>
        <v>5</v>
      </c>
      <c r="F17">
        <f t="shared" si="2"/>
        <v>0.1211267605633803</v>
      </c>
    </row>
    <row r="18" spans="1:6" x14ac:dyDescent="0.25">
      <c r="A18" t="s">
        <v>9</v>
      </c>
      <c r="B18" s="1">
        <v>46139</v>
      </c>
      <c r="C18">
        <v>73</v>
      </c>
      <c r="D18">
        <f t="shared" si="0"/>
        <v>65.400000000000006</v>
      </c>
      <c r="E18">
        <f t="shared" si="1"/>
        <v>5</v>
      </c>
      <c r="F18">
        <f t="shared" si="2"/>
        <v>0.10410958904109581</v>
      </c>
    </row>
    <row r="19" spans="1:6" x14ac:dyDescent="0.25">
      <c r="A19" t="s">
        <v>9</v>
      </c>
      <c r="B19" s="1">
        <v>46146</v>
      </c>
      <c r="C19">
        <v>71</v>
      </c>
      <c r="D19">
        <f t="shared" si="0"/>
        <v>67.400000000000006</v>
      </c>
      <c r="E19">
        <f t="shared" si="1"/>
        <v>5</v>
      </c>
      <c r="F19">
        <f t="shared" si="2"/>
        <v>5.0704225352112595E-2</v>
      </c>
    </row>
    <row r="20" spans="1:6" x14ac:dyDescent="0.25">
      <c r="A20" t="s">
        <v>9</v>
      </c>
      <c r="B20" s="1">
        <v>46153</v>
      </c>
      <c r="C20">
        <v>65</v>
      </c>
      <c r="D20">
        <f t="shared" si="0"/>
        <v>69.8</v>
      </c>
      <c r="E20">
        <f t="shared" si="1"/>
        <v>5</v>
      </c>
      <c r="F20">
        <f t="shared" si="2"/>
        <v>7.3846153846153798E-2</v>
      </c>
    </row>
    <row r="21" spans="1:6" x14ac:dyDescent="0.25">
      <c r="A21" t="s">
        <v>9</v>
      </c>
      <c r="B21" s="1">
        <v>46160</v>
      </c>
      <c r="C21">
        <v>68</v>
      </c>
      <c r="D21">
        <f t="shared" si="0"/>
        <v>70</v>
      </c>
      <c r="E21">
        <f t="shared" si="1"/>
        <v>5</v>
      </c>
      <c r="F21">
        <f t="shared" si="2"/>
        <v>2.9411764705882353E-2</v>
      </c>
    </row>
    <row r="22" spans="1:6" x14ac:dyDescent="0.25">
      <c r="A22" t="s">
        <v>9</v>
      </c>
      <c r="B22" s="1">
        <v>46167</v>
      </c>
      <c r="C22">
        <v>66</v>
      </c>
      <c r="D22">
        <f t="shared" si="0"/>
        <v>69.599999999999994</v>
      </c>
      <c r="E22">
        <f t="shared" si="1"/>
        <v>5</v>
      </c>
      <c r="F22">
        <f t="shared" si="2"/>
        <v>5.454545454545446E-2</v>
      </c>
    </row>
    <row r="23" spans="1:6" x14ac:dyDescent="0.25">
      <c r="A23" t="s">
        <v>9</v>
      </c>
      <c r="B23" s="1">
        <v>46174</v>
      </c>
      <c r="C23">
        <v>67</v>
      </c>
      <c r="D23">
        <f t="shared" si="0"/>
        <v>68.599999999999994</v>
      </c>
      <c r="E23">
        <f t="shared" si="1"/>
        <v>5</v>
      </c>
      <c r="F23">
        <f t="shared" si="2"/>
        <v>2.3880597014925287E-2</v>
      </c>
    </row>
    <row r="24" spans="1:6" x14ac:dyDescent="0.25">
      <c r="A24" t="s">
        <v>9</v>
      </c>
      <c r="B24" s="1">
        <v>46181</v>
      </c>
      <c r="C24">
        <v>69</v>
      </c>
      <c r="D24">
        <f t="shared" si="0"/>
        <v>67.400000000000006</v>
      </c>
      <c r="E24">
        <f t="shared" si="1"/>
        <v>5</v>
      </c>
      <c r="F24">
        <f t="shared" si="2"/>
        <v>2.3188405797101366E-2</v>
      </c>
    </row>
    <row r="25" spans="1:6" x14ac:dyDescent="0.25">
      <c r="A25" t="s">
        <v>9</v>
      </c>
      <c r="B25" s="1">
        <v>46188</v>
      </c>
      <c r="C25">
        <v>57</v>
      </c>
      <c r="D25">
        <f t="shared" si="0"/>
        <v>67</v>
      </c>
      <c r="E25">
        <f t="shared" si="1"/>
        <v>5</v>
      </c>
      <c r="F25">
        <f t="shared" si="2"/>
        <v>0.17543859649122806</v>
      </c>
    </row>
    <row r="26" spans="1:6" x14ac:dyDescent="0.25">
      <c r="A26" t="s">
        <v>9</v>
      </c>
      <c r="B26" s="1">
        <v>46195</v>
      </c>
      <c r="C26">
        <v>69</v>
      </c>
      <c r="D26">
        <f t="shared" si="0"/>
        <v>65.400000000000006</v>
      </c>
      <c r="E26">
        <f t="shared" si="1"/>
        <v>5</v>
      </c>
      <c r="F26">
        <f t="shared" si="2"/>
        <v>5.2173913043478182E-2</v>
      </c>
    </row>
    <row r="27" spans="1:6" x14ac:dyDescent="0.25">
      <c r="A27" t="s">
        <v>9</v>
      </c>
      <c r="B27" s="1">
        <v>46202</v>
      </c>
      <c r="C27">
        <v>72</v>
      </c>
      <c r="D27">
        <f t="shared" si="0"/>
        <v>65.599999999999994</v>
      </c>
      <c r="E27">
        <f t="shared" si="1"/>
        <v>5</v>
      </c>
      <c r="F27">
        <f t="shared" si="2"/>
        <v>8.8888888888888962E-2</v>
      </c>
    </row>
    <row r="28" spans="1:6" x14ac:dyDescent="0.25">
      <c r="A28" t="s">
        <v>12</v>
      </c>
      <c r="B28" s="1">
        <v>46027</v>
      </c>
      <c r="C28">
        <v>64</v>
      </c>
      <c r="D28" t="str">
        <f t="shared" si="0"/>
        <v/>
      </c>
      <c r="E28">
        <f t="shared" si="1"/>
        <v>0</v>
      </c>
      <c r="F28" t="str">
        <f t="shared" si="2"/>
        <v/>
      </c>
    </row>
    <row r="29" spans="1:6" x14ac:dyDescent="0.25">
      <c r="A29" t="s">
        <v>12</v>
      </c>
      <c r="B29" s="1">
        <v>46034</v>
      </c>
      <c r="C29">
        <v>59</v>
      </c>
      <c r="D29" t="str">
        <f t="shared" si="0"/>
        <v/>
      </c>
      <c r="E29">
        <f t="shared" si="1"/>
        <v>1</v>
      </c>
      <c r="F29" t="str">
        <f t="shared" si="2"/>
        <v/>
      </c>
    </row>
    <row r="30" spans="1:6" x14ac:dyDescent="0.25">
      <c r="A30" t="s">
        <v>12</v>
      </c>
      <c r="B30" s="1">
        <v>46041</v>
      </c>
      <c r="C30">
        <v>87</v>
      </c>
      <c r="D30" t="str">
        <f t="shared" si="0"/>
        <v/>
      </c>
      <c r="E30">
        <f t="shared" si="1"/>
        <v>2</v>
      </c>
      <c r="F30" t="str">
        <f t="shared" si="2"/>
        <v/>
      </c>
    </row>
    <row r="31" spans="1:6" x14ac:dyDescent="0.25">
      <c r="A31" t="s">
        <v>12</v>
      </c>
      <c r="B31" s="1">
        <v>46048</v>
      </c>
      <c r="C31">
        <v>83</v>
      </c>
      <c r="D31" t="str">
        <f t="shared" si="0"/>
        <v/>
      </c>
      <c r="E31">
        <f t="shared" si="1"/>
        <v>3</v>
      </c>
      <c r="F31" t="str">
        <f t="shared" si="2"/>
        <v/>
      </c>
    </row>
    <row r="32" spans="1:6" x14ac:dyDescent="0.25">
      <c r="A32" t="s">
        <v>12</v>
      </c>
      <c r="B32" s="1">
        <v>46055</v>
      </c>
      <c r="C32">
        <v>66</v>
      </c>
      <c r="D32" t="str">
        <f t="shared" si="0"/>
        <v/>
      </c>
      <c r="E32">
        <f t="shared" si="1"/>
        <v>4</v>
      </c>
      <c r="F32" t="str">
        <f t="shared" si="2"/>
        <v/>
      </c>
    </row>
    <row r="33" spans="1:6" x14ac:dyDescent="0.25">
      <c r="A33" t="s">
        <v>12</v>
      </c>
      <c r="B33" s="1">
        <v>46062</v>
      </c>
      <c r="C33">
        <v>69</v>
      </c>
      <c r="D33">
        <f t="shared" si="0"/>
        <v>71.8</v>
      </c>
      <c r="E33">
        <f t="shared" si="1"/>
        <v>5</v>
      </c>
      <c r="F33">
        <f t="shared" si="2"/>
        <v>4.0579710144927492E-2</v>
      </c>
    </row>
    <row r="34" spans="1:6" x14ac:dyDescent="0.25">
      <c r="A34" t="s">
        <v>12</v>
      </c>
      <c r="B34" s="1">
        <v>46069</v>
      </c>
      <c r="C34">
        <v>91</v>
      </c>
      <c r="D34">
        <f t="shared" si="0"/>
        <v>72.8</v>
      </c>
      <c r="E34">
        <f t="shared" si="1"/>
        <v>5</v>
      </c>
      <c r="F34">
        <f t="shared" si="2"/>
        <v>0.20000000000000004</v>
      </c>
    </row>
    <row r="35" spans="1:6" x14ac:dyDescent="0.25">
      <c r="A35" t="s">
        <v>12</v>
      </c>
      <c r="B35" s="1">
        <v>46076</v>
      </c>
      <c r="C35">
        <v>91</v>
      </c>
      <c r="D35">
        <f t="shared" si="0"/>
        <v>79.2</v>
      </c>
      <c r="E35">
        <f t="shared" si="1"/>
        <v>5</v>
      </c>
      <c r="F35">
        <f t="shared" si="2"/>
        <v>0.12967032967032963</v>
      </c>
    </row>
    <row r="36" spans="1:6" x14ac:dyDescent="0.25">
      <c r="A36" t="s">
        <v>12</v>
      </c>
      <c r="B36" s="1">
        <v>46083</v>
      </c>
      <c r="C36">
        <v>97</v>
      </c>
      <c r="D36">
        <f t="shared" si="0"/>
        <v>80</v>
      </c>
      <c r="E36">
        <f t="shared" si="1"/>
        <v>5</v>
      </c>
      <c r="F36">
        <f t="shared" si="2"/>
        <v>0.17525773195876287</v>
      </c>
    </row>
    <row r="37" spans="1:6" x14ac:dyDescent="0.25">
      <c r="A37" t="s">
        <v>12</v>
      </c>
      <c r="B37" s="1">
        <v>46090</v>
      </c>
      <c r="C37">
        <v>81</v>
      </c>
      <c r="D37">
        <f t="shared" si="0"/>
        <v>82.8</v>
      </c>
      <c r="E37">
        <f t="shared" si="1"/>
        <v>5</v>
      </c>
      <c r="F37">
        <f t="shared" si="2"/>
        <v>2.2222222222222188E-2</v>
      </c>
    </row>
    <row r="38" spans="1:6" x14ac:dyDescent="0.25">
      <c r="A38" t="s">
        <v>12</v>
      </c>
      <c r="B38" s="1">
        <v>46097</v>
      </c>
      <c r="C38">
        <v>99</v>
      </c>
      <c r="D38">
        <f t="shared" si="0"/>
        <v>85.8</v>
      </c>
      <c r="E38">
        <f t="shared" si="1"/>
        <v>5</v>
      </c>
      <c r="F38">
        <f t="shared" si="2"/>
        <v>0.13333333333333336</v>
      </c>
    </row>
    <row r="39" spans="1:6" x14ac:dyDescent="0.25">
      <c r="A39" t="s">
        <v>12</v>
      </c>
      <c r="B39" s="1">
        <v>46104</v>
      </c>
      <c r="C39">
        <v>66</v>
      </c>
      <c r="D39">
        <f t="shared" si="0"/>
        <v>91.8</v>
      </c>
      <c r="E39">
        <f t="shared" si="1"/>
        <v>5</v>
      </c>
      <c r="F39">
        <f t="shared" si="2"/>
        <v>0.39090909090909087</v>
      </c>
    </row>
    <row r="40" spans="1:6" x14ac:dyDescent="0.25">
      <c r="A40" t="s">
        <v>12</v>
      </c>
      <c r="B40" s="1">
        <v>46111</v>
      </c>
      <c r="C40">
        <v>83</v>
      </c>
      <c r="D40">
        <f t="shared" si="0"/>
        <v>86.8</v>
      </c>
      <c r="E40">
        <f t="shared" si="1"/>
        <v>5</v>
      </c>
      <c r="F40">
        <f t="shared" si="2"/>
        <v>4.5783132530120445E-2</v>
      </c>
    </row>
    <row r="41" spans="1:6" x14ac:dyDescent="0.25">
      <c r="A41" t="s">
        <v>12</v>
      </c>
      <c r="B41" s="1">
        <v>46118</v>
      </c>
      <c r="C41">
        <v>71</v>
      </c>
      <c r="D41">
        <f t="shared" si="0"/>
        <v>85.2</v>
      </c>
      <c r="E41">
        <f t="shared" si="1"/>
        <v>5</v>
      </c>
      <c r="F41">
        <f t="shared" si="2"/>
        <v>0.20000000000000004</v>
      </c>
    </row>
    <row r="42" spans="1:6" x14ac:dyDescent="0.25">
      <c r="A42" t="s">
        <v>12</v>
      </c>
      <c r="B42" s="1">
        <v>46125</v>
      </c>
      <c r="C42">
        <v>99</v>
      </c>
      <c r="D42">
        <f t="shared" si="0"/>
        <v>80</v>
      </c>
      <c r="E42">
        <f t="shared" si="1"/>
        <v>5</v>
      </c>
      <c r="F42">
        <f t="shared" si="2"/>
        <v>0.19191919191919191</v>
      </c>
    </row>
    <row r="43" spans="1:6" x14ac:dyDescent="0.25">
      <c r="A43" t="s">
        <v>12</v>
      </c>
      <c r="B43" s="1">
        <v>46132</v>
      </c>
      <c r="C43">
        <v>123</v>
      </c>
      <c r="D43">
        <f t="shared" si="0"/>
        <v>83.6</v>
      </c>
      <c r="E43">
        <f t="shared" si="1"/>
        <v>5</v>
      </c>
      <c r="F43">
        <f t="shared" si="2"/>
        <v>0.32032520325203256</v>
      </c>
    </row>
    <row r="44" spans="1:6" x14ac:dyDescent="0.25">
      <c r="A44" t="s">
        <v>12</v>
      </c>
      <c r="B44" s="1">
        <v>46139</v>
      </c>
      <c r="C44">
        <v>87</v>
      </c>
      <c r="D44">
        <f t="shared" si="0"/>
        <v>88.4</v>
      </c>
      <c r="E44">
        <f t="shared" si="1"/>
        <v>5</v>
      </c>
      <c r="F44">
        <f t="shared" si="2"/>
        <v>1.6091954022988571E-2</v>
      </c>
    </row>
    <row r="45" spans="1:6" x14ac:dyDescent="0.25">
      <c r="A45" t="s">
        <v>12</v>
      </c>
      <c r="B45" s="1">
        <v>46146</v>
      </c>
      <c r="C45">
        <v>90</v>
      </c>
      <c r="D45">
        <f t="shared" si="0"/>
        <v>92.6</v>
      </c>
      <c r="E45">
        <f t="shared" si="1"/>
        <v>5</v>
      </c>
      <c r="F45">
        <f t="shared" si="2"/>
        <v>2.8888888888888825E-2</v>
      </c>
    </row>
    <row r="46" spans="1:6" x14ac:dyDescent="0.25">
      <c r="A46" t="s">
        <v>12</v>
      </c>
      <c r="B46" s="1">
        <v>46153</v>
      </c>
      <c r="C46">
        <v>89</v>
      </c>
      <c r="D46">
        <f t="shared" si="0"/>
        <v>94</v>
      </c>
      <c r="E46">
        <f t="shared" si="1"/>
        <v>5</v>
      </c>
      <c r="F46">
        <f t="shared" si="2"/>
        <v>5.6179775280898875E-2</v>
      </c>
    </row>
    <row r="47" spans="1:6" x14ac:dyDescent="0.25">
      <c r="A47" t="s">
        <v>12</v>
      </c>
      <c r="B47" s="1">
        <v>46160</v>
      </c>
      <c r="C47">
        <v>117</v>
      </c>
      <c r="D47">
        <f t="shared" si="0"/>
        <v>97.6</v>
      </c>
      <c r="E47">
        <f t="shared" si="1"/>
        <v>5</v>
      </c>
      <c r="F47">
        <f t="shared" si="2"/>
        <v>0.16581196581196586</v>
      </c>
    </row>
    <row r="48" spans="1:6" x14ac:dyDescent="0.25">
      <c r="A48" t="s">
        <v>12</v>
      </c>
      <c r="B48" s="1">
        <v>46167</v>
      </c>
      <c r="C48">
        <v>114</v>
      </c>
      <c r="D48">
        <f t="shared" si="0"/>
        <v>101.2</v>
      </c>
      <c r="E48">
        <f t="shared" si="1"/>
        <v>5</v>
      </c>
      <c r="F48">
        <f t="shared" si="2"/>
        <v>0.11228070175438594</v>
      </c>
    </row>
    <row r="49" spans="1:6" x14ac:dyDescent="0.25">
      <c r="A49" t="s">
        <v>12</v>
      </c>
      <c r="B49" s="1">
        <v>46174</v>
      </c>
      <c r="C49">
        <v>92</v>
      </c>
      <c r="D49">
        <f t="shared" si="0"/>
        <v>99.4</v>
      </c>
      <c r="E49">
        <f t="shared" si="1"/>
        <v>5</v>
      </c>
      <c r="F49">
        <f t="shared" si="2"/>
        <v>8.0434782608695715E-2</v>
      </c>
    </row>
    <row r="50" spans="1:6" x14ac:dyDescent="0.25">
      <c r="A50" t="s">
        <v>12</v>
      </c>
      <c r="B50" s="1">
        <v>46181</v>
      </c>
      <c r="C50">
        <v>101</v>
      </c>
      <c r="D50">
        <f t="shared" si="0"/>
        <v>100.4</v>
      </c>
      <c r="E50">
        <f t="shared" si="1"/>
        <v>5</v>
      </c>
      <c r="F50">
        <f t="shared" si="2"/>
        <v>5.9405940594058843E-3</v>
      </c>
    </row>
    <row r="51" spans="1:6" x14ac:dyDescent="0.25">
      <c r="A51" t="s">
        <v>12</v>
      </c>
      <c r="B51" s="1">
        <v>46188</v>
      </c>
      <c r="C51">
        <v>142</v>
      </c>
      <c r="D51">
        <f t="shared" si="0"/>
        <v>102.6</v>
      </c>
      <c r="E51">
        <f t="shared" si="1"/>
        <v>5</v>
      </c>
      <c r="F51">
        <f t="shared" si="2"/>
        <v>0.27746478873239439</v>
      </c>
    </row>
    <row r="52" spans="1:6" x14ac:dyDescent="0.25">
      <c r="A52" t="s">
        <v>12</v>
      </c>
      <c r="B52" s="1">
        <v>46195</v>
      </c>
      <c r="C52">
        <v>85</v>
      </c>
      <c r="D52">
        <f t="shared" si="0"/>
        <v>113.2</v>
      </c>
      <c r="E52">
        <f t="shared" si="1"/>
        <v>5</v>
      </c>
      <c r="F52">
        <f t="shared" si="2"/>
        <v>0.33176470588235296</v>
      </c>
    </row>
    <row r="53" spans="1:6" x14ac:dyDescent="0.25">
      <c r="A53" t="s">
        <v>12</v>
      </c>
      <c r="B53" s="1">
        <v>46202</v>
      </c>
      <c r="C53">
        <v>108</v>
      </c>
      <c r="D53">
        <f t="shared" si="0"/>
        <v>106.8</v>
      </c>
      <c r="E53">
        <f t="shared" si="1"/>
        <v>5</v>
      </c>
      <c r="F53">
        <f t="shared" si="2"/>
        <v>1.1111111111111138E-2</v>
      </c>
    </row>
    <row r="54" spans="1:6" x14ac:dyDescent="0.25">
      <c r="A54" t="s">
        <v>15</v>
      </c>
      <c r="B54" s="1">
        <v>46027</v>
      </c>
      <c r="C54">
        <v>91</v>
      </c>
      <c r="D54" t="str">
        <f t="shared" si="0"/>
        <v/>
      </c>
      <c r="E54">
        <f t="shared" si="1"/>
        <v>0</v>
      </c>
      <c r="F54" t="str">
        <f t="shared" si="2"/>
        <v/>
      </c>
    </row>
    <row r="55" spans="1:6" x14ac:dyDescent="0.25">
      <c r="A55" t="s">
        <v>15</v>
      </c>
      <c r="B55" s="1">
        <v>46034</v>
      </c>
      <c r="C55">
        <v>98</v>
      </c>
      <c r="D55" t="str">
        <f t="shared" si="0"/>
        <v/>
      </c>
      <c r="E55">
        <f t="shared" si="1"/>
        <v>1</v>
      </c>
      <c r="F55" t="str">
        <f t="shared" si="2"/>
        <v/>
      </c>
    </row>
    <row r="56" spans="1:6" x14ac:dyDescent="0.25">
      <c r="A56" t="s">
        <v>15</v>
      </c>
      <c r="B56" s="1">
        <v>46041</v>
      </c>
      <c r="C56">
        <v>99</v>
      </c>
      <c r="D56" t="str">
        <f t="shared" si="0"/>
        <v/>
      </c>
      <c r="E56">
        <f t="shared" si="1"/>
        <v>2</v>
      </c>
      <c r="F56" t="str">
        <f t="shared" si="2"/>
        <v/>
      </c>
    </row>
    <row r="57" spans="1:6" x14ac:dyDescent="0.25">
      <c r="A57" t="s">
        <v>15</v>
      </c>
      <c r="B57" s="1">
        <v>46048</v>
      </c>
      <c r="C57">
        <v>104</v>
      </c>
      <c r="D57" t="str">
        <f t="shared" si="0"/>
        <v/>
      </c>
      <c r="E57">
        <f t="shared" si="1"/>
        <v>3</v>
      </c>
      <c r="F57" t="str">
        <f t="shared" si="2"/>
        <v/>
      </c>
    </row>
    <row r="58" spans="1:6" x14ac:dyDescent="0.25">
      <c r="A58" t="s">
        <v>15</v>
      </c>
      <c r="B58" s="1">
        <v>46055</v>
      </c>
      <c r="C58">
        <v>116</v>
      </c>
      <c r="D58" t="str">
        <f t="shared" si="0"/>
        <v/>
      </c>
      <c r="E58">
        <f t="shared" si="1"/>
        <v>4</v>
      </c>
      <c r="F58" t="str">
        <f t="shared" si="2"/>
        <v/>
      </c>
    </row>
    <row r="59" spans="1:6" x14ac:dyDescent="0.25">
      <c r="A59" t="s">
        <v>15</v>
      </c>
      <c r="B59" s="1">
        <v>46062</v>
      </c>
      <c r="C59">
        <v>92</v>
      </c>
      <c r="D59">
        <f t="shared" si="0"/>
        <v>101.6</v>
      </c>
      <c r="E59">
        <f t="shared" si="1"/>
        <v>5</v>
      </c>
      <c r="F59">
        <f t="shared" si="2"/>
        <v>0.10434782608695646</v>
      </c>
    </row>
    <row r="60" spans="1:6" x14ac:dyDescent="0.25">
      <c r="A60" t="s">
        <v>15</v>
      </c>
      <c r="B60" s="1">
        <v>46069</v>
      </c>
      <c r="C60">
        <v>107</v>
      </c>
      <c r="D60">
        <f t="shared" si="0"/>
        <v>101.8</v>
      </c>
      <c r="E60">
        <f t="shared" si="1"/>
        <v>5</v>
      </c>
      <c r="F60">
        <f t="shared" si="2"/>
        <v>4.8598130841121523E-2</v>
      </c>
    </row>
    <row r="61" spans="1:6" x14ac:dyDescent="0.25">
      <c r="A61" t="s">
        <v>15</v>
      </c>
      <c r="B61" s="1">
        <v>46076</v>
      </c>
      <c r="C61">
        <v>97</v>
      </c>
      <c r="D61">
        <f t="shared" si="0"/>
        <v>103.6</v>
      </c>
      <c r="E61">
        <f t="shared" si="1"/>
        <v>5</v>
      </c>
      <c r="F61">
        <f t="shared" si="2"/>
        <v>6.8041237113402001E-2</v>
      </c>
    </row>
    <row r="62" spans="1:6" x14ac:dyDescent="0.25">
      <c r="A62" t="s">
        <v>15</v>
      </c>
      <c r="B62" s="1">
        <v>46083</v>
      </c>
      <c r="C62">
        <v>104</v>
      </c>
      <c r="D62">
        <f t="shared" si="0"/>
        <v>103.2</v>
      </c>
      <c r="E62">
        <f t="shared" si="1"/>
        <v>5</v>
      </c>
      <c r="F62">
        <f t="shared" si="2"/>
        <v>7.692307692307665E-3</v>
      </c>
    </row>
    <row r="63" spans="1:6" x14ac:dyDescent="0.25">
      <c r="A63" t="s">
        <v>15</v>
      </c>
      <c r="B63" s="1">
        <v>46090</v>
      </c>
      <c r="C63">
        <v>98</v>
      </c>
      <c r="D63">
        <f t="shared" si="0"/>
        <v>103.2</v>
      </c>
      <c r="E63">
        <f t="shared" si="1"/>
        <v>5</v>
      </c>
      <c r="F63">
        <f t="shared" si="2"/>
        <v>5.3061224489795944E-2</v>
      </c>
    </row>
    <row r="64" spans="1:6" x14ac:dyDescent="0.25">
      <c r="A64" t="s">
        <v>15</v>
      </c>
      <c r="B64" s="1">
        <v>46097</v>
      </c>
      <c r="C64">
        <v>87</v>
      </c>
      <c r="D64">
        <f t="shared" si="0"/>
        <v>99.6</v>
      </c>
      <c r="E64">
        <f t="shared" si="1"/>
        <v>5</v>
      </c>
      <c r="F64">
        <f t="shared" si="2"/>
        <v>0.14482758620689648</v>
      </c>
    </row>
    <row r="65" spans="1:6" x14ac:dyDescent="0.25">
      <c r="A65" t="s">
        <v>15</v>
      </c>
      <c r="B65" s="1">
        <v>46104</v>
      </c>
      <c r="C65">
        <v>103</v>
      </c>
      <c r="D65">
        <f t="shared" si="0"/>
        <v>98.6</v>
      </c>
      <c r="E65">
        <f t="shared" si="1"/>
        <v>5</v>
      </c>
      <c r="F65">
        <f t="shared" si="2"/>
        <v>4.2718446601941802E-2</v>
      </c>
    </row>
    <row r="66" spans="1:6" x14ac:dyDescent="0.25">
      <c r="A66" t="s">
        <v>15</v>
      </c>
      <c r="B66" s="1">
        <v>46111</v>
      </c>
      <c r="C66">
        <v>91</v>
      </c>
      <c r="D66">
        <f t="shared" ref="D66:D129" si="3">IF(E66 &lt; 5, "", AVERAGEIFS(C:C, A:A, A66, B:B, "&gt;=" &amp; (B66-35), B:B, "&lt;=" &amp; (B66-7)))</f>
        <v>97.8</v>
      </c>
      <c r="E66">
        <f t="shared" ref="E66:E129" si="4">COUNTIFS(A:A, A66, B:B, "&gt;=" &amp; (B66-35), B:B, "&lt;=" &amp; (B66-7))</f>
        <v>5</v>
      </c>
      <c r="F66">
        <f t="shared" ref="F66:F129" si="5">IF(OR(C66=0, D66=""), "", ABS(C66 - D66) / C66)</f>
        <v>7.4725274725274696E-2</v>
      </c>
    </row>
    <row r="67" spans="1:6" x14ac:dyDescent="0.25">
      <c r="A67" t="s">
        <v>15</v>
      </c>
      <c r="B67" s="1">
        <v>46118</v>
      </c>
      <c r="C67">
        <v>130</v>
      </c>
      <c r="D67">
        <f t="shared" si="3"/>
        <v>96.6</v>
      </c>
      <c r="E67">
        <f t="shared" si="4"/>
        <v>5</v>
      </c>
      <c r="F67">
        <f t="shared" si="5"/>
        <v>0.25692307692307698</v>
      </c>
    </row>
    <row r="68" spans="1:6" x14ac:dyDescent="0.25">
      <c r="A68" t="s">
        <v>15</v>
      </c>
      <c r="B68" s="1">
        <v>46125</v>
      </c>
      <c r="C68">
        <v>94</v>
      </c>
      <c r="D68">
        <f t="shared" si="3"/>
        <v>101.8</v>
      </c>
      <c r="E68">
        <f t="shared" si="4"/>
        <v>5</v>
      </c>
      <c r="F68">
        <f t="shared" si="5"/>
        <v>8.2978723404255286E-2</v>
      </c>
    </row>
    <row r="69" spans="1:6" x14ac:dyDescent="0.25">
      <c r="A69" t="s">
        <v>15</v>
      </c>
      <c r="B69" s="1">
        <v>46132</v>
      </c>
      <c r="C69">
        <v>106</v>
      </c>
      <c r="D69">
        <f t="shared" si="3"/>
        <v>101</v>
      </c>
      <c r="E69">
        <f t="shared" si="4"/>
        <v>5</v>
      </c>
      <c r="F69">
        <f t="shared" si="5"/>
        <v>4.716981132075472E-2</v>
      </c>
    </row>
    <row r="70" spans="1:6" x14ac:dyDescent="0.25">
      <c r="A70" t="s">
        <v>15</v>
      </c>
      <c r="B70" s="1">
        <v>46139</v>
      </c>
      <c r="C70">
        <v>118</v>
      </c>
      <c r="D70">
        <f t="shared" si="3"/>
        <v>104.8</v>
      </c>
      <c r="E70">
        <f t="shared" si="4"/>
        <v>5</v>
      </c>
      <c r="F70">
        <f t="shared" si="5"/>
        <v>0.11186440677966104</v>
      </c>
    </row>
    <row r="71" spans="1:6" x14ac:dyDescent="0.25">
      <c r="A71" t="s">
        <v>15</v>
      </c>
      <c r="B71" s="1">
        <v>46146</v>
      </c>
      <c r="C71">
        <v>110</v>
      </c>
      <c r="D71">
        <f t="shared" si="3"/>
        <v>107.8</v>
      </c>
      <c r="E71">
        <f t="shared" si="4"/>
        <v>5</v>
      </c>
      <c r="F71">
        <f t="shared" si="5"/>
        <v>2.0000000000000025E-2</v>
      </c>
    </row>
    <row r="72" spans="1:6" x14ac:dyDescent="0.25">
      <c r="A72" t="s">
        <v>15</v>
      </c>
      <c r="B72" s="1">
        <v>46153</v>
      </c>
      <c r="C72">
        <v>134</v>
      </c>
      <c r="D72">
        <f t="shared" si="3"/>
        <v>111.6</v>
      </c>
      <c r="E72">
        <f t="shared" si="4"/>
        <v>5</v>
      </c>
      <c r="F72">
        <f t="shared" si="5"/>
        <v>0.16716417910447764</v>
      </c>
    </row>
    <row r="73" spans="1:6" x14ac:dyDescent="0.25">
      <c r="A73" t="s">
        <v>15</v>
      </c>
      <c r="B73" s="1">
        <v>46160</v>
      </c>
      <c r="C73">
        <v>116</v>
      </c>
      <c r="D73">
        <f t="shared" si="3"/>
        <v>112.4</v>
      </c>
      <c r="E73">
        <f t="shared" si="4"/>
        <v>5</v>
      </c>
      <c r="F73">
        <f t="shared" si="5"/>
        <v>3.1034482758620641E-2</v>
      </c>
    </row>
    <row r="74" spans="1:6" x14ac:dyDescent="0.25">
      <c r="A74" t="s">
        <v>15</v>
      </c>
      <c r="B74" s="1">
        <v>46167</v>
      </c>
      <c r="C74">
        <v>100</v>
      </c>
      <c r="D74">
        <f t="shared" si="3"/>
        <v>116.8</v>
      </c>
      <c r="E74">
        <f t="shared" si="4"/>
        <v>5</v>
      </c>
      <c r="F74">
        <f t="shared" si="5"/>
        <v>0.16799999999999998</v>
      </c>
    </row>
    <row r="75" spans="1:6" x14ac:dyDescent="0.25">
      <c r="A75" t="s">
        <v>15</v>
      </c>
      <c r="B75" s="1">
        <v>46174</v>
      </c>
      <c r="C75">
        <v>134</v>
      </c>
      <c r="D75">
        <f t="shared" si="3"/>
        <v>115.6</v>
      </c>
      <c r="E75">
        <f t="shared" si="4"/>
        <v>5</v>
      </c>
      <c r="F75">
        <f t="shared" si="5"/>
        <v>0.13731343283582093</v>
      </c>
    </row>
    <row r="76" spans="1:6" x14ac:dyDescent="0.25">
      <c r="A76" t="s">
        <v>15</v>
      </c>
      <c r="B76" s="1">
        <v>46181</v>
      </c>
      <c r="C76">
        <v>117</v>
      </c>
      <c r="D76">
        <f t="shared" si="3"/>
        <v>118.8</v>
      </c>
      <c r="E76">
        <f t="shared" si="4"/>
        <v>5</v>
      </c>
      <c r="F76">
        <f t="shared" si="5"/>
        <v>1.5384615384615361E-2</v>
      </c>
    </row>
    <row r="77" spans="1:6" x14ac:dyDescent="0.25">
      <c r="A77" t="s">
        <v>15</v>
      </c>
      <c r="B77" s="1">
        <v>46188</v>
      </c>
      <c r="C77">
        <v>162</v>
      </c>
      <c r="D77">
        <f t="shared" si="3"/>
        <v>120.2</v>
      </c>
      <c r="E77">
        <f t="shared" si="4"/>
        <v>5</v>
      </c>
      <c r="F77">
        <f t="shared" si="5"/>
        <v>0.25802469135802469</v>
      </c>
    </row>
    <row r="78" spans="1:6" x14ac:dyDescent="0.25">
      <c r="A78" t="s">
        <v>15</v>
      </c>
      <c r="B78" s="1">
        <v>46195</v>
      </c>
      <c r="C78">
        <v>112</v>
      </c>
      <c r="D78">
        <f t="shared" si="3"/>
        <v>125.8</v>
      </c>
      <c r="E78">
        <f t="shared" si="4"/>
        <v>5</v>
      </c>
      <c r="F78">
        <f t="shared" si="5"/>
        <v>0.12321428571428569</v>
      </c>
    </row>
    <row r="79" spans="1:6" x14ac:dyDescent="0.25">
      <c r="A79" t="s">
        <v>15</v>
      </c>
      <c r="B79" s="1">
        <v>46202</v>
      </c>
      <c r="C79">
        <v>119</v>
      </c>
      <c r="D79">
        <f t="shared" si="3"/>
        <v>125</v>
      </c>
      <c r="E79">
        <f t="shared" si="4"/>
        <v>5</v>
      </c>
      <c r="F79">
        <f t="shared" si="5"/>
        <v>5.0420168067226892E-2</v>
      </c>
    </row>
    <row r="80" spans="1:6" x14ac:dyDescent="0.25">
      <c r="A80" t="s">
        <v>18</v>
      </c>
      <c r="B80" s="1">
        <v>46027</v>
      </c>
      <c r="C80">
        <v>114</v>
      </c>
      <c r="D80" t="str">
        <f t="shared" si="3"/>
        <v/>
      </c>
      <c r="E80">
        <f t="shared" si="4"/>
        <v>0</v>
      </c>
      <c r="F80" t="str">
        <f t="shared" si="5"/>
        <v/>
      </c>
    </row>
    <row r="81" spans="1:6" x14ac:dyDescent="0.25">
      <c r="A81" t="s">
        <v>18</v>
      </c>
      <c r="B81" s="1">
        <v>46034</v>
      </c>
      <c r="C81">
        <v>127</v>
      </c>
      <c r="D81" t="str">
        <f t="shared" si="3"/>
        <v/>
      </c>
      <c r="E81">
        <f t="shared" si="4"/>
        <v>1</v>
      </c>
      <c r="F81" t="str">
        <f t="shared" si="5"/>
        <v/>
      </c>
    </row>
    <row r="82" spans="1:6" x14ac:dyDescent="0.25">
      <c r="A82" t="s">
        <v>18</v>
      </c>
      <c r="B82" s="1">
        <v>46041</v>
      </c>
      <c r="C82">
        <v>123</v>
      </c>
      <c r="D82" t="str">
        <f t="shared" si="3"/>
        <v/>
      </c>
      <c r="E82">
        <f t="shared" si="4"/>
        <v>2</v>
      </c>
      <c r="F82" t="str">
        <f t="shared" si="5"/>
        <v/>
      </c>
    </row>
    <row r="83" spans="1:6" x14ac:dyDescent="0.25">
      <c r="A83" t="s">
        <v>18</v>
      </c>
      <c r="B83" s="1">
        <v>46048</v>
      </c>
      <c r="C83">
        <v>114</v>
      </c>
      <c r="D83" t="str">
        <f t="shared" si="3"/>
        <v/>
      </c>
      <c r="E83">
        <f t="shared" si="4"/>
        <v>3</v>
      </c>
      <c r="F83" t="str">
        <f t="shared" si="5"/>
        <v/>
      </c>
    </row>
    <row r="84" spans="1:6" x14ac:dyDescent="0.25">
      <c r="A84" t="s">
        <v>18</v>
      </c>
      <c r="B84" s="1">
        <v>46055</v>
      </c>
      <c r="C84">
        <v>109</v>
      </c>
      <c r="D84" t="str">
        <f t="shared" si="3"/>
        <v/>
      </c>
      <c r="E84">
        <f t="shared" si="4"/>
        <v>4</v>
      </c>
      <c r="F84" t="str">
        <f t="shared" si="5"/>
        <v/>
      </c>
    </row>
    <row r="85" spans="1:6" x14ac:dyDescent="0.25">
      <c r="A85" t="s">
        <v>18</v>
      </c>
      <c r="B85" s="1">
        <v>46062</v>
      </c>
      <c r="C85">
        <v>119</v>
      </c>
      <c r="D85">
        <f t="shared" si="3"/>
        <v>117.4</v>
      </c>
      <c r="E85">
        <f t="shared" si="4"/>
        <v>5</v>
      </c>
      <c r="F85">
        <f t="shared" si="5"/>
        <v>1.3445378151260456E-2</v>
      </c>
    </row>
    <row r="86" spans="1:6" x14ac:dyDescent="0.25">
      <c r="A86" t="s">
        <v>18</v>
      </c>
      <c r="B86" s="1">
        <v>46069</v>
      </c>
      <c r="C86">
        <v>141</v>
      </c>
      <c r="D86">
        <f t="shared" si="3"/>
        <v>118.4</v>
      </c>
      <c r="E86">
        <f t="shared" si="4"/>
        <v>5</v>
      </c>
      <c r="F86">
        <f t="shared" si="5"/>
        <v>0.16028368794326237</v>
      </c>
    </row>
    <row r="87" spans="1:6" x14ac:dyDescent="0.25">
      <c r="A87" t="s">
        <v>18</v>
      </c>
      <c r="B87" s="1">
        <v>46076</v>
      </c>
      <c r="C87">
        <v>118</v>
      </c>
      <c r="D87">
        <f t="shared" si="3"/>
        <v>121.2</v>
      </c>
      <c r="E87">
        <f t="shared" si="4"/>
        <v>5</v>
      </c>
      <c r="F87">
        <f t="shared" si="5"/>
        <v>2.7118644067796634E-2</v>
      </c>
    </row>
    <row r="88" spans="1:6" x14ac:dyDescent="0.25">
      <c r="A88" t="s">
        <v>18</v>
      </c>
      <c r="B88" s="1">
        <v>46083</v>
      </c>
      <c r="C88">
        <v>143</v>
      </c>
      <c r="D88">
        <f t="shared" si="3"/>
        <v>120.2</v>
      </c>
      <c r="E88">
        <f t="shared" si="4"/>
        <v>5</v>
      </c>
      <c r="F88">
        <f t="shared" si="5"/>
        <v>0.15944055944055943</v>
      </c>
    </row>
    <row r="89" spans="1:6" x14ac:dyDescent="0.25">
      <c r="A89" t="s">
        <v>18</v>
      </c>
      <c r="B89" s="1">
        <v>46090</v>
      </c>
      <c r="C89">
        <v>116</v>
      </c>
      <c r="D89">
        <f t="shared" si="3"/>
        <v>126</v>
      </c>
      <c r="E89">
        <f t="shared" si="4"/>
        <v>5</v>
      </c>
      <c r="F89">
        <f t="shared" si="5"/>
        <v>8.6206896551724144E-2</v>
      </c>
    </row>
    <row r="90" spans="1:6" x14ac:dyDescent="0.25">
      <c r="A90" t="s">
        <v>18</v>
      </c>
      <c r="B90" s="1">
        <v>46097</v>
      </c>
      <c r="C90">
        <v>125</v>
      </c>
      <c r="D90">
        <f t="shared" si="3"/>
        <v>127.4</v>
      </c>
      <c r="E90">
        <f t="shared" si="4"/>
        <v>5</v>
      </c>
      <c r="F90">
        <f t="shared" si="5"/>
        <v>1.9200000000000047E-2</v>
      </c>
    </row>
    <row r="91" spans="1:6" x14ac:dyDescent="0.25">
      <c r="A91" t="s">
        <v>18</v>
      </c>
      <c r="B91" s="1">
        <v>46104</v>
      </c>
      <c r="C91">
        <v>112</v>
      </c>
      <c r="D91">
        <f t="shared" si="3"/>
        <v>128.6</v>
      </c>
      <c r="E91">
        <f t="shared" si="4"/>
        <v>5</v>
      </c>
      <c r="F91">
        <f t="shared" si="5"/>
        <v>0.14821428571428566</v>
      </c>
    </row>
    <row r="92" spans="1:6" x14ac:dyDescent="0.25">
      <c r="A92" t="s">
        <v>18</v>
      </c>
      <c r="B92" s="1">
        <v>46111</v>
      </c>
      <c r="C92">
        <v>132</v>
      </c>
      <c r="D92">
        <f t="shared" si="3"/>
        <v>122.8</v>
      </c>
      <c r="E92">
        <f t="shared" si="4"/>
        <v>5</v>
      </c>
      <c r="F92">
        <f t="shared" si="5"/>
        <v>6.9696969696969716E-2</v>
      </c>
    </row>
    <row r="93" spans="1:6" x14ac:dyDescent="0.25">
      <c r="A93" t="s">
        <v>18</v>
      </c>
      <c r="B93" s="1">
        <v>46118</v>
      </c>
      <c r="C93">
        <v>140</v>
      </c>
      <c r="D93">
        <f t="shared" si="3"/>
        <v>125.6</v>
      </c>
      <c r="E93">
        <f t="shared" si="4"/>
        <v>5</v>
      </c>
      <c r="F93">
        <f t="shared" si="5"/>
        <v>0.1028571428571429</v>
      </c>
    </row>
    <row r="94" spans="1:6" x14ac:dyDescent="0.25">
      <c r="A94" t="s">
        <v>18</v>
      </c>
      <c r="B94" s="1">
        <v>46125</v>
      </c>
      <c r="C94">
        <v>126</v>
      </c>
      <c r="D94">
        <f t="shared" si="3"/>
        <v>125</v>
      </c>
      <c r="E94">
        <f t="shared" si="4"/>
        <v>5</v>
      </c>
      <c r="F94">
        <f t="shared" si="5"/>
        <v>7.9365079365079361E-3</v>
      </c>
    </row>
    <row r="95" spans="1:6" x14ac:dyDescent="0.25">
      <c r="A95" t="s">
        <v>18</v>
      </c>
      <c r="B95" s="1">
        <v>46132</v>
      </c>
      <c r="C95">
        <v>127</v>
      </c>
      <c r="D95">
        <f t="shared" si="3"/>
        <v>127</v>
      </c>
      <c r="E95">
        <f t="shared" si="4"/>
        <v>5</v>
      </c>
      <c r="F95">
        <f t="shared" si="5"/>
        <v>0</v>
      </c>
    </row>
    <row r="96" spans="1:6" x14ac:dyDescent="0.25">
      <c r="A96" t="s">
        <v>18</v>
      </c>
      <c r="B96" s="1">
        <v>46139</v>
      </c>
      <c r="C96">
        <v>134</v>
      </c>
      <c r="D96">
        <f t="shared" si="3"/>
        <v>127.4</v>
      </c>
      <c r="E96">
        <f t="shared" si="4"/>
        <v>5</v>
      </c>
      <c r="F96">
        <f t="shared" si="5"/>
        <v>4.9253731343283542E-2</v>
      </c>
    </row>
    <row r="97" spans="1:6" x14ac:dyDescent="0.25">
      <c r="A97" t="s">
        <v>18</v>
      </c>
      <c r="B97" s="1">
        <v>46146</v>
      </c>
      <c r="C97">
        <v>140</v>
      </c>
      <c r="D97">
        <f t="shared" si="3"/>
        <v>131.80000000000001</v>
      </c>
      <c r="E97">
        <f t="shared" si="4"/>
        <v>5</v>
      </c>
      <c r="F97">
        <f t="shared" si="5"/>
        <v>5.857142857142849E-2</v>
      </c>
    </row>
    <row r="98" spans="1:6" x14ac:dyDescent="0.25">
      <c r="A98" t="s">
        <v>18</v>
      </c>
      <c r="B98" s="1">
        <v>46153</v>
      </c>
      <c r="C98">
        <v>125</v>
      </c>
      <c r="D98">
        <f t="shared" si="3"/>
        <v>133.4</v>
      </c>
      <c r="E98">
        <f t="shared" si="4"/>
        <v>5</v>
      </c>
      <c r="F98">
        <f t="shared" si="5"/>
        <v>6.7200000000000051E-2</v>
      </c>
    </row>
    <row r="99" spans="1:6" x14ac:dyDescent="0.25">
      <c r="A99" t="s">
        <v>18</v>
      </c>
      <c r="B99" s="1">
        <v>46160</v>
      </c>
      <c r="C99">
        <v>142</v>
      </c>
      <c r="D99">
        <f t="shared" si="3"/>
        <v>130.4</v>
      </c>
      <c r="E99">
        <f t="shared" si="4"/>
        <v>5</v>
      </c>
      <c r="F99">
        <f t="shared" si="5"/>
        <v>8.1690140845070383E-2</v>
      </c>
    </row>
    <row r="100" spans="1:6" x14ac:dyDescent="0.25">
      <c r="A100" t="s">
        <v>18</v>
      </c>
      <c r="B100" s="1">
        <v>46167</v>
      </c>
      <c r="C100">
        <v>145</v>
      </c>
      <c r="D100">
        <f t="shared" si="3"/>
        <v>133.6</v>
      </c>
      <c r="E100">
        <f t="shared" si="4"/>
        <v>5</v>
      </c>
      <c r="F100">
        <f t="shared" si="5"/>
        <v>7.8620689655172452E-2</v>
      </c>
    </row>
    <row r="101" spans="1:6" x14ac:dyDescent="0.25">
      <c r="A101" t="s">
        <v>18</v>
      </c>
      <c r="B101" s="1">
        <v>46174</v>
      </c>
      <c r="C101">
        <v>145</v>
      </c>
      <c r="D101">
        <f t="shared" si="3"/>
        <v>137.19999999999999</v>
      </c>
      <c r="E101">
        <f t="shared" si="4"/>
        <v>5</v>
      </c>
      <c r="F101">
        <f t="shared" si="5"/>
        <v>5.3793103448275939E-2</v>
      </c>
    </row>
    <row r="102" spans="1:6" x14ac:dyDescent="0.25">
      <c r="A102" t="s">
        <v>18</v>
      </c>
      <c r="B102" s="1">
        <v>46181</v>
      </c>
      <c r="C102">
        <v>137</v>
      </c>
      <c r="D102">
        <f t="shared" si="3"/>
        <v>139.4</v>
      </c>
      <c r="E102">
        <f t="shared" si="4"/>
        <v>5</v>
      </c>
      <c r="F102">
        <f t="shared" si="5"/>
        <v>1.7518248175182525E-2</v>
      </c>
    </row>
    <row r="103" spans="1:6" x14ac:dyDescent="0.25">
      <c r="A103" t="s">
        <v>18</v>
      </c>
      <c r="B103" s="1">
        <v>46188</v>
      </c>
      <c r="C103">
        <v>143</v>
      </c>
      <c r="D103">
        <f t="shared" si="3"/>
        <v>138.80000000000001</v>
      </c>
      <c r="E103">
        <f t="shared" si="4"/>
        <v>5</v>
      </c>
      <c r="F103">
        <f t="shared" si="5"/>
        <v>2.937062937062929E-2</v>
      </c>
    </row>
    <row r="104" spans="1:6" x14ac:dyDescent="0.25">
      <c r="A104" t="s">
        <v>18</v>
      </c>
      <c r="B104" s="1">
        <v>46195</v>
      </c>
      <c r="C104">
        <v>136</v>
      </c>
      <c r="D104">
        <f t="shared" si="3"/>
        <v>142.4</v>
      </c>
      <c r="E104">
        <f t="shared" si="4"/>
        <v>5</v>
      </c>
      <c r="F104">
        <f t="shared" si="5"/>
        <v>4.7058823529411806E-2</v>
      </c>
    </row>
    <row r="105" spans="1:6" x14ac:dyDescent="0.25">
      <c r="A105" t="s">
        <v>18</v>
      </c>
      <c r="B105" s="1">
        <v>46202</v>
      </c>
      <c r="C105">
        <v>148</v>
      </c>
      <c r="D105">
        <f t="shared" si="3"/>
        <v>141.19999999999999</v>
      </c>
      <c r="E105">
        <f t="shared" si="4"/>
        <v>5</v>
      </c>
      <c r="F105">
        <f t="shared" si="5"/>
        <v>4.5945945945946025E-2</v>
      </c>
    </row>
    <row r="106" spans="1:6" x14ac:dyDescent="0.25">
      <c r="A106" t="s">
        <v>21</v>
      </c>
      <c r="B106" s="1">
        <v>46027</v>
      </c>
      <c r="C106">
        <v>61</v>
      </c>
      <c r="D106" t="str">
        <f t="shared" si="3"/>
        <v/>
      </c>
      <c r="E106">
        <f t="shared" si="4"/>
        <v>0</v>
      </c>
      <c r="F106" t="str">
        <f t="shared" si="5"/>
        <v/>
      </c>
    </row>
    <row r="107" spans="1:6" x14ac:dyDescent="0.25">
      <c r="A107" t="s">
        <v>21</v>
      </c>
      <c r="B107" s="1">
        <v>46034</v>
      </c>
      <c r="C107">
        <v>64</v>
      </c>
      <c r="D107" t="str">
        <f t="shared" si="3"/>
        <v/>
      </c>
      <c r="E107">
        <f t="shared" si="4"/>
        <v>1</v>
      </c>
      <c r="F107" t="str">
        <f t="shared" si="5"/>
        <v/>
      </c>
    </row>
    <row r="108" spans="1:6" x14ac:dyDescent="0.25">
      <c r="A108" t="s">
        <v>21</v>
      </c>
      <c r="B108" s="1">
        <v>46041</v>
      </c>
      <c r="C108">
        <v>61</v>
      </c>
      <c r="D108" t="str">
        <f t="shared" si="3"/>
        <v/>
      </c>
      <c r="E108">
        <f t="shared" si="4"/>
        <v>2</v>
      </c>
      <c r="F108" t="str">
        <f t="shared" si="5"/>
        <v/>
      </c>
    </row>
    <row r="109" spans="1:6" x14ac:dyDescent="0.25">
      <c r="A109" t="s">
        <v>21</v>
      </c>
      <c r="B109" s="1">
        <v>46048</v>
      </c>
      <c r="C109">
        <v>62</v>
      </c>
      <c r="D109" t="str">
        <f t="shared" si="3"/>
        <v/>
      </c>
      <c r="E109">
        <f t="shared" si="4"/>
        <v>3</v>
      </c>
      <c r="F109" t="str">
        <f t="shared" si="5"/>
        <v/>
      </c>
    </row>
    <row r="110" spans="1:6" x14ac:dyDescent="0.25">
      <c r="A110" t="s">
        <v>21</v>
      </c>
      <c r="B110" s="1">
        <v>46055</v>
      </c>
      <c r="C110">
        <v>86</v>
      </c>
      <c r="D110" t="str">
        <f t="shared" si="3"/>
        <v/>
      </c>
      <c r="E110">
        <f t="shared" si="4"/>
        <v>4</v>
      </c>
      <c r="F110" t="str">
        <f t="shared" si="5"/>
        <v/>
      </c>
    </row>
    <row r="111" spans="1:6" x14ac:dyDescent="0.25">
      <c r="A111" t="s">
        <v>21</v>
      </c>
      <c r="B111" s="1">
        <v>46062</v>
      </c>
      <c r="C111">
        <v>89</v>
      </c>
      <c r="D111">
        <f t="shared" si="3"/>
        <v>66.8</v>
      </c>
      <c r="E111">
        <f t="shared" si="4"/>
        <v>5</v>
      </c>
      <c r="F111">
        <f t="shared" si="5"/>
        <v>0.24943820224719104</v>
      </c>
    </row>
    <row r="112" spans="1:6" x14ac:dyDescent="0.25">
      <c r="A112" t="s">
        <v>21</v>
      </c>
      <c r="B112" s="1">
        <v>46069</v>
      </c>
      <c r="C112">
        <v>73</v>
      </c>
      <c r="D112">
        <f t="shared" si="3"/>
        <v>72.400000000000006</v>
      </c>
      <c r="E112">
        <f t="shared" si="4"/>
        <v>5</v>
      </c>
      <c r="F112">
        <f t="shared" si="5"/>
        <v>8.2191780821917037E-3</v>
      </c>
    </row>
    <row r="113" spans="1:6" x14ac:dyDescent="0.25">
      <c r="A113" t="s">
        <v>21</v>
      </c>
      <c r="B113" s="1">
        <v>46076</v>
      </c>
      <c r="C113">
        <v>79</v>
      </c>
      <c r="D113">
        <f t="shared" si="3"/>
        <v>74.2</v>
      </c>
      <c r="E113">
        <f t="shared" si="4"/>
        <v>5</v>
      </c>
      <c r="F113">
        <f t="shared" si="5"/>
        <v>6.0759493670886039E-2</v>
      </c>
    </row>
    <row r="114" spans="1:6" x14ac:dyDescent="0.25">
      <c r="A114" t="s">
        <v>21</v>
      </c>
      <c r="B114" s="1">
        <v>46083</v>
      </c>
      <c r="C114">
        <v>86</v>
      </c>
      <c r="D114">
        <f t="shared" si="3"/>
        <v>77.8</v>
      </c>
      <c r="E114">
        <f t="shared" si="4"/>
        <v>5</v>
      </c>
      <c r="F114">
        <f t="shared" si="5"/>
        <v>9.5348837209302359E-2</v>
      </c>
    </row>
    <row r="115" spans="1:6" x14ac:dyDescent="0.25">
      <c r="A115" t="s">
        <v>21</v>
      </c>
      <c r="B115" s="1">
        <v>46090</v>
      </c>
      <c r="C115">
        <v>83</v>
      </c>
      <c r="D115">
        <f t="shared" si="3"/>
        <v>82.6</v>
      </c>
      <c r="E115">
        <f t="shared" si="4"/>
        <v>5</v>
      </c>
      <c r="F115">
        <f t="shared" si="5"/>
        <v>4.819277108433803E-3</v>
      </c>
    </row>
    <row r="116" spans="1:6" x14ac:dyDescent="0.25">
      <c r="A116" t="s">
        <v>21</v>
      </c>
      <c r="B116" s="1">
        <v>46097</v>
      </c>
      <c r="C116">
        <v>88</v>
      </c>
      <c r="D116">
        <f t="shared" si="3"/>
        <v>82</v>
      </c>
      <c r="E116">
        <f t="shared" si="4"/>
        <v>5</v>
      </c>
      <c r="F116">
        <f t="shared" si="5"/>
        <v>6.8181818181818177E-2</v>
      </c>
    </row>
    <row r="117" spans="1:6" x14ac:dyDescent="0.25">
      <c r="A117" t="s">
        <v>21</v>
      </c>
      <c r="B117" s="1">
        <v>46104</v>
      </c>
      <c r="C117">
        <v>64</v>
      </c>
      <c r="D117">
        <f t="shared" si="3"/>
        <v>81.8</v>
      </c>
      <c r="E117">
        <f t="shared" si="4"/>
        <v>5</v>
      </c>
      <c r="F117">
        <f t="shared" si="5"/>
        <v>0.27812499999999996</v>
      </c>
    </row>
    <row r="118" spans="1:6" x14ac:dyDescent="0.25">
      <c r="A118" t="s">
        <v>21</v>
      </c>
      <c r="B118" s="1">
        <v>46111</v>
      </c>
      <c r="C118">
        <v>71</v>
      </c>
      <c r="D118">
        <f t="shared" si="3"/>
        <v>80</v>
      </c>
      <c r="E118">
        <f t="shared" si="4"/>
        <v>5</v>
      </c>
      <c r="F118">
        <f t="shared" si="5"/>
        <v>0.12676056338028169</v>
      </c>
    </row>
    <row r="119" spans="1:6" x14ac:dyDescent="0.25">
      <c r="A119" t="s">
        <v>21</v>
      </c>
      <c r="B119" s="1">
        <v>46118</v>
      </c>
      <c r="C119">
        <v>83</v>
      </c>
      <c r="D119">
        <f t="shared" si="3"/>
        <v>78.400000000000006</v>
      </c>
      <c r="E119">
        <f t="shared" si="4"/>
        <v>5</v>
      </c>
      <c r="F119">
        <f t="shared" si="5"/>
        <v>5.5421686746987886E-2</v>
      </c>
    </row>
    <row r="120" spans="1:6" x14ac:dyDescent="0.25">
      <c r="A120" t="s">
        <v>21</v>
      </c>
      <c r="B120" s="1">
        <v>46125</v>
      </c>
      <c r="C120">
        <v>94</v>
      </c>
      <c r="D120">
        <f t="shared" si="3"/>
        <v>77.8</v>
      </c>
      <c r="E120">
        <f t="shared" si="4"/>
        <v>5</v>
      </c>
      <c r="F120">
        <f t="shared" si="5"/>
        <v>0.17234042553191492</v>
      </c>
    </row>
    <row r="121" spans="1:6" x14ac:dyDescent="0.25">
      <c r="A121" t="s">
        <v>21</v>
      </c>
      <c r="B121" s="1">
        <v>46132</v>
      </c>
      <c r="C121">
        <v>82</v>
      </c>
      <c r="D121">
        <f t="shared" si="3"/>
        <v>80</v>
      </c>
      <c r="E121">
        <f t="shared" si="4"/>
        <v>5</v>
      </c>
      <c r="F121">
        <f t="shared" si="5"/>
        <v>2.4390243902439025E-2</v>
      </c>
    </row>
    <row r="122" spans="1:6" x14ac:dyDescent="0.25">
      <c r="A122" t="s">
        <v>21</v>
      </c>
      <c r="B122" s="1">
        <v>46139</v>
      </c>
      <c r="C122">
        <v>73</v>
      </c>
      <c r="D122">
        <f t="shared" si="3"/>
        <v>78.8</v>
      </c>
      <c r="E122">
        <f t="shared" si="4"/>
        <v>5</v>
      </c>
      <c r="F122">
        <f t="shared" si="5"/>
        <v>7.9452054794520513E-2</v>
      </c>
    </row>
    <row r="123" spans="1:6" x14ac:dyDescent="0.25">
      <c r="A123" t="s">
        <v>21</v>
      </c>
      <c r="B123" s="1">
        <v>46146</v>
      </c>
      <c r="C123">
        <v>79</v>
      </c>
      <c r="D123">
        <f t="shared" si="3"/>
        <v>80.599999999999994</v>
      </c>
      <c r="E123">
        <f t="shared" si="4"/>
        <v>5</v>
      </c>
      <c r="F123">
        <f t="shared" si="5"/>
        <v>2.0253164556961953E-2</v>
      </c>
    </row>
    <row r="124" spans="1:6" x14ac:dyDescent="0.25">
      <c r="A124" t="s">
        <v>21</v>
      </c>
      <c r="B124" s="1">
        <v>46153</v>
      </c>
      <c r="C124">
        <v>77</v>
      </c>
      <c r="D124">
        <f t="shared" si="3"/>
        <v>82.2</v>
      </c>
      <c r="E124">
        <f t="shared" si="4"/>
        <v>5</v>
      </c>
      <c r="F124">
        <f t="shared" si="5"/>
        <v>6.7532467532467569E-2</v>
      </c>
    </row>
    <row r="125" spans="1:6" x14ac:dyDescent="0.25">
      <c r="A125" t="s">
        <v>21</v>
      </c>
      <c r="B125" s="1">
        <v>46160</v>
      </c>
      <c r="C125">
        <v>76</v>
      </c>
      <c r="D125">
        <f t="shared" si="3"/>
        <v>81</v>
      </c>
      <c r="E125">
        <f t="shared" si="4"/>
        <v>5</v>
      </c>
      <c r="F125">
        <f t="shared" si="5"/>
        <v>6.5789473684210523E-2</v>
      </c>
    </row>
    <row r="126" spans="1:6" x14ac:dyDescent="0.25">
      <c r="A126" t="s">
        <v>21</v>
      </c>
      <c r="B126" s="1">
        <v>46167</v>
      </c>
      <c r="C126">
        <v>100</v>
      </c>
      <c r="D126">
        <f t="shared" si="3"/>
        <v>77.400000000000006</v>
      </c>
      <c r="E126">
        <f t="shared" si="4"/>
        <v>5</v>
      </c>
      <c r="F126">
        <f t="shared" si="5"/>
        <v>0.22599999999999995</v>
      </c>
    </row>
    <row r="127" spans="1:6" x14ac:dyDescent="0.25">
      <c r="A127" t="s">
        <v>21</v>
      </c>
      <c r="B127" s="1">
        <v>46174</v>
      </c>
      <c r="C127">
        <v>80</v>
      </c>
      <c r="D127">
        <f t="shared" si="3"/>
        <v>81</v>
      </c>
      <c r="E127">
        <f t="shared" si="4"/>
        <v>5</v>
      </c>
      <c r="F127">
        <f t="shared" si="5"/>
        <v>1.2500000000000001E-2</v>
      </c>
    </row>
    <row r="128" spans="1:6" x14ac:dyDescent="0.25">
      <c r="A128" t="s">
        <v>21</v>
      </c>
      <c r="B128" s="1">
        <v>46181</v>
      </c>
      <c r="C128">
        <v>87</v>
      </c>
      <c r="D128">
        <f t="shared" si="3"/>
        <v>82.4</v>
      </c>
      <c r="E128">
        <f t="shared" si="4"/>
        <v>5</v>
      </c>
      <c r="F128">
        <f t="shared" si="5"/>
        <v>5.2873563218390741E-2</v>
      </c>
    </row>
    <row r="129" spans="1:6" x14ac:dyDescent="0.25">
      <c r="A129" t="s">
        <v>21</v>
      </c>
      <c r="B129" s="1">
        <v>46188</v>
      </c>
      <c r="C129">
        <v>109</v>
      </c>
      <c r="D129">
        <f t="shared" si="3"/>
        <v>84</v>
      </c>
      <c r="E129">
        <f t="shared" si="4"/>
        <v>5</v>
      </c>
      <c r="F129">
        <f t="shared" si="5"/>
        <v>0.22935779816513763</v>
      </c>
    </row>
    <row r="130" spans="1:6" x14ac:dyDescent="0.25">
      <c r="A130" t="s">
        <v>21</v>
      </c>
      <c r="B130" s="1">
        <v>46195</v>
      </c>
      <c r="C130">
        <v>101</v>
      </c>
      <c r="D130">
        <f t="shared" ref="D130:D193" si="6">IF(E130 &lt; 5, "", AVERAGEIFS(C:C, A:A, A130, B:B, "&gt;=" &amp; (B130-35), B:B, "&lt;=" &amp; (B130-7)))</f>
        <v>90.4</v>
      </c>
      <c r="E130">
        <f t="shared" ref="E130:E193" si="7">COUNTIFS(A:A, A130, B:B, "&gt;=" &amp; (B130-35), B:B, "&lt;=" &amp; (B130-7))</f>
        <v>5</v>
      </c>
      <c r="F130">
        <f t="shared" ref="F130:F193" si="8">IF(OR(C130=0, D130=""), "", ABS(C130 - D130) / C130)</f>
        <v>0.10495049504950489</v>
      </c>
    </row>
    <row r="131" spans="1:6" x14ac:dyDescent="0.25">
      <c r="A131" t="s">
        <v>21</v>
      </c>
      <c r="B131" s="1">
        <v>46202</v>
      </c>
      <c r="C131">
        <v>93</v>
      </c>
      <c r="D131">
        <f t="shared" si="6"/>
        <v>95.4</v>
      </c>
      <c r="E131">
        <f t="shared" si="7"/>
        <v>5</v>
      </c>
      <c r="F131">
        <f t="shared" si="8"/>
        <v>2.5806451612903288E-2</v>
      </c>
    </row>
    <row r="132" spans="1:6" x14ac:dyDescent="0.25">
      <c r="A132" t="s">
        <v>24</v>
      </c>
      <c r="B132" s="1">
        <v>46027</v>
      </c>
      <c r="C132">
        <v>74</v>
      </c>
      <c r="D132" t="str">
        <f t="shared" si="6"/>
        <v/>
      </c>
      <c r="E132">
        <f t="shared" si="7"/>
        <v>0</v>
      </c>
      <c r="F132" t="str">
        <f t="shared" si="8"/>
        <v/>
      </c>
    </row>
    <row r="133" spans="1:6" x14ac:dyDescent="0.25">
      <c r="A133" t="s">
        <v>24</v>
      </c>
      <c r="B133" s="1">
        <v>46034</v>
      </c>
      <c r="C133">
        <v>79</v>
      </c>
      <c r="D133" t="str">
        <f t="shared" si="6"/>
        <v/>
      </c>
      <c r="E133">
        <f t="shared" si="7"/>
        <v>1</v>
      </c>
      <c r="F133" t="str">
        <f t="shared" si="8"/>
        <v/>
      </c>
    </row>
    <row r="134" spans="1:6" x14ac:dyDescent="0.25">
      <c r="A134" t="s">
        <v>24</v>
      </c>
      <c r="B134" s="1">
        <v>46041</v>
      </c>
      <c r="C134">
        <v>75</v>
      </c>
      <c r="D134" t="str">
        <f t="shared" si="6"/>
        <v/>
      </c>
      <c r="E134">
        <f t="shared" si="7"/>
        <v>2</v>
      </c>
      <c r="F134" t="str">
        <f t="shared" si="8"/>
        <v/>
      </c>
    </row>
    <row r="135" spans="1:6" x14ac:dyDescent="0.25">
      <c r="A135" t="s">
        <v>24</v>
      </c>
      <c r="B135" s="1">
        <v>46048</v>
      </c>
      <c r="C135">
        <v>74</v>
      </c>
      <c r="D135" t="str">
        <f t="shared" si="6"/>
        <v/>
      </c>
      <c r="E135">
        <f t="shared" si="7"/>
        <v>3</v>
      </c>
      <c r="F135" t="str">
        <f t="shared" si="8"/>
        <v/>
      </c>
    </row>
    <row r="136" spans="1:6" x14ac:dyDescent="0.25">
      <c r="A136" t="s">
        <v>24</v>
      </c>
      <c r="B136" s="1">
        <v>46055</v>
      </c>
      <c r="C136">
        <v>67</v>
      </c>
      <c r="D136" t="str">
        <f t="shared" si="6"/>
        <v/>
      </c>
      <c r="E136">
        <f t="shared" si="7"/>
        <v>4</v>
      </c>
      <c r="F136" t="str">
        <f t="shared" si="8"/>
        <v/>
      </c>
    </row>
    <row r="137" spans="1:6" x14ac:dyDescent="0.25">
      <c r="A137" t="s">
        <v>24</v>
      </c>
      <c r="B137" s="1">
        <v>46062</v>
      </c>
      <c r="C137">
        <v>67</v>
      </c>
      <c r="D137">
        <f t="shared" si="6"/>
        <v>73.8</v>
      </c>
      <c r="E137">
        <f t="shared" si="7"/>
        <v>5</v>
      </c>
      <c r="F137">
        <f t="shared" si="8"/>
        <v>0.10149253731343279</v>
      </c>
    </row>
    <row r="138" spans="1:6" x14ac:dyDescent="0.25">
      <c r="A138" t="s">
        <v>24</v>
      </c>
      <c r="B138" s="1">
        <v>46069</v>
      </c>
      <c r="C138">
        <v>64</v>
      </c>
      <c r="D138">
        <f t="shared" si="6"/>
        <v>72.400000000000006</v>
      </c>
      <c r="E138">
        <f t="shared" si="7"/>
        <v>5</v>
      </c>
      <c r="F138">
        <f t="shared" si="8"/>
        <v>0.13125000000000009</v>
      </c>
    </row>
    <row r="139" spans="1:6" x14ac:dyDescent="0.25">
      <c r="A139" t="s">
        <v>24</v>
      </c>
      <c r="B139" s="1">
        <v>46076</v>
      </c>
      <c r="C139">
        <v>76</v>
      </c>
      <c r="D139">
        <f t="shared" si="6"/>
        <v>69.400000000000006</v>
      </c>
      <c r="E139">
        <f t="shared" si="7"/>
        <v>5</v>
      </c>
      <c r="F139">
        <f t="shared" si="8"/>
        <v>8.6842105263157818E-2</v>
      </c>
    </row>
    <row r="140" spans="1:6" x14ac:dyDescent="0.25">
      <c r="A140" t="s">
        <v>24</v>
      </c>
      <c r="B140" s="1">
        <v>46083</v>
      </c>
      <c r="C140">
        <v>67</v>
      </c>
      <c r="D140">
        <f t="shared" si="6"/>
        <v>69.599999999999994</v>
      </c>
      <c r="E140">
        <f t="shared" si="7"/>
        <v>5</v>
      </c>
      <c r="F140">
        <f t="shared" si="8"/>
        <v>3.8805970149253646E-2</v>
      </c>
    </row>
    <row r="141" spans="1:6" x14ac:dyDescent="0.25">
      <c r="A141" t="s">
        <v>24</v>
      </c>
      <c r="B141" s="1">
        <v>46090</v>
      </c>
      <c r="C141">
        <v>66</v>
      </c>
      <c r="D141">
        <f t="shared" si="6"/>
        <v>68.2</v>
      </c>
      <c r="E141">
        <f t="shared" si="7"/>
        <v>5</v>
      </c>
      <c r="F141">
        <f t="shared" si="8"/>
        <v>3.3333333333333375E-2</v>
      </c>
    </row>
    <row r="142" spans="1:6" x14ac:dyDescent="0.25">
      <c r="A142" t="s">
        <v>24</v>
      </c>
      <c r="B142" s="1">
        <v>46097</v>
      </c>
      <c r="C142">
        <v>67</v>
      </c>
      <c r="D142">
        <f t="shared" si="6"/>
        <v>68</v>
      </c>
      <c r="E142">
        <f t="shared" si="7"/>
        <v>5</v>
      </c>
      <c r="F142">
        <f t="shared" si="8"/>
        <v>1.4925373134328358E-2</v>
      </c>
    </row>
    <row r="143" spans="1:6" x14ac:dyDescent="0.25">
      <c r="A143" t="s">
        <v>24</v>
      </c>
      <c r="B143" s="1">
        <v>46104</v>
      </c>
      <c r="C143">
        <v>80</v>
      </c>
      <c r="D143">
        <f t="shared" si="6"/>
        <v>68</v>
      </c>
      <c r="E143">
        <f t="shared" si="7"/>
        <v>5</v>
      </c>
      <c r="F143">
        <f t="shared" si="8"/>
        <v>0.15</v>
      </c>
    </row>
    <row r="144" spans="1:6" x14ac:dyDescent="0.25">
      <c r="A144" t="s">
        <v>24</v>
      </c>
      <c r="B144" s="1">
        <v>46111</v>
      </c>
      <c r="C144">
        <v>74</v>
      </c>
      <c r="D144">
        <f t="shared" si="6"/>
        <v>71.2</v>
      </c>
      <c r="E144">
        <f t="shared" si="7"/>
        <v>5</v>
      </c>
      <c r="F144">
        <f t="shared" si="8"/>
        <v>3.7837837837837798E-2</v>
      </c>
    </row>
    <row r="145" spans="1:6" x14ac:dyDescent="0.25">
      <c r="A145" t="s">
        <v>24</v>
      </c>
      <c r="B145" s="1">
        <v>46118</v>
      </c>
      <c r="C145">
        <v>77</v>
      </c>
      <c r="D145">
        <f t="shared" si="6"/>
        <v>70.8</v>
      </c>
      <c r="E145">
        <f t="shared" si="7"/>
        <v>5</v>
      </c>
      <c r="F145">
        <f t="shared" si="8"/>
        <v>8.051948051948056E-2</v>
      </c>
    </row>
    <row r="146" spans="1:6" x14ac:dyDescent="0.25">
      <c r="A146" t="s">
        <v>24</v>
      </c>
      <c r="B146" s="1">
        <v>46125</v>
      </c>
      <c r="C146">
        <v>63</v>
      </c>
      <c r="D146">
        <f t="shared" si="6"/>
        <v>72.8</v>
      </c>
      <c r="E146">
        <f t="shared" si="7"/>
        <v>5</v>
      </c>
      <c r="F146">
        <f t="shared" si="8"/>
        <v>0.1555555555555555</v>
      </c>
    </row>
    <row r="147" spans="1:6" x14ac:dyDescent="0.25">
      <c r="A147" t="s">
        <v>24</v>
      </c>
      <c r="B147" s="1">
        <v>46132</v>
      </c>
      <c r="C147">
        <v>64</v>
      </c>
      <c r="D147">
        <f t="shared" si="6"/>
        <v>72.2</v>
      </c>
      <c r="E147">
        <f t="shared" si="7"/>
        <v>5</v>
      </c>
      <c r="F147">
        <f t="shared" si="8"/>
        <v>0.12812500000000004</v>
      </c>
    </row>
    <row r="148" spans="1:6" x14ac:dyDescent="0.25">
      <c r="A148" t="s">
        <v>24</v>
      </c>
      <c r="B148" s="1">
        <v>46139</v>
      </c>
      <c r="C148">
        <v>79</v>
      </c>
      <c r="D148">
        <f t="shared" si="6"/>
        <v>71.599999999999994</v>
      </c>
      <c r="E148">
        <f t="shared" si="7"/>
        <v>5</v>
      </c>
      <c r="F148">
        <f t="shared" si="8"/>
        <v>9.3670886075949436E-2</v>
      </c>
    </row>
    <row r="149" spans="1:6" x14ac:dyDescent="0.25">
      <c r="A149" t="s">
        <v>24</v>
      </c>
      <c r="B149" s="1">
        <v>46146</v>
      </c>
      <c r="C149">
        <v>74</v>
      </c>
      <c r="D149">
        <f t="shared" si="6"/>
        <v>71.400000000000006</v>
      </c>
      <c r="E149">
        <f t="shared" si="7"/>
        <v>5</v>
      </c>
      <c r="F149">
        <f t="shared" si="8"/>
        <v>3.5135135135135061E-2</v>
      </c>
    </row>
    <row r="150" spans="1:6" x14ac:dyDescent="0.25">
      <c r="A150" t="s">
        <v>24</v>
      </c>
      <c r="B150" s="1">
        <v>46153</v>
      </c>
      <c r="C150">
        <v>76</v>
      </c>
      <c r="D150">
        <f t="shared" si="6"/>
        <v>71.400000000000006</v>
      </c>
      <c r="E150">
        <f t="shared" si="7"/>
        <v>5</v>
      </c>
      <c r="F150">
        <f t="shared" si="8"/>
        <v>6.0526315789473609E-2</v>
      </c>
    </row>
    <row r="151" spans="1:6" x14ac:dyDescent="0.25">
      <c r="A151" t="s">
        <v>24</v>
      </c>
      <c r="B151" s="1">
        <v>46160</v>
      </c>
      <c r="C151">
        <v>81</v>
      </c>
      <c r="D151">
        <f t="shared" si="6"/>
        <v>71.2</v>
      </c>
      <c r="E151">
        <f t="shared" si="7"/>
        <v>5</v>
      </c>
      <c r="F151">
        <f t="shared" si="8"/>
        <v>0.12098765432098763</v>
      </c>
    </row>
    <row r="152" spans="1:6" x14ac:dyDescent="0.25">
      <c r="A152" t="s">
        <v>24</v>
      </c>
      <c r="B152" s="1">
        <v>46167</v>
      </c>
      <c r="C152">
        <v>70</v>
      </c>
      <c r="D152">
        <f t="shared" si="6"/>
        <v>74.8</v>
      </c>
      <c r="E152">
        <f t="shared" si="7"/>
        <v>5</v>
      </c>
      <c r="F152">
        <f t="shared" si="8"/>
        <v>6.8571428571428533E-2</v>
      </c>
    </row>
    <row r="153" spans="1:6" x14ac:dyDescent="0.25">
      <c r="A153" t="s">
        <v>24</v>
      </c>
      <c r="B153" s="1">
        <v>46174</v>
      </c>
      <c r="C153">
        <v>90</v>
      </c>
      <c r="D153">
        <f t="shared" si="6"/>
        <v>76</v>
      </c>
      <c r="E153">
        <f t="shared" si="7"/>
        <v>5</v>
      </c>
      <c r="F153">
        <f t="shared" si="8"/>
        <v>0.15555555555555556</v>
      </c>
    </row>
    <row r="154" spans="1:6" x14ac:dyDescent="0.25">
      <c r="A154" t="s">
        <v>24</v>
      </c>
      <c r="B154" s="1">
        <v>46181</v>
      </c>
      <c r="C154">
        <v>94</v>
      </c>
      <c r="D154">
        <f t="shared" si="6"/>
        <v>78.2</v>
      </c>
      <c r="E154">
        <f t="shared" si="7"/>
        <v>5</v>
      </c>
      <c r="F154">
        <f t="shared" si="8"/>
        <v>0.16808510638297869</v>
      </c>
    </row>
    <row r="155" spans="1:6" x14ac:dyDescent="0.25">
      <c r="A155" t="s">
        <v>24</v>
      </c>
      <c r="B155" s="1">
        <v>46188</v>
      </c>
      <c r="C155">
        <v>91</v>
      </c>
      <c r="D155">
        <f t="shared" si="6"/>
        <v>82.2</v>
      </c>
      <c r="E155">
        <f t="shared" si="7"/>
        <v>5</v>
      </c>
      <c r="F155">
        <f t="shared" si="8"/>
        <v>9.6703296703296679E-2</v>
      </c>
    </row>
    <row r="156" spans="1:6" x14ac:dyDescent="0.25">
      <c r="A156" t="s">
        <v>24</v>
      </c>
      <c r="B156" s="1">
        <v>46195</v>
      </c>
      <c r="C156">
        <v>98</v>
      </c>
      <c r="D156">
        <f t="shared" si="6"/>
        <v>85.2</v>
      </c>
      <c r="E156">
        <f t="shared" si="7"/>
        <v>5</v>
      </c>
      <c r="F156">
        <f t="shared" si="8"/>
        <v>0.13061224489795917</v>
      </c>
    </row>
    <row r="157" spans="1:6" x14ac:dyDescent="0.25">
      <c r="A157" t="s">
        <v>24</v>
      </c>
      <c r="B157" s="1">
        <v>46202</v>
      </c>
      <c r="C157">
        <v>109</v>
      </c>
      <c r="D157">
        <f t="shared" si="6"/>
        <v>88.6</v>
      </c>
      <c r="E157">
        <f t="shared" si="7"/>
        <v>5</v>
      </c>
      <c r="F157">
        <f t="shared" si="8"/>
        <v>0.18715596330275236</v>
      </c>
    </row>
    <row r="158" spans="1:6" x14ac:dyDescent="0.25">
      <c r="A158" t="s">
        <v>27</v>
      </c>
      <c r="B158" s="1">
        <v>46027</v>
      </c>
      <c r="C158">
        <v>53</v>
      </c>
      <c r="D158" t="str">
        <f t="shared" si="6"/>
        <v/>
      </c>
      <c r="E158">
        <f t="shared" si="7"/>
        <v>0</v>
      </c>
      <c r="F158" t="str">
        <f t="shared" si="8"/>
        <v/>
      </c>
    </row>
    <row r="159" spans="1:6" x14ac:dyDescent="0.25">
      <c r="A159" t="s">
        <v>27</v>
      </c>
      <c r="B159" s="1">
        <v>46034</v>
      </c>
      <c r="C159">
        <v>50</v>
      </c>
      <c r="D159" t="str">
        <f t="shared" si="6"/>
        <v/>
      </c>
      <c r="E159">
        <f t="shared" si="7"/>
        <v>1</v>
      </c>
      <c r="F159" t="str">
        <f t="shared" si="8"/>
        <v/>
      </c>
    </row>
    <row r="160" spans="1:6" x14ac:dyDescent="0.25">
      <c r="A160" t="s">
        <v>27</v>
      </c>
      <c r="B160" s="1">
        <v>46041</v>
      </c>
      <c r="C160">
        <v>49</v>
      </c>
      <c r="D160" t="str">
        <f t="shared" si="6"/>
        <v/>
      </c>
      <c r="E160">
        <f t="shared" si="7"/>
        <v>2</v>
      </c>
      <c r="F160" t="str">
        <f t="shared" si="8"/>
        <v/>
      </c>
    </row>
    <row r="161" spans="1:6" x14ac:dyDescent="0.25">
      <c r="A161" t="s">
        <v>27</v>
      </c>
      <c r="B161" s="1">
        <v>46048</v>
      </c>
      <c r="C161">
        <v>42</v>
      </c>
      <c r="D161" t="str">
        <f t="shared" si="6"/>
        <v/>
      </c>
      <c r="E161">
        <f t="shared" si="7"/>
        <v>3</v>
      </c>
      <c r="F161" t="str">
        <f t="shared" si="8"/>
        <v/>
      </c>
    </row>
    <row r="162" spans="1:6" x14ac:dyDescent="0.25">
      <c r="A162" t="s">
        <v>27</v>
      </c>
      <c r="B162" s="1">
        <v>46055</v>
      </c>
      <c r="C162">
        <v>55</v>
      </c>
      <c r="D162" t="str">
        <f t="shared" si="6"/>
        <v/>
      </c>
      <c r="E162">
        <f t="shared" si="7"/>
        <v>4</v>
      </c>
      <c r="F162" t="str">
        <f t="shared" si="8"/>
        <v/>
      </c>
    </row>
    <row r="163" spans="1:6" x14ac:dyDescent="0.25">
      <c r="A163" t="s">
        <v>27</v>
      </c>
      <c r="B163" s="1">
        <v>46062</v>
      </c>
      <c r="C163">
        <v>44</v>
      </c>
      <c r="D163">
        <f t="shared" si="6"/>
        <v>49.8</v>
      </c>
      <c r="E163">
        <f t="shared" si="7"/>
        <v>5</v>
      </c>
      <c r="F163">
        <f t="shared" si="8"/>
        <v>0.13181818181818175</v>
      </c>
    </row>
    <row r="164" spans="1:6" x14ac:dyDescent="0.25">
      <c r="A164" t="s">
        <v>27</v>
      </c>
      <c r="B164" s="1">
        <v>46069</v>
      </c>
      <c r="C164">
        <v>51</v>
      </c>
      <c r="D164">
        <f t="shared" si="6"/>
        <v>48</v>
      </c>
      <c r="E164">
        <f t="shared" si="7"/>
        <v>5</v>
      </c>
      <c r="F164">
        <f t="shared" si="8"/>
        <v>5.8823529411764705E-2</v>
      </c>
    </row>
    <row r="165" spans="1:6" x14ac:dyDescent="0.25">
      <c r="A165" t="s">
        <v>27</v>
      </c>
      <c r="B165" s="1">
        <v>46076</v>
      </c>
      <c r="C165">
        <v>59</v>
      </c>
      <c r="D165">
        <f t="shared" si="6"/>
        <v>48.2</v>
      </c>
      <c r="E165">
        <f t="shared" si="7"/>
        <v>5</v>
      </c>
      <c r="F165">
        <f t="shared" si="8"/>
        <v>0.18305084745762706</v>
      </c>
    </row>
    <row r="166" spans="1:6" x14ac:dyDescent="0.25">
      <c r="A166" t="s">
        <v>27</v>
      </c>
      <c r="B166" s="1">
        <v>46083</v>
      </c>
      <c r="C166">
        <v>45</v>
      </c>
      <c r="D166">
        <f t="shared" si="6"/>
        <v>50.2</v>
      </c>
      <c r="E166">
        <f t="shared" si="7"/>
        <v>5</v>
      </c>
      <c r="F166">
        <f t="shared" si="8"/>
        <v>0.11555555555555562</v>
      </c>
    </row>
    <row r="167" spans="1:6" x14ac:dyDescent="0.25">
      <c r="A167" t="s">
        <v>27</v>
      </c>
      <c r="B167" s="1">
        <v>46090</v>
      </c>
      <c r="C167">
        <v>57</v>
      </c>
      <c r="D167">
        <f t="shared" si="6"/>
        <v>50.8</v>
      </c>
      <c r="E167">
        <f t="shared" si="7"/>
        <v>5</v>
      </c>
      <c r="F167">
        <f t="shared" si="8"/>
        <v>0.10877192982456145</v>
      </c>
    </row>
    <row r="168" spans="1:6" x14ac:dyDescent="0.25">
      <c r="A168" t="s">
        <v>27</v>
      </c>
      <c r="B168" s="1">
        <v>46097</v>
      </c>
      <c r="C168">
        <v>50</v>
      </c>
      <c r="D168">
        <f t="shared" si="6"/>
        <v>51.2</v>
      </c>
      <c r="E168">
        <f t="shared" si="7"/>
        <v>5</v>
      </c>
      <c r="F168">
        <f t="shared" si="8"/>
        <v>2.4000000000000056E-2</v>
      </c>
    </row>
    <row r="169" spans="1:6" x14ac:dyDescent="0.25">
      <c r="A169" t="s">
        <v>27</v>
      </c>
      <c r="B169" s="1">
        <v>46104</v>
      </c>
      <c r="C169">
        <v>55</v>
      </c>
      <c r="D169">
        <f t="shared" si="6"/>
        <v>52.4</v>
      </c>
      <c r="E169">
        <f t="shared" si="7"/>
        <v>5</v>
      </c>
      <c r="F169">
        <f t="shared" si="8"/>
        <v>4.72727272727273E-2</v>
      </c>
    </row>
    <row r="170" spans="1:6" x14ac:dyDescent="0.25">
      <c r="A170" t="s">
        <v>27</v>
      </c>
      <c r="B170" s="1">
        <v>46111</v>
      </c>
      <c r="C170">
        <v>47</v>
      </c>
      <c r="D170">
        <f t="shared" si="6"/>
        <v>53.2</v>
      </c>
      <c r="E170">
        <f t="shared" si="7"/>
        <v>5</v>
      </c>
      <c r="F170">
        <f t="shared" si="8"/>
        <v>0.13191489361702133</v>
      </c>
    </row>
    <row r="171" spans="1:6" x14ac:dyDescent="0.25">
      <c r="A171" t="s">
        <v>27</v>
      </c>
      <c r="B171" s="1">
        <v>46118</v>
      </c>
      <c r="C171">
        <v>46</v>
      </c>
      <c r="D171">
        <f t="shared" si="6"/>
        <v>50.8</v>
      </c>
      <c r="E171">
        <f t="shared" si="7"/>
        <v>5</v>
      </c>
      <c r="F171">
        <f t="shared" si="8"/>
        <v>0.10434782608695646</v>
      </c>
    </row>
    <row r="172" spans="1:6" x14ac:dyDescent="0.25">
      <c r="A172" t="s">
        <v>27</v>
      </c>
      <c r="B172" s="1">
        <v>46125</v>
      </c>
      <c r="C172">
        <v>59</v>
      </c>
      <c r="D172">
        <f t="shared" si="6"/>
        <v>51</v>
      </c>
      <c r="E172">
        <f t="shared" si="7"/>
        <v>5</v>
      </c>
      <c r="F172">
        <f t="shared" si="8"/>
        <v>0.13559322033898305</v>
      </c>
    </row>
    <row r="173" spans="1:6" x14ac:dyDescent="0.25">
      <c r="A173" t="s">
        <v>27</v>
      </c>
      <c r="B173" s="1">
        <v>46132</v>
      </c>
      <c r="C173">
        <v>68</v>
      </c>
      <c r="D173">
        <f t="shared" si="6"/>
        <v>51.4</v>
      </c>
      <c r="E173">
        <f t="shared" si="7"/>
        <v>5</v>
      </c>
      <c r="F173">
        <f t="shared" si="8"/>
        <v>0.24411764705882355</v>
      </c>
    </row>
    <row r="174" spans="1:6" x14ac:dyDescent="0.25">
      <c r="A174" t="s">
        <v>27</v>
      </c>
      <c r="B174" s="1">
        <v>46139</v>
      </c>
      <c r="C174">
        <v>62</v>
      </c>
      <c r="D174">
        <f t="shared" si="6"/>
        <v>55</v>
      </c>
      <c r="E174">
        <f t="shared" si="7"/>
        <v>5</v>
      </c>
      <c r="F174">
        <f t="shared" si="8"/>
        <v>0.11290322580645161</v>
      </c>
    </row>
    <row r="175" spans="1:6" x14ac:dyDescent="0.25">
      <c r="A175" t="s">
        <v>27</v>
      </c>
      <c r="B175" s="1">
        <v>46146</v>
      </c>
      <c r="C175">
        <v>59</v>
      </c>
      <c r="D175">
        <f t="shared" si="6"/>
        <v>56.4</v>
      </c>
      <c r="E175">
        <f t="shared" si="7"/>
        <v>5</v>
      </c>
      <c r="F175">
        <f t="shared" si="8"/>
        <v>4.4067796610169518E-2</v>
      </c>
    </row>
    <row r="176" spans="1:6" x14ac:dyDescent="0.25">
      <c r="A176" t="s">
        <v>27</v>
      </c>
      <c r="B176" s="1">
        <v>46153</v>
      </c>
      <c r="C176">
        <v>60</v>
      </c>
      <c r="D176">
        <f t="shared" si="6"/>
        <v>58.8</v>
      </c>
      <c r="E176">
        <f t="shared" si="7"/>
        <v>5</v>
      </c>
      <c r="F176">
        <f t="shared" si="8"/>
        <v>2.0000000000000049E-2</v>
      </c>
    </row>
    <row r="177" spans="1:6" x14ac:dyDescent="0.25">
      <c r="A177" t="s">
        <v>27</v>
      </c>
      <c r="B177" s="1">
        <v>46160</v>
      </c>
      <c r="C177">
        <v>69</v>
      </c>
      <c r="D177">
        <f t="shared" si="6"/>
        <v>61.6</v>
      </c>
      <c r="E177">
        <f t="shared" si="7"/>
        <v>5</v>
      </c>
      <c r="F177">
        <f t="shared" si="8"/>
        <v>0.10724637681159419</v>
      </c>
    </row>
    <row r="178" spans="1:6" x14ac:dyDescent="0.25">
      <c r="A178" t="s">
        <v>27</v>
      </c>
      <c r="B178" s="1">
        <v>46167</v>
      </c>
      <c r="C178">
        <v>69</v>
      </c>
      <c r="D178">
        <f t="shared" si="6"/>
        <v>63.6</v>
      </c>
      <c r="E178">
        <f t="shared" si="7"/>
        <v>5</v>
      </c>
      <c r="F178">
        <f t="shared" si="8"/>
        <v>7.826086956521737E-2</v>
      </c>
    </row>
    <row r="179" spans="1:6" x14ac:dyDescent="0.25">
      <c r="A179" t="s">
        <v>27</v>
      </c>
      <c r="B179" s="1">
        <v>46174</v>
      </c>
      <c r="C179">
        <v>59</v>
      </c>
      <c r="D179">
        <f t="shared" si="6"/>
        <v>63.8</v>
      </c>
      <c r="E179">
        <f t="shared" si="7"/>
        <v>5</v>
      </c>
      <c r="F179">
        <f t="shared" si="8"/>
        <v>8.1355932203389783E-2</v>
      </c>
    </row>
    <row r="180" spans="1:6" x14ac:dyDescent="0.25">
      <c r="A180" t="s">
        <v>27</v>
      </c>
      <c r="B180" s="1">
        <v>46181</v>
      </c>
      <c r="C180">
        <v>57</v>
      </c>
      <c r="D180">
        <f t="shared" si="6"/>
        <v>63.2</v>
      </c>
      <c r="E180">
        <f t="shared" si="7"/>
        <v>5</v>
      </c>
      <c r="F180">
        <f t="shared" si="8"/>
        <v>0.10877192982456145</v>
      </c>
    </row>
    <row r="181" spans="1:6" x14ac:dyDescent="0.25">
      <c r="A181" t="s">
        <v>27</v>
      </c>
      <c r="B181" s="1">
        <v>46188</v>
      </c>
      <c r="C181">
        <v>72</v>
      </c>
      <c r="D181">
        <f t="shared" si="6"/>
        <v>62.8</v>
      </c>
      <c r="E181">
        <f t="shared" si="7"/>
        <v>5</v>
      </c>
      <c r="F181">
        <f t="shared" si="8"/>
        <v>0.12777777777777782</v>
      </c>
    </row>
    <row r="182" spans="1:6" x14ac:dyDescent="0.25">
      <c r="A182" t="s">
        <v>27</v>
      </c>
      <c r="B182" s="1">
        <v>46195</v>
      </c>
      <c r="C182">
        <v>62</v>
      </c>
      <c r="D182">
        <f t="shared" si="6"/>
        <v>65.2</v>
      </c>
      <c r="E182">
        <f t="shared" si="7"/>
        <v>5</v>
      </c>
      <c r="F182">
        <f t="shared" si="8"/>
        <v>5.16129032258065E-2</v>
      </c>
    </row>
    <row r="183" spans="1:6" x14ac:dyDescent="0.25">
      <c r="A183" t="s">
        <v>27</v>
      </c>
      <c r="B183" s="1">
        <v>46202</v>
      </c>
      <c r="C183">
        <v>68</v>
      </c>
      <c r="D183">
        <f t="shared" si="6"/>
        <v>63.8</v>
      </c>
      <c r="E183">
        <f t="shared" si="7"/>
        <v>5</v>
      </c>
      <c r="F183">
        <f t="shared" si="8"/>
        <v>6.1764705882352985E-2</v>
      </c>
    </row>
    <row r="184" spans="1:6" x14ac:dyDescent="0.25">
      <c r="A184" t="s">
        <v>30</v>
      </c>
      <c r="B184" s="1">
        <v>46027</v>
      </c>
      <c r="C184">
        <v>130</v>
      </c>
      <c r="D184" t="str">
        <f t="shared" si="6"/>
        <v/>
      </c>
      <c r="E184">
        <f t="shared" si="7"/>
        <v>0</v>
      </c>
      <c r="F184" t="str">
        <f t="shared" si="8"/>
        <v/>
      </c>
    </row>
    <row r="185" spans="1:6" x14ac:dyDescent="0.25">
      <c r="A185" t="s">
        <v>30</v>
      </c>
      <c r="B185" s="1">
        <v>46034</v>
      </c>
      <c r="C185">
        <v>92</v>
      </c>
      <c r="D185" t="str">
        <f t="shared" si="6"/>
        <v/>
      </c>
      <c r="E185">
        <f t="shared" si="7"/>
        <v>1</v>
      </c>
      <c r="F185" t="str">
        <f t="shared" si="8"/>
        <v/>
      </c>
    </row>
    <row r="186" spans="1:6" x14ac:dyDescent="0.25">
      <c r="A186" t="s">
        <v>30</v>
      </c>
      <c r="B186" s="1">
        <v>46041</v>
      </c>
      <c r="C186">
        <v>78</v>
      </c>
      <c r="D186" t="str">
        <f t="shared" si="6"/>
        <v/>
      </c>
      <c r="E186">
        <f t="shared" si="7"/>
        <v>2</v>
      </c>
      <c r="F186" t="str">
        <f t="shared" si="8"/>
        <v/>
      </c>
    </row>
    <row r="187" spans="1:6" x14ac:dyDescent="0.25">
      <c r="A187" t="s">
        <v>30</v>
      </c>
      <c r="B187" s="1">
        <v>46048</v>
      </c>
      <c r="C187">
        <v>94</v>
      </c>
      <c r="D187" t="str">
        <f t="shared" si="6"/>
        <v/>
      </c>
      <c r="E187">
        <f t="shared" si="7"/>
        <v>3</v>
      </c>
      <c r="F187" t="str">
        <f t="shared" si="8"/>
        <v/>
      </c>
    </row>
    <row r="188" spans="1:6" x14ac:dyDescent="0.25">
      <c r="A188" t="s">
        <v>30</v>
      </c>
      <c r="B188" s="1">
        <v>46055</v>
      </c>
      <c r="C188">
        <v>98</v>
      </c>
      <c r="D188" t="str">
        <f t="shared" si="6"/>
        <v/>
      </c>
      <c r="E188">
        <f t="shared" si="7"/>
        <v>4</v>
      </c>
      <c r="F188" t="str">
        <f t="shared" si="8"/>
        <v/>
      </c>
    </row>
    <row r="189" spans="1:6" x14ac:dyDescent="0.25">
      <c r="A189" t="s">
        <v>30</v>
      </c>
      <c r="B189" s="1">
        <v>46062</v>
      </c>
      <c r="C189">
        <v>101</v>
      </c>
      <c r="D189">
        <f t="shared" si="6"/>
        <v>98.4</v>
      </c>
      <c r="E189">
        <f t="shared" si="7"/>
        <v>5</v>
      </c>
      <c r="F189">
        <f t="shared" si="8"/>
        <v>2.5742574257425686E-2</v>
      </c>
    </row>
    <row r="190" spans="1:6" x14ac:dyDescent="0.25">
      <c r="A190" t="s">
        <v>30</v>
      </c>
      <c r="B190" s="1">
        <v>46069</v>
      </c>
      <c r="C190">
        <v>147</v>
      </c>
      <c r="D190">
        <f t="shared" si="6"/>
        <v>92.6</v>
      </c>
      <c r="E190">
        <f t="shared" si="7"/>
        <v>5</v>
      </c>
      <c r="F190">
        <f t="shared" si="8"/>
        <v>0.37006802721088439</v>
      </c>
    </row>
    <row r="191" spans="1:6" x14ac:dyDescent="0.25">
      <c r="A191" t="s">
        <v>30</v>
      </c>
      <c r="B191" s="1">
        <v>46076</v>
      </c>
      <c r="C191">
        <v>111</v>
      </c>
      <c r="D191">
        <f t="shared" si="6"/>
        <v>103.6</v>
      </c>
      <c r="E191">
        <f t="shared" si="7"/>
        <v>5</v>
      </c>
      <c r="F191">
        <f t="shared" si="8"/>
        <v>6.6666666666666721E-2</v>
      </c>
    </row>
    <row r="192" spans="1:6" x14ac:dyDescent="0.25">
      <c r="A192" t="s">
        <v>30</v>
      </c>
      <c r="B192" s="1">
        <v>46083</v>
      </c>
      <c r="C192">
        <v>109</v>
      </c>
      <c r="D192">
        <f t="shared" si="6"/>
        <v>110.2</v>
      </c>
      <c r="E192">
        <f t="shared" si="7"/>
        <v>5</v>
      </c>
      <c r="F192">
        <f t="shared" si="8"/>
        <v>1.1009174311926632E-2</v>
      </c>
    </row>
    <row r="193" spans="1:6" x14ac:dyDescent="0.25">
      <c r="A193" t="s">
        <v>30</v>
      </c>
      <c r="B193" s="1">
        <v>46090</v>
      </c>
      <c r="C193">
        <v>144</v>
      </c>
      <c r="D193">
        <f t="shared" si="6"/>
        <v>113.2</v>
      </c>
      <c r="E193">
        <f t="shared" si="7"/>
        <v>5</v>
      </c>
      <c r="F193">
        <f t="shared" si="8"/>
        <v>0.21388888888888888</v>
      </c>
    </row>
    <row r="194" spans="1:6" x14ac:dyDescent="0.25">
      <c r="A194" t="s">
        <v>30</v>
      </c>
      <c r="B194" s="1">
        <v>46097</v>
      </c>
      <c r="C194">
        <v>112</v>
      </c>
      <c r="D194">
        <f t="shared" ref="D194:D257" si="9">IF(E194 &lt; 5, "", AVERAGEIFS(C:C, A:A, A194, B:B, "&gt;=" &amp; (B194-35), B:B, "&lt;=" &amp; (B194-7)))</f>
        <v>122.4</v>
      </c>
      <c r="E194">
        <f t="shared" ref="E194:E257" si="10">COUNTIFS(A:A, A194, B:B, "&gt;=" &amp; (B194-35), B:B, "&lt;=" &amp; (B194-7))</f>
        <v>5</v>
      </c>
      <c r="F194">
        <f t="shared" ref="F194:F257" si="11">IF(OR(C194=0, D194=""), "", ABS(C194 - D194) / C194)</f>
        <v>9.2857142857142902E-2</v>
      </c>
    </row>
    <row r="195" spans="1:6" x14ac:dyDescent="0.25">
      <c r="A195" t="s">
        <v>30</v>
      </c>
      <c r="B195" s="1">
        <v>46104</v>
      </c>
      <c r="C195">
        <v>92</v>
      </c>
      <c r="D195">
        <f t="shared" si="9"/>
        <v>124.6</v>
      </c>
      <c r="E195">
        <f t="shared" si="10"/>
        <v>5</v>
      </c>
      <c r="F195">
        <f t="shared" si="11"/>
        <v>0.35434782608695647</v>
      </c>
    </row>
    <row r="196" spans="1:6" x14ac:dyDescent="0.25">
      <c r="A196" t="s">
        <v>30</v>
      </c>
      <c r="B196" s="1">
        <v>46111</v>
      </c>
      <c r="C196">
        <v>90</v>
      </c>
      <c r="D196">
        <f t="shared" si="9"/>
        <v>113.6</v>
      </c>
      <c r="E196">
        <f t="shared" si="10"/>
        <v>5</v>
      </c>
      <c r="F196">
        <f t="shared" si="11"/>
        <v>0.26222222222222213</v>
      </c>
    </row>
    <row r="197" spans="1:6" x14ac:dyDescent="0.25">
      <c r="A197" t="s">
        <v>30</v>
      </c>
      <c r="B197" s="1">
        <v>46118</v>
      </c>
      <c r="C197">
        <v>100</v>
      </c>
      <c r="D197">
        <f t="shared" si="9"/>
        <v>109.4</v>
      </c>
      <c r="E197">
        <f t="shared" si="10"/>
        <v>5</v>
      </c>
      <c r="F197">
        <f t="shared" si="11"/>
        <v>9.4000000000000056E-2</v>
      </c>
    </row>
    <row r="198" spans="1:6" x14ac:dyDescent="0.25">
      <c r="A198" t="s">
        <v>30</v>
      </c>
      <c r="B198" s="1">
        <v>46125</v>
      </c>
      <c r="C198">
        <v>115</v>
      </c>
      <c r="D198">
        <f t="shared" si="9"/>
        <v>107.6</v>
      </c>
      <c r="E198">
        <f t="shared" si="10"/>
        <v>5</v>
      </c>
      <c r="F198">
        <f t="shared" si="11"/>
        <v>6.4347826086956578E-2</v>
      </c>
    </row>
    <row r="199" spans="1:6" x14ac:dyDescent="0.25">
      <c r="A199" t="s">
        <v>30</v>
      </c>
      <c r="B199" s="1">
        <v>46132</v>
      </c>
      <c r="C199">
        <v>118</v>
      </c>
      <c r="D199">
        <f t="shared" si="9"/>
        <v>101.8</v>
      </c>
      <c r="E199">
        <f t="shared" si="10"/>
        <v>5</v>
      </c>
      <c r="F199">
        <f t="shared" si="11"/>
        <v>0.13728813559322037</v>
      </c>
    </row>
    <row r="200" spans="1:6" x14ac:dyDescent="0.25">
      <c r="A200" t="s">
        <v>30</v>
      </c>
      <c r="B200" s="1">
        <v>46139</v>
      </c>
      <c r="C200">
        <v>135</v>
      </c>
      <c r="D200">
        <f t="shared" si="9"/>
        <v>103</v>
      </c>
      <c r="E200">
        <f t="shared" si="10"/>
        <v>5</v>
      </c>
      <c r="F200">
        <f t="shared" si="11"/>
        <v>0.23703703703703705</v>
      </c>
    </row>
    <row r="201" spans="1:6" x14ac:dyDescent="0.25">
      <c r="A201" t="s">
        <v>30</v>
      </c>
      <c r="B201" s="1">
        <v>46146</v>
      </c>
      <c r="C201">
        <v>133</v>
      </c>
      <c r="D201">
        <f t="shared" si="9"/>
        <v>111.6</v>
      </c>
      <c r="E201">
        <f t="shared" si="10"/>
        <v>5</v>
      </c>
      <c r="F201">
        <f t="shared" si="11"/>
        <v>0.1609022556390978</v>
      </c>
    </row>
    <row r="202" spans="1:6" x14ac:dyDescent="0.25">
      <c r="A202" t="s">
        <v>30</v>
      </c>
      <c r="B202" s="1">
        <v>46153</v>
      </c>
      <c r="C202">
        <v>144</v>
      </c>
      <c r="D202">
        <f t="shared" si="9"/>
        <v>120.2</v>
      </c>
      <c r="E202">
        <f t="shared" si="10"/>
        <v>5</v>
      </c>
      <c r="F202">
        <f t="shared" si="11"/>
        <v>0.16527777777777775</v>
      </c>
    </row>
    <row r="203" spans="1:6" x14ac:dyDescent="0.25">
      <c r="A203" t="s">
        <v>30</v>
      </c>
      <c r="B203" s="1">
        <v>46160</v>
      </c>
      <c r="C203">
        <v>162</v>
      </c>
      <c r="D203">
        <f t="shared" si="9"/>
        <v>129</v>
      </c>
      <c r="E203">
        <f t="shared" si="10"/>
        <v>5</v>
      </c>
      <c r="F203">
        <f t="shared" si="11"/>
        <v>0.20370370370370369</v>
      </c>
    </row>
    <row r="204" spans="1:6" x14ac:dyDescent="0.25">
      <c r="A204" t="s">
        <v>30</v>
      </c>
      <c r="B204" s="1">
        <v>46167</v>
      </c>
      <c r="C204">
        <v>119</v>
      </c>
      <c r="D204">
        <f t="shared" si="9"/>
        <v>138.4</v>
      </c>
      <c r="E204">
        <f t="shared" si="10"/>
        <v>5</v>
      </c>
      <c r="F204">
        <f t="shared" si="11"/>
        <v>0.16302521008403367</v>
      </c>
    </row>
    <row r="205" spans="1:6" x14ac:dyDescent="0.25">
      <c r="A205" t="s">
        <v>30</v>
      </c>
      <c r="B205" s="1">
        <v>46174</v>
      </c>
      <c r="C205">
        <v>118</v>
      </c>
      <c r="D205">
        <f t="shared" si="9"/>
        <v>138.6</v>
      </c>
      <c r="E205">
        <f t="shared" si="10"/>
        <v>5</v>
      </c>
      <c r="F205">
        <f t="shared" si="11"/>
        <v>0.17457627118644062</v>
      </c>
    </row>
    <row r="206" spans="1:6" x14ac:dyDescent="0.25">
      <c r="A206" t="s">
        <v>30</v>
      </c>
      <c r="B206" s="1">
        <v>46181</v>
      </c>
      <c r="C206">
        <v>140</v>
      </c>
      <c r="D206">
        <f t="shared" si="9"/>
        <v>135.19999999999999</v>
      </c>
      <c r="E206">
        <f t="shared" si="10"/>
        <v>5</v>
      </c>
      <c r="F206">
        <f t="shared" si="11"/>
        <v>3.4285714285714364E-2</v>
      </c>
    </row>
    <row r="207" spans="1:6" x14ac:dyDescent="0.25">
      <c r="A207" t="s">
        <v>30</v>
      </c>
      <c r="B207" s="1">
        <v>46188</v>
      </c>
      <c r="C207">
        <v>144</v>
      </c>
      <c r="D207">
        <f t="shared" si="9"/>
        <v>136.6</v>
      </c>
      <c r="E207">
        <f t="shared" si="10"/>
        <v>5</v>
      </c>
      <c r="F207">
        <f t="shared" si="11"/>
        <v>5.1388888888888928E-2</v>
      </c>
    </row>
    <row r="208" spans="1:6" x14ac:dyDescent="0.25">
      <c r="A208" t="s">
        <v>30</v>
      </c>
      <c r="B208" s="1">
        <v>46195</v>
      </c>
      <c r="C208">
        <v>132</v>
      </c>
      <c r="D208">
        <f t="shared" si="9"/>
        <v>136.6</v>
      </c>
      <c r="E208">
        <f t="shared" si="10"/>
        <v>5</v>
      </c>
      <c r="F208">
        <f t="shared" si="11"/>
        <v>3.4848484848484802E-2</v>
      </c>
    </row>
    <row r="209" spans="1:6" x14ac:dyDescent="0.25">
      <c r="A209" t="s">
        <v>30</v>
      </c>
      <c r="B209" s="1">
        <v>46202</v>
      </c>
      <c r="C209">
        <v>129</v>
      </c>
      <c r="D209">
        <f t="shared" si="9"/>
        <v>130.6</v>
      </c>
      <c r="E209">
        <f t="shared" si="10"/>
        <v>5</v>
      </c>
      <c r="F209">
        <f t="shared" si="11"/>
        <v>1.2403100775193755E-2</v>
      </c>
    </row>
    <row r="210" spans="1:6" x14ac:dyDescent="0.25">
      <c r="A210" t="s">
        <v>32</v>
      </c>
      <c r="B210" s="1">
        <v>46027</v>
      </c>
      <c r="C210">
        <v>19</v>
      </c>
      <c r="D210" t="str">
        <f t="shared" si="9"/>
        <v/>
      </c>
      <c r="E210">
        <f t="shared" si="10"/>
        <v>0</v>
      </c>
      <c r="F210" t="str">
        <f t="shared" si="11"/>
        <v/>
      </c>
    </row>
    <row r="211" spans="1:6" x14ac:dyDescent="0.25">
      <c r="A211" t="s">
        <v>32</v>
      </c>
      <c r="B211" s="1">
        <v>46034</v>
      </c>
      <c r="C211">
        <v>19</v>
      </c>
      <c r="D211" t="str">
        <f t="shared" si="9"/>
        <v/>
      </c>
      <c r="E211">
        <f t="shared" si="10"/>
        <v>1</v>
      </c>
      <c r="F211" t="str">
        <f t="shared" si="11"/>
        <v/>
      </c>
    </row>
    <row r="212" spans="1:6" x14ac:dyDescent="0.25">
      <c r="A212" t="s">
        <v>32</v>
      </c>
      <c r="B212" s="1">
        <v>46041</v>
      </c>
      <c r="C212">
        <v>22</v>
      </c>
      <c r="D212" t="str">
        <f t="shared" si="9"/>
        <v/>
      </c>
      <c r="E212">
        <f t="shared" si="10"/>
        <v>2</v>
      </c>
      <c r="F212" t="str">
        <f t="shared" si="11"/>
        <v/>
      </c>
    </row>
    <row r="213" spans="1:6" x14ac:dyDescent="0.25">
      <c r="A213" t="s">
        <v>32</v>
      </c>
      <c r="B213" s="1">
        <v>46048</v>
      </c>
      <c r="C213">
        <v>18</v>
      </c>
      <c r="D213" t="str">
        <f t="shared" si="9"/>
        <v/>
      </c>
      <c r="E213">
        <f t="shared" si="10"/>
        <v>3</v>
      </c>
      <c r="F213" t="str">
        <f t="shared" si="11"/>
        <v/>
      </c>
    </row>
    <row r="214" spans="1:6" x14ac:dyDescent="0.25">
      <c r="A214" t="s">
        <v>32</v>
      </c>
      <c r="B214" s="1">
        <v>46055</v>
      </c>
      <c r="C214">
        <v>22</v>
      </c>
      <c r="D214" t="str">
        <f t="shared" si="9"/>
        <v/>
      </c>
      <c r="E214">
        <f t="shared" si="10"/>
        <v>4</v>
      </c>
      <c r="F214" t="str">
        <f t="shared" si="11"/>
        <v/>
      </c>
    </row>
    <row r="215" spans="1:6" x14ac:dyDescent="0.25">
      <c r="A215" t="s">
        <v>32</v>
      </c>
      <c r="B215" s="1">
        <v>46062</v>
      </c>
      <c r="C215">
        <v>21</v>
      </c>
      <c r="D215">
        <f t="shared" si="9"/>
        <v>20</v>
      </c>
      <c r="E215">
        <f t="shared" si="10"/>
        <v>5</v>
      </c>
      <c r="F215">
        <f t="shared" si="11"/>
        <v>4.7619047619047616E-2</v>
      </c>
    </row>
    <row r="216" spans="1:6" x14ac:dyDescent="0.25">
      <c r="A216" t="s">
        <v>32</v>
      </c>
      <c r="B216" s="1">
        <v>46069</v>
      </c>
      <c r="C216">
        <v>24</v>
      </c>
      <c r="D216">
        <f t="shared" si="9"/>
        <v>20.399999999999999</v>
      </c>
      <c r="E216">
        <f t="shared" si="10"/>
        <v>5</v>
      </c>
      <c r="F216">
        <f t="shared" si="11"/>
        <v>0.15000000000000005</v>
      </c>
    </row>
    <row r="217" spans="1:6" x14ac:dyDescent="0.25">
      <c r="A217" t="s">
        <v>32</v>
      </c>
      <c r="B217" s="1">
        <v>46076</v>
      </c>
      <c r="C217">
        <v>19</v>
      </c>
      <c r="D217">
        <f t="shared" si="9"/>
        <v>21.4</v>
      </c>
      <c r="E217">
        <f t="shared" si="10"/>
        <v>5</v>
      </c>
      <c r="F217">
        <f t="shared" si="11"/>
        <v>0.12631578947368413</v>
      </c>
    </row>
    <row r="218" spans="1:6" x14ac:dyDescent="0.25">
      <c r="A218" t="s">
        <v>32</v>
      </c>
      <c r="B218" s="1">
        <v>46083</v>
      </c>
      <c r="C218">
        <v>23</v>
      </c>
      <c r="D218">
        <f t="shared" si="9"/>
        <v>20.8</v>
      </c>
      <c r="E218">
        <f t="shared" si="10"/>
        <v>5</v>
      </c>
      <c r="F218">
        <f t="shared" si="11"/>
        <v>9.5652173913043453E-2</v>
      </c>
    </row>
    <row r="219" spans="1:6" x14ac:dyDescent="0.25">
      <c r="A219" t="s">
        <v>32</v>
      </c>
      <c r="B219" s="1">
        <v>46090</v>
      </c>
      <c r="C219">
        <v>22</v>
      </c>
      <c r="D219">
        <f t="shared" si="9"/>
        <v>21.8</v>
      </c>
      <c r="E219">
        <f t="shared" si="10"/>
        <v>5</v>
      </c>
      <c r="F219">
        <f t="shared" si="11"/>
        <v>9.0909090909090592E-3</v>
      </c>
    </row>
    <row r="220" spans="1:6" x14ac:dyDescent="0.25">
      <c r="A220" t="s">
        <v>32</v>
      </c>
      <c r="B220" s="1">
        <v>46097</v>
      </c>
      <c r="C220">
        <v>23</v>
      </c>
      <c r="D220">
        <f t="shared" si="9"/>
        <v>21.8</v>
      </c>
      <c r="E220">
        <f t="shared" si="10"/>
        <v>5</v>
      </c>
      <c r="F220">
        <f t="shared" si="11"/>
        <v>5.217391304347823E-2</v>
      </c>
    </row>
    <row r="221" spans="1:6" x14ac:dyDescent="0.25">
      <c r="A221" t="s">
        <v>32</v>
      </c>
      <c r="B221" s="1">
        <v>46104</v>
      </c>
      <c r="C221">
        <v>24</v>
      </c>
      <c r="D221">
        <f t="shared" si="9"/>
        <v>22.2</v>
      </c>
      <c r="E221">
        <f t="shared" si="10"/>
        <v>5</v>
      </c>
      <c r="F221">
        <f t="shared" si="11"/>
        <v>7.5000000000000025E-2</v>
      </c>
    </row>
    <row r="222" spans="1:6" x14ac:dyDescent="0.25">
      <c r="A222" t="s">
        <v>32</v>
      </c>
      <c r="B222" s="1">
        <v>46111</v>
      </c>
      <c r="C222">
        <v>27</v>
      </c>
      <c r="D222">
        <f t="shared" si="9"/>
        <v>22.2</v>
      </c>
      <c r="E222">
        <f t="shared" si="10"/>
        <v>5</v>
      </c>
      <c r="F222">
        <f t="shared" si="11"/>
        <v>0.17777777777777781</v>
      </c>
    </row>
    <row r="223" spans="1:6" x14ac:dyDescent="0.25">
      <c r="A223" t="s">
        <v>32</v>
      </c>
      <c r="B223" s="1">
        <v>46118</v>
      </c>
      <c r="C223">
        <v>24</v>
      </c>
      <c r="D223">
        <f t="shared" si="9"/>
        <v>23.8</v>
      </c>
      <c r="E223">
        <f t="shared" si="10"/>
        <v>5</v>
      </c>
      <c r="F223">
        <f t="shared" si="11"/>
        <v>8.3333333333333037E-3</v>
      </c>
    </row>
    <row r="224" spans="1:6" x14ac:dyDescent="0.25">
      <c r="A224" t="s">
        <v>32</v>
      </c>
      <c r="B224" s="1">
        <v>46125</v>
      </c>
      <c r="C224">
        <v>25</v>
      </c>
      <c r="D224">
        <f t="shared" si="9"/>
        <v>24</v>
      </c>
      <c r="E224">
        <f t="shared" si="10"/>
        <v>5</v>
      </c>
      <c r="F224">
        <f t="shared" si="11"/>
        <v>0.04</v>
      </c>
    </row>
    <row r="225" spans="1:6" x14ac:dyDescent="0.25">
      <c r="A225" t="s">
        <v>32</v>
      </c>
      <c r="B225" s="1">
        <v>46132</v>
      </c>
      <c r="C225">
        <v>22</v>
      </c>
      <c r="D225">
        <f t="shared" si="9"/>
        <v>24.6</v>
      </c>
      <c r="E225">
        <f t="shared" si="10"/>
        <v>5</v>
      </c>
      <c r="F225">
        <f t="shared" si="11"/>
        <v>0.11818181818181825</v>
      </c>
    </row>
    <row r="226" spans="1:6" x14ac:dyDescent="0.25">
      <c r="A226" t="s">
        <v>32</v>
      </c>
      <c r="B226" s="1">
        <v>46139</v>
      </c>
      <c r="C226">
        <v>25</v>
      </c>
      <c r="D226">
        <f t="shared" si="9"/>
        <v>24.4</v>
      </c>
      <c r="E226">
        <f t="shared" si="10"/>
        <v>5</v>
      </c>
      <c r="F226">
        <f t="shared" si="11"/>
        <v>2.4000000000000056E-2</v>
      </c>
    </row>
    <row r="227" spans="1:6" x14ac:dyDescent="0.25">
      <c r="A227" t="s">
        <v>32</v>
      </c>
      <c r="B227" s="1">
        <v>46146</v>
      </c>
      <c r="C227">
        <v>22</v>
      </c>
      <c r="D227">
        <f t="shared" si="9"/>
        <v>24.6</v>
      </c>
      <c r="E227">
        <f t="shared" si="10"/>
        <v>5</v>
      </c>
      <c r="F227">
        <f t="shared" si="11"/>
        <v>0.11818181818181825</v>
      </c>
    </row>
    <row r="228" spans="1:6" x14ac:dyDescent="0.25">
      <c r="A228" t="s">
        <v>32</v>
      </c>
      <c r="B228" s="1">
        <v>46153</v>
      </c>
      <c r="C228">
        <v>25</v>
      </c>
      <c r="D228">
        <f t="shared" si="9"/>
        <v>23.6</v>
      </c>
      <c r="E228">
        <f t="shared" si="10"/>
        <v>5</v>
      </c>
      <c r="F228">
        <f t="shared" si="11"/>
        <v>5.5999999999999946E-2</v>
      </c>
    </row>
    <row r="229" spans="1:6" x14ac:dyDescent="0.25">
      <c r="A229" t="s">
        <v>32</v>
      </c>
      <c r="B229" s="1">
        <v>46160</v>
      </c>
      <c r="C229">
        <v>26</v>
      </c>
      <c r="D229">
        <f t="shared" si="9"/>
        <v>23.8</v>
      </c>
      <c r="E229">
        <f t="shared" si="10"/>
        <v>5</v>
      </c>
      <c r="F229">
        <f t="shared" si="11"/>
        <v>8.4615384615384592E-2</v>
      </c>
    </row>
    <row r="230" spans="1:6" x14ac:dyDescent="0.25">
      <c r="A230" t="s">
        <v>32</v>
      </c>
      <c r="B230" s="1">
        <v>46167</v>
      </c>
      <c r="C230">
        <v>28</v>
      </c>
      <c r="D230">
        <f t="shared" si="9"/>
        <v>24</v>
      </c>
      <c r="E230">
        <f t="shared" si="10"/>
        <v>5</v>
      </c>
      <c r="F230">
        <f t="shared" si="11"/>
        <v>0.14285714285714285</v>
      </c>
    </row>
    <row r="231" spans="1:6" x14ac:dyDescent="0.25">
      <c r="A231" t="s">
        <v>32</v>
      </c>
      <c r="B231" s="1">
        <v>46174</v>
      </c>
      <c r="C231">
        <v>27</v>
      </c>
      <c r="D231">
        <f t="shared" si="9"/>
        <v>25.2</v>
      </c>
      <c r="E231">
        <f t="shared" si="10"/>
        <v>5</v>
      </c>
      <c r="F231">
        <f t="shared" si="11"/>
        <v>6.6666666666666693E-2</v>
      </c>
    </row>
    <row r="232" spans="1:6" x14ac:dyDescent="0.25">
      <c r="A232" t="s">
        <v>32</v>
      </c>
      <c r="B232" s="1">
        <v>46181</v>
      </c>
      <c r="C232">
        <v>26</v>
      </c>
      <c r="D232">
        <f t="shared" si="9"/>
        <v>25.6</v>
      </c>
      <c r="E232">
        <f t="shared" si="10"/>
        <v>5</v>
      </c>
      <c r="F232">
        <f t="shared" si="11"/>
        <v>1.538461538461533E-2</v>
      </c>
    </row>
    <row r="233" spans="1:6" x14ac:dyDescent="0.25">
      <c r="A233" t="s">
        <v>32</v>
      </c>
      <c r="B233" s="1">
        <v>46188</v>
      </c>
      <c r="C233">
        <v>28</v>
      </c>
      <c r="D233">
        <f t="shared" si="9"/>
        <v>26.4</v>
      </c>
      <c r="E233">
        <f t="shared" si="10"/>
        <v>5</v>
      </c>
      <c r="F233">
        <f t="shared" si="11"/>
        <v>5.7142857142857197E-2</v>
      </c>
    </row>
    <row r="234" spans="1:6" x14ac:dyDescent="0.25">
      <c r="A234" t="s">
        <v>32</v>
      </c>
      <c r="B234" s="1">
        <v>46195</v>
      </c>
      <c r="C234">
        <v>26</v>
      </c>
      <c r="D234">
        <f t="shared" si="9"/>
        <v>27</v>
      </c>
      <c r="E234">
        <f t="shared" si="10"/>
        <v>5</v>
      </c>
      <c r="F234">
        <f t="shared" si="11"/>
        <v>3.8461538461538464E-2</v>
      </c>
    </row>
    <row r="235" spans="1:6" x14ac:dyDescent="0.25">
      <c r="A235" t="s">
        <v>32</v>
      </c>
      <c r="B235" s="1">
        <v>46202</v>
      </c>
      <c r="C235">
        <v>27</v>
      </c>
      <c r="D235">
        <f t="shared" si="9"/>
        <v>27</v>
      </c>
      <c r="E235">
        <f t="shared" si="10"/>
        <v>5</v>
      </c>
      <c r="F235">
        <f t="shared" si="11"/>
        <v>0</v>
      </c>
    </row>
    <row r="236" spans="1:6" x14ac:dyDescent="0.25">
      <c r="A236" t="s">
        <v>35</v>
      </c>
      <c r="B236" s="1">
        <v>46027</v>
      </c>
      <c r="C236">
        <v>88</v>
      </c>
      <c r="D236" t="str">
        <f t="shared" si="9"/>
        <v/>
      </c>
      <c r="E236">
        <f t="shared" si="10"/>
        <v>0</v>
      </c>
      <c r="F236" t="str">
        <f t="shared" si="11"/>
        <v/>
      </c>
    </row>
    <row r="237" spans="1:6" x14ac:dyDescent="0.25">
      <c r="A237" t="s">
        <v>35</v>
      </c>
      <c r="B237" s="1">
        <v>46034</v>
      </c>
      <c r="C237">
        <v>60</v>
      </c>
      <c r="D237" t="str">
        <f t="shared" si="9"/>
        <v/>
      </c>
      <c r="E237">
        <f t="shared" si="10"/>
        <v>1</v>
      </c>
      <c r="F237" t="str">
        <f t="shared" si="11"/>
        <v/>
      </c>
    </row>
    <row r="238" spans="1:6" x14ac:dyDescent="0.25">
      <c r="A238" t="s">
        <v>35</v>
      </c>
      <c r="B238" s="1">
        <v>46041</v>
      </c>
      <c r="C238">
        <v>85</v>
      </c>
      <c r="D238" t="str">
        <f t="shared" si="9"/>
        <v/>
      </c>
      <c r="E238">
        <f t="shared" si="10"/>
        <v>2</v>
      </c>
      <c r="F238" t="str">
        <f t="shared" si="11"/>
        <v/>
      </c>
    </row>
    <row r="239" spans="1:6" x14ac:dyDescent="0.25">
      <c r="A239" t="s">
        <v>35</v>
      </c>
      <c r="B239" s="1">
        <v>46048</v>
      </c>
      <c r="C239">
        <v>26</v>
      </c>
      <c r="D239" t="str">
        <f t="shared" si="9"/>
        <v/>
      </c>
      <c r="E239">
        <f t="shared" si="10"/>
        <v>3</v>
      </c>
      <c r="F239" t="str">
        <f t="shared" si="11"/>
        <v/>
      </c>
    </row>
    <row r="240" spans="1:6" x14ac:dyDescent="0.25">
      <c r="A240" t="s">
        <v>35</v>
      </c>
      <c r="B240" s="1">
        <v>46055</v>
      </c>
      <c r="C240">
        <v>27</v>
      </c>
      <c r="D240" t="str">
        <f t="shared" si="9"/>
        <v/>
      </c>
      <c r="E240">
        <f t="shared" si="10"/>
        <v>4</v>
      </c>
      <c r="F240" t="str">
        <f t="shared" si="11"/>
        <v/>
      </c>
    </row>
    <row r="241" spans="1:6" x14ac:dyDescent="0.25">
      <c r="A241" t="s">
        <v>35</v>
      </c>
      <c r="B241" s="1">
        <v>46062</v>
      </c>
      <c r="C241">
        <v>33</v>
      </c>
      <c r="D241">
        <f t="shared" si="9"/>
        <v>57.2</v>
      </c>
      <c r="E241">
        <f t="shared" si="10"/>
        <v>5</v>
      </c>
      <c r="F241">
        <f t="shared" si="11"/>
        <v>0.73333333333333339</v>
      </c>
    </row>
    <row r="242" spans="1:6" x14ac:dyDescent="0.25">
      <c r="A242" t="s">
        <v>35</v>
      </c>
      <c r="B242" s="1">
        <v>46069</v>
      </c>
      <c r="C242">
        <v>41</v>
      </c>
      <c r="D242">
        <f t="shared" si="9"/>
        <v>46.2</v>
      </c>
      <c r="E242">
        <f t="shared" si="10"/>
        <v>5</v>
      </c>
      <c r="F242">
        <f t="shared" si="11"/>
        <v>0.12682926829268298</v>
      </c>
    </row>
    <row r="243" spans="1:6" x14ac:dyDescent="0.25">
      <c r="A243" t="s">
        <v>35</v>
      </c>
      <c r="B243" s="1">
        <v>46076</v>
      </c>
      <c r="C243">
        <v>92</v>
      </c>
      <c r="D243">
        <f t="shared" si="9"/>
        <v>42.4</v>
      </c>
      <c r="E243">
        <f t="shared" si="10"/>
        <v>5</v>
      </c>
      <c r="F243">
        <f t="shared" si="11"/>
        <v>0.53913043478260869</v>
      </c>
    </row>
    <row r="244" spans="1:6" x14ac:dyDescent="0.25">
      <c r="A244" t="s">
        <v>35</v>
      </c>
      <c r="B244" s="1">
        <v>46083</v>
      </c>
      <c r="C244">
        <v>54</v>
      </c>
      <c r="D244">
        <f t="shared" si="9"/>
        <v>43.8</v>
      </c>
      <c r="E244">
        <f t="shared" si="10"/>
        <v>5</v>
      </c>
      <c r="F244">
        <f t="shared" si="11"/>
        <v>0.18888888888888894</v>
      </c>
    </row>
    <row r="245" spans="1:6" x14ac:dyDescent="0.25">
      <c r="A245" t="s">
        <v>35</v>
      </c>
      <c r="B245" s="1">
        <v>46090</v>
      </c>
      <c r="C245">
        <v>47</v>
      </c>
      <c r="D245">
        <f t="shared" si="9"/>
        <v>49.4</v>
      </c>
      <c r="E245">
        <f t="shared" si="10"/>
        <v>5</v>
      </c>
      <c r="F245">
        <f t="shared" si="11"/>
        <v>5.1063829787234012E-2</v>
      </c>
    </row>
    <row r="246" spans="1:6" x14ac:dyDescent="0.25">
      <c r="A246" t="s">
        <v>35</v>
      </c>
      <c r="B246" s="1">
        <v>46097</v>
      </c>
      <c r="C246">
        <v>42</v>
      </c>
      <c r="D246">
        <f t="shared" si="9"/>
        <v>53.4</v>
      </c>
      <c r="E246">
        <f t="shared" si="10"/>
        <v>5</v>
      </c>
      <c r="F246">
        <f t="shared" si="11"/>
        <v>0.27142857142857141</v>
      </c>
    </row>
    <row r="247" spans="1:6" x14ac:dyDescent="0.25">
      <c r="A247" t="s">
        <v>35</v>
      </c>
      <c r="B247" s="1">
        <v>46104</v>
      </c>
      <c r="C247">
        <v>53</v>
      </c>
      <c r="D247">
        <f t="shared" si="9"/>
        <v>55.2</v>
      </c>
      <c r="E247">
        <f t="shared" si="10"/>
        <v>5</v>
      </c>
      <c r="F247">
        <f t="shared" si="11"/>
        <v>4.1509433962264204E-2</v>
      </c>
    </row>
    <row r="248" spans="1:6" x14ac:dyDescent="0.25">
      <c r="A248" t="s">
        <v>35</v>
      </c>
      <c r="B248" s="1">
        <v>46111</v>
      </c>
      <c r="C248">
        <v>47</v>
      </c>
      <c r="D248">
        <f t="shared" si="9"/>
        <v>57.6</v>
      </c>
      <c r="E248">
        <f t="shared" si="10"/>
        <v>5</v>
      </c>
      <c r="F248">
        <f t="shared" si="11"/>
        <v>0.22553191489361704</v>
      </c>
    </row>
    <row r="249" spans="1:6" x14ac:dyDescent="0.25">
      <c r="A249" t="s">
        <v>35</v>
      </c>
      <c r="B249" s="1">
        <v>46118</v>
      </c>
      <c r="C249">
        <v>57</v>
      </c>
      <c r="D249">
        <f t="shared" si="9"/>
        <v>48.6</v>
      </c>
      <c r="E249">
        <f t="shared" si="10"/>
        <v>5</v>
      </c>
      <c r="F249">
        <f t="shared" si="11"/>
        <v>0.14736842105263157</v>
      </c>
    </row>
    <row r="250" spans="1:6" x14ac:dyDescent="0.25">
      <c r="A250" t="s">
        <v>35</v>
      </c>
      <c r="B250" s="1">
        <v>46125</v>
      </c>
      <c r="C250">
        <v>19</v>
      </c>
      <c r="D250">
        <f t="shared" si="9"/>
        <v>49.2</v>
      </c>
      <c r="E250">
        <f t="shared" si="10"/>
        <v>5</v>
      </c>
      <c r="F250">
        <f t="shared" si="11"/>
        <v>1.5894736842105264</v>
      </c>
    </row>
    <row r="251" spans="1:6" x14ac:dyDescent="0.25">
      <c r="A251" t="s">
        <v>35</v>
      </c>
      <c r="B251" s="1">
        <v>46132</v>
      </c>
      <c r="C251">
        <v>40</v>
      </c>
      <c r="D251">
        <f t="shared" si="9"/>
        <v>43.6</v>
      </c>
      <c r="E251">
        <f t="shared" si="10"/>
        <v>5</v>
      </c>
      <c r="F251">
        <f t="shared" si="11"/>
        <v>9.0000000000000038E-2</v>
      </c>
    </row>
    <row r="252" spans="1:6" x14ac:dyDescent="0.25">
      <c r="A252" t="s">
        <v>35</v>
      </c>
      <c r="B252" s="1">
        <v>46139</v>
      </c>
      <c r="C252">
        <v>73</v>
      </c>
      <c r="D252">
        <f t="shared" si="9"/>
        <v>43.2</v>
      </c>
      <c r="E252">
        <f t="shared" si="10"/>
        <v>5</v>
      </c>
      <c r="F252">
        <f t="shared" si="11"/>
        <v>0.40821917808219177</v>
      </c>
    </row>
    <row r="253" spans="1:6" x14ac:dyDescent="0.25">
      <c r="A253" t="s">
        <v>35</v>
      </c>
      <c r="B253" s="1">
        <v>46146</v>
      </c>
      <c r="C253">
        <v>29</v>
      </c>
      <c r="D253">
        <f t="shared" si="9"/>
        <v>47.2</v>
      </c>
      <c r="E253">
        <f t="shared" si="10"/>
        <v>5</v>
      </c>
      <c r="F253">
        <f t="shared" si="11"/>
        <v>0.62758620689655187</v>
      </c>
    </row>
    <row r="254" spans="1:6" x14ac:dyDescent="0.25">
      <c r="A254" t="s">
        <v>35</v>
      </c>
      <c r="B254" s="1">
        <v>46153</v>
      </c>
      <c r="C254">
        <v>52</v>
      </c>
      <c r="D254">
        <f t="shared" si="9"/>
        <v>43.6</v>
      </c>
      <c r="E254">
        <f t="shared" si="10"/>
        <v>5</v>
      </c>
      <c r="F254">
        <f t="shared" si="11"/>
        <v>0.16153846153846152</v>
      </c>
    </row>
    <row r="255" spans="1:6" x14ac:dyDescent="0.25">
      <c r="A255" t="s">
        <v>35</v>
      </c>
      <c r="B255" s="1">
        <v>46160</v>
      </c>
      <c r="C255">
        <v>85</v>
      </c>
      <c r="D255">
        <f t="shared" si="9"/>
        <v>42.6</v>
      </c>
      <c r="E255">
        <f t="shared" si="10"/>
        <v>5</v>
      </c>
      <c r="F255">
        <f t="shared" si="11"/>
        <v>0.49882352941176467</v>
      </c>
    </row>
    <row r="256" spans="1:6" x14ac:dyDescent="0.25">
      <c r="A256" t="s">
        <v>35</v>
      </c>
      <c r="B256" s="1">
        <v>46167</v>
      </c>
      <c r="C256">
        <v>39</v>
      </c>
      <c r="D256">
        <f t="shared" si="9"/>
        <v>55.8</v>
      </c>
      <c r="E256">
        <f t="shared" si="10"/>
        <v>5</v>
      </c>
      <c r="F256">
        <f t="shared" si="11"/>
        <v>0.43076923076923068</v>
      </c>
    </row>
    <row r="257" spans="1:6" x14ac:dyDescent="0.25">
      <c r="A257" t="s">
        <v>35</v>
      </c>
      <c r="B257" s="1">
        <v>46174</v>
      </c>
      <c r="C257">
        <v>57</v>
      </c>
      <c r="D257">
        <f t="shared" si="9"/>
        <v>55.6</v>
      </c>
      <c r="E257">
        <f t="shared" si="10"/>
        <v>5</v>
      </c>
      <c r="F257">
        <f t="shared" si="11"/>
        <v>2.4561403508771906E-2</v>
      </c>
    </row>
    <row r="258" spans="1:6" x14ac:dyDescent="0.25">
      <c r="A258" t="s">
        <v>35</v>
      </c>
      <c r="B258" s="1">
        <v>46181</v>
      </c>
      <c r="C258">
        <v>61</v>
      </c>
      <c r="D258">
        <f t="shared" ref="D258:D321" si="12">IF(E258 &lt; 5, "", AVERAGEIFS(C:C, A:A, A258, B:B, "&gt;=" &amp; (B258-35), B:B, "&lt;=" &amp; (B258-7)))</f>
        <v>52.4</v>
      </c>
      <c r="E258">
        <f t="shared" ref="E258:E321" si="13">COUNTIFS(A:A, A258, B:B, "&gt;=" &amp; (B258-35), B:B, "&lt;=" &amp; (B258-7))</f>
        <v>5</v>
      </c>
      <c r="F258">
        <f t="shared" ref="F258:F321" si="14">IF(OR(C258=0, D258=""), "", ABS(C258 - D258) / C258)</f>
        <v>0.14098360655737707</v>
      </c>
    </row>
    <row r="259" spans="1:6" x14ac:dyDescent="0.25">
      <c r="A259" t="s">
        <v>35</v>
      </c>
      <c r="B259" s="1">
        <v>46188</v>
      </c>
      <c r="C259">
        <v>53</v>
      </c>
      <c r="D259">
        <f t="shared" si="12"/>
        <v>58.8</v>
      </c>
      <c r="E259">
        <f t="shared" si="13"/>
        <v>5</v>
      </c>
      <c r="F259">
        <f t="shared" si="14"/>
        <v>0.10943396226415089</v>
      </c>
    </row>
    <row r="260" spans="1:6" x14ac:dyDescent="0.25">
      <c r="A260" t="s">
        <v>35</v>
      </c>
      <c r="B260" s="1">
        <v>46195</v>
      </c>
      <c r="C260">
        <v>56</v>
      </c>
      <c r="D260">
        <f t="shared" si="12"/>
        <v>59</v>
      </c>
      <c r="E260">
        <f t="shared" si="13"/>
        <v>5</v>
      </c>
      <c r="F260">
        <f t="shared" si="14"/>
        <v>5.3571428571428568E-2</v>
      </c>
    </row>
    <row r="261" spans="1:6" x14ac:dyDescent="0.25">
      <c r="A261" t="s">
        <v>35</v>
      </c>
      <c r="B261" s="1">
        <v>46202</v>
      </c>
      <c r="C261">
        <v>72</v>
      </c>
      <c r="D261">
        <f t="shared" si="12"/>
        <v>53.2</v>
      </c>
      <c r="E261">
        <f t="shared" si="13"/>
        <v>5</v>
      </c>
      <c r="F261">
        <f t="shared" si="14"/>
        <v>0.26111111111111107</v>
      </c>
    </row>
    <row r="262" spans="1:6" x14ac:dyDescent="0.25">
      <c r="A262" t="s">
        <v>37</v>
      </c>
      <c r="B262" s="1">
        <v>46027</v>
      </c>
      <c r="C262">
        <v>111</v>
      </c>
      <c r="D262" t="str">
        <f t="shared" si="12"/>
        <v/>
      </c>
      <c r="E262">
        <f t="shared" si="13"/>
        <v>0</v>
      </c>
      <c r="F262" t="str">
        <f t="shared" si="14"/>
        <v/>
      </c>
    </row>
    <row r="263" spans="1:6" x14ac:dyDescent="0.25">
      <c r="A263" t="s">
        <v>37</v>
      </c>
      <c r="B263" s="1">
        <v>46034</v>
      </c>
      <c r="C263">
        <v>124</v>
      </c>
      <c r="D263" t="str">
        <f t="shared" si="12"/>
        <v/>
      </c>
      <c r="E263">
        <f t="shared" si="13"/>
        <v>1</v>
      </c>
      <c r="F263" t="str">
        <f t="shared" si="14"/>
        <v/>
      </c>
    </row>
    <row r="264" spans="1:6" x14ac:dyDescent="0.25">
      <c r="A264" t="s">
        <v>37</v>
      </c>
      <c r="B264" s="1">
        <v>46041</v>
      </c>
      <c r="C264">
        <v>86</v>
      </c>
      <c r="D264" t="str">
        <f t="shared" si="12"/>
        <v/>
      </c>
      <c r="E264">
        <f t="shared" si="13"/>
        <v>2</v>
      </c>
      <c r="F264" t="str">
        <f t="shared" si="14"/>
        <v/>
      </c>
    </row>
    <row r="265" spans="1:6" x14ac:dyDescent="0.25">
      <c r="A265" t="s">
        <v>37</v>
      </c>
      <c r="B265" s="1">
        <v>46048</v>
      </c>
      <c r="C265">
        <v>135</v>
      </c>
      <c r="D265" t="str">
        <f t="shared" si="12"/>
        <v/>
      </c>
      <c r="E265">
        <f t="shared" si="13"/>
        <v>3</v>
      </c>
      <c r="F265" t="str">
        <f t="shared" si="14"/>
        <v/>
      </c>
    </row>
    <row r="266" spans="1:6" x14ac:dyDescent="0.25">
      <c r="A266" t="s">
        <v>37</v>
      </c>
      <c r="B266" s="1">
        <v>46055</v>
      </c>
      <c r="C266">
        <v>106</v>
      </c>
      <c r="D266" t="str">
        <f t="shared" si="12"/>
        <v/>
      </c>
      <c r="E266">
        <f t="shared" si="13"/>
        <v>4</v>
      </c>
      <c r="F266" t="str">
        <f t="shared" si="14"/>
        <v/>
      </c>
    </row>
    <row r="267" spans="1:6" x14ac:dyDescent="0.25">
      <c r="A267" t="s">
        <v>37</v>
      </c>
      <c r="B267" s="1">
        <v>46062</v>
      </c>
      <c r="C267">
        <v>153</v>
      </c>
      <c r="D267">
        <f t="shared" si="12"/>
        <v>112.4</v>
      </c>
      <c r="E267">
        <f t="shared" si="13"/>
        <v>5</v>
      </c>
      <c r="F267">
        <f t="shared" si="14"/>
        <v>0.26535947712418295</v>
      </c>
    </row>
    <row r="268" spans="1:6" x14ac:dyDescent="0.25">
      <c r="A268" t="s">
        <v>37</v>
      </c>
      <c r="B268" s="1">
        <v>46069</v>
      </c>
      <c r="C268">
        <v>109</v>
      </c>
      <c r="D268">
        <f t="shared" si="12"/>
        <v>120.8</v>
      </c>
      <c r="E268">
        <f t="shared" si="13"/>
        <v>5</v>
      </c>
      <c r="F268">
        <f t="shared" si="14"/>
        <v>0.10825688073394493</v>
      </c>
    </row>
    <row r="269" spans="1:6" x14ac:dyDescent="0.25">
      <c r="A269" t="s">
        <v>37</v>
      </c>
      <c r="B269" s="1">
        <v>46076</v>
      </c>
      <c r="C269">
        <v>125</v>
      </c>
      <c r="D269">
        <f t="shared" si="12"/>
        <v>117.8</v>
      </c>
      <c r="E269">
        <f t="shared" si="13"/>
        <v>5</v>
      </c>
      <c r="F269">
        <f t="shared" si="14"/>
        <v>5.7600000000000026E-2</v>
      </c>
    </row>
    <row r="270" spans="1:6" x14ac:dyDescent="0.25">
      <c r="A270" t="s">
        <v>37</v>
      </c>
      <c r="B270" s="1">
        <v>46083</v>
      </c>
      <c r="C270">
        <v>107</v>
      </c>
      <c r="D270">
        <f t="shared" si="12"/>
        <v>125.6</v>
      </c>
      <c r="E270">
        <f t="shared" si="13"/>
        <v>5</v>
      </c>
      <c r="F270">
        <f t="shared" si="14"/>
        <v>0.17383177570093453</v>
      </c>
    </row>
    <row r="271" spans="1:6" x14ac:dyDescent="0.25">
      <c r="A271" t="s">
        <v>37</v>
      </c>
      <c r="B271" s="1">
        <v>46090</v>
      </c>
      <c r="C271">
        <v>95</v>
      </c>
      <c r="D271">
        <f t="shared" si="12"/>
        <v>120</v>
      </c>
      <c r="E271">
        <f t="shared" si="13"/>
        <v>5</v>
      </c>
      <c r="F271">
        <f t="shared" si="14"/>
        <v>0.26315789473684209</v>
      </c>
    </row>
    <row r="272" spans="1:6" x14ac:dyDescent="0.25">
      <c r="A272" t="s">
        <v>37</v>
      </c>
      <c r="B272" s="1">
        <v>46097</v>
      </c>
      <c r="C272">
        <v>137</v>
      </c>
      <c r="D272">
        <f t="shared" si="12"/>
        <v>117.8</v>
      </c>
      <c r="E272">
        <f t="shared" si="13"/>
        <v>5</v>
      </c>
      <c r="F272">
        <f t="shared" si="14"/>
        <v>0.14014598540145987</v>
      </c>
    </row>
    <row r="273" spans="1:6" x14ac:dyDescent="0.25">
      <c r="A273" t="s">
        <v>37</v>
      </c>
      <c r="B273" s="1">
        <v>46104</v>
      </c>
      <c r="C273">
        <v>135</v>
      </c>
      <c r="D273">
        <f t="shared" si="12"/>
        <v>114.6</v>
      </c>
      <c r="E273">
        <f t="shared" si="13"/>
        <v>5</v>
      </c>
      <c r="F273">
        <f t="shared" si="14"/>
        <v>0.15111111111111114</v>
      </c>
    </row>
    <row r="274" spans="1:6" x14ac:dyDescent="0.25">
      <c r="A274" t="s">
        <v>37</v>
      </c>
      <c r="B274" s="1">
        <v>46111</v>
      </c>
      <c r="C274">
        <v>147</v>
      </c>
      <c r="D274">
        <f t="shared" si="12"/>
        <v>119.8</v>
      </c>
      <c r="E274">
        <f t="shared" si="13"/>
        <v>5</v>
      </c>
      <c r="F274">
        <f t="shared" si="14"/>
        <v>0.18503401360544219</v>
      </c>
    </row>
    <row r="275" spans="1:6" x14ac:dyDescent="0.25">
      <c r="A275" t="s">
        <v>37</v>
      </c>
      <c r="B275" s="1">
        <v>46118</v>
      </c>
      <c r="C275">
        <v>137</v>
      </c>
      <c r="D275">
        <f t="shared" si="12"/>
        <v>124.2</v>
      </c>
      <c r="E275">
        <f t="shared" si="13"/>
        <v>5</v>
      </c>
      <c r="F275">
        <f t="shared" si="14"/>
        <v>9.343065693430655E-2</v>
      </c>
    </row>
    <row r="276" spans="1:6" x14ac:dyDescent="0.25">
      <c r="A276" t="s">
        <v>37</v>
      </c>
      <c r="B276" s="1">
        <v>46125</v>
      </c>
      <c r="C276">
        <v>112</v>
      </c>
      <c r="D276">
        <f t="shared" si="12"/>
        <v>130.19999999999999</v>
      </c>
      <c r="E276">
        <f t="shared" si="13"/>
        <v>5</v>
      </c>
      <c r="F276">
        <f t="shared" si="14"/>
        <v>0.16249999999999989</v>
      </c>
    </row>
    <row r="277" spans="1:6" x14ac:dyDescent="0.25">
      <c r="A277" t="s">
        <v>37</v>
      </c>
      <c r="B277" s="1">
        <v>46132</v>
      </c>
      <c r="C277">
        <v>94</v>
      </c>
      <c r="D277">
        <f t="shared" si="12"/>
        <v>133.6</v>
      </c>
      <c r="E277">
        <f t="shared" si="13"/>
        <v>5</v>
      </c>
      <c r="F277">
        <f t="shared" si="14"/>
        <v>0.42127659574468079</v>
      </c>
    </row>
    <row r="278" spans="1:6" x14ac:dyDescent="0.25">
      <c r="A278" t="s">
        <v>37</v>
      </c>
      <c r="B278" s="1">
        <v>46139</v>
      </c>
      <c r="C278">
        <v>113</v>
      </c>
      <c r="D278">
        <f t="shared" si="12"/>
        <v>125</v>
      </c>
      <c r="E278">
        <f t="shared" si="13"/>
        <v>5</v>
      </c>
      <c r="F278">
        <f t="shared" si="14"/>
        <v>0.10619469026548672</v>
      </c>
    </row>
    <row r="279" spans="1:6" x14ac:dyDescent="0.25">
      <c r="A279" t="s">
        <v>37</v>
      </c>
      <c r="B279" s="1">
        <v>46146</v>
      </c>
      <c r="C279">
        <v>114</v>
      </c>
      <c r="D279">
        <f t="shared" si="12"/>
        <v>120.6</v>
      </c>
      <c r="E279">
        <f t="shared" si="13"/>
        <v>5</v>
      </c>
      <c r="F279">
        <f t="shared" si="14"/>
        <v>5.7894736842105214E-2</v>
      </c>
    </row>
    <row r="280" spans="1:6" x14ac:dyDescent="0.25">
      <c r="A280" t="s">
        <v>37</v>
      </c>
      <c r="B280" s="1">
        <v>46153</v>
      </c>
      <c r="C280">
        <v>113</v>
      </c>
      <c r="D280">
        <f t="shared" si="12"/>
        <v>114</v>
      </c>
      <c r="E280">
        <f t="shared" si="13"/>
        <v>5</v>
      </c>
      <c r="F280">
        <f t="shared" si="14"/>
        <v>8.8495575221238937E-3</v>
      </c>
    </row>
    <row r="281" spans="1:6" x14ac:dyDescent="0.25">
      <c r="A281" t="s">
        <v>37</v>
      </c>
      <c r="B281" s="1">
        <v>46160</v>
      </c>
      <c r="C281">
        <v>140</v>
      </c>
      <c r="D281">
        <f t="shared" si="12"/>
        <v>109.2</v>
      </c>
      <c r="E281">
        <f t="shared" si="13"/>
        <v>5</v>
      </c>
      <c r="F281">
        <f t="shared" si="14"/>
        <v>0.21999999999999997</v>
      </c>
    </row>
    <row r="282" spans="1:6" x14ac:dyDescent="0.25">
      <c r="A282" t="s">
        <v>37</v>
      </c>
      <c r="B282" s="1">
        <v>46167</v>
      </c>
      <c r="C282">
        <v>137</v>
      </c>
      <c r="D282">
        <f t="shared" si="12"/>
        <v>114.8</v>
      </c>
      <c r="E282">
        <f t="shared" si="13"/>
        <v>5</v>
      </c>
      <c r="F282">
        <f t="shared" si="14"/>
        <v>0.16204379562043797</v>
      </c>
    </row>
    <row r="283" spans="1:6" x14ac:dyDescent="0.25">
      <c r="A283" t="s">
        <v>37</v>
      </c>
      <c r="B283" s="1">
        <v>46174</v>
      </c>
      <c r="C283">
        <v>127</v>
      </c>
      <c r="D283">
        <f t="shared" si="12"/>
        <v>123.4</v>
      </c>
      <c r="E283">
        <f t="shared" si="13"/>
        <v>5</v>
      </c>
      <c r="F283">
        <f t="shared" si="14"/>
        <v>2.834645669291334E-2</v>
      </c>
    </row>
    <row r="284" spans="1:6" x14ac:dyDescent="0.25">
      <c r="A284" t="s">
        <v>37</v>
      </c>
      <c r="B284" s="1">
        <v>46181</v>
      </c>
      <c r="C284">
        <v>137</v>
      </c>
      <c r="D284">
        <f t="shared" si="12"/>
        <v>126.2</v>
      </c>
      <c r="E284">
        <f t="shared" si="13"/>
        <v>5</v>
      </c>
      <c r="F284">
        <f t="shared" si="14"/>
        <v>7.8832116788321152E-2</v>
      </c>
    </row>
    <row r="285" spans="1:6" x14ac:dyDescent="0.25">
      <c r="A285" t="s">
        <v>37</v>
      </c>
      <c r="B285" s="1">
        <v>46188</v>
      </c>
      <c r="C285">
        <v>132</v>
      </c>
      <c r="D285">
        <f t="shared" si="12"/>
        <v>130.80000000000001</v>
      </c>
      <c r="E285">
        <f t="shared" si="13"/>
        <v>5</v>
      </c>
      <c r="F285">
        <f t="shared" si="14"/>
        <v>9.0909090909090055E-3</v>
      </c>
    </row>
    <row r="286" spans="1:6" x14ac:dyDescent="0.25">
      <c r="A286" t="s">
        <v>37</v>
      </c>
      <c r="B286" s="1">
        <v>46195</v>
      </c>
      <c r="C286">
        <v>140</v>
      </c>
      <c r="D286">
        <f t="shared" si="12"/>
        <v>134.6</v>
      </c>
      <c r="E286">
        <f t="shared" si="13"/>
        <v>5</v>
      </c>
      <c r="F286">
        <f t="shared" si="14"/>
        <v>3.8571428571428611E-2</v>
      </c>
    </row>
    <row r="287" spans="1:6" x14ac:dyDescent="0.25">
      <c r="A287" t="s">
        <v>37</v>
      </c>
      <c r="B287" s="1">
        <v>46202</v>
      </c>
      <c r="C287">
        <v>151</v>
      </c>
      <c r="D287">
        <f t="shared" si="12"/>
        <v>134.6</v>
      </c>
      <c r="E287">
        <f t="shared" si="13"/>
        <v>5</v>
      </c>
      <c r="F287">
        <f t="shared" si="14"/>
        <v>0.10860927152317884</v>
      </c>
    </row>
    <row r="288" spans="1:6" x14ac:dyDescent="0.25">
      <c r="A288" t="s">
        <v>39</v>
      </c>
      <c r="B288" s="1">
        <v>46027</v>
      </c>
      <c r="C288">
        <v>66</v>
      </c>
      <c r="D288" t="str">
        <f t="shared" si="12"/>
        <v/>
      </c>
      <c r="E288">
        <f t="shared" si="13"/>
        <v>0</v>
      </c>
      <c r="F288" t="str">
        <f t="shared" si="14"/>
        <v/>
      </c>
    </row>
    <row r="289" spans="1:6" x14ac:dyDescent="0.25">
      <c r="A289" t="s">
        <v>39</v>
      </c>
      <c r="B289" s="1">
        <v>46034</v>
      </c>
      <c r="C289">
        <v>102</v>
      </c>
      <c r="D289" t="str">
        <f t="shared" si="12"/>
        <v/>
      </c>
      <c r="E289">
        <f t="shared" si="13"/>
        <v>1</v>
      </c>
      <c r="F289" t="str">
        <f t="shared" si="14"/>
        <v/>
      </c>
    </row>
    <row r="290" spans="1:6" x14ac:dyDescent="0.25">
      <c r="A290" t="s">
        <v>39</v>
      </c>
      <c r="B290" s="1">
        <v>46041</v>
      </c>
      <c r="C290">
        <v>88</v>
      </c>
      <c r="D290" t="str">
        <f t="shared" si="12"/>
        <v/>
      </c>
      <c r="E290">
        <f t="shared" si="13"/>
        <v>2</v>
      </c>
      <c r="F290" t="str">
        <f t="shared" si="14"/>
        <v/>
      </c>
    </row>
    <row r="291" spans="1:6" x14ac:dyDescent="0.25">
      <c r="A291" t="s">
        <v>39</v>
      </c>
      <c r="B291" s="1">
        <v>46048</v>
      </c>
      <c r="C291">
        <v>100</v>
      </c>
      <c r="D291" t="str">
        <f t="shared" si="12"/>
        <v/>
      </c>
      <c r="E291">
        <f t="shared" si="13"/>
        <v>3</v>
      </c>
      <c r="F291" t="str">
        <f t="shared" si="14"/>
        <v/>
      </c>
    </row>
    <row r="292" spans="1:6" x14ac:dyDescent="0.25">
      <c r="A292" t="s">
        <v>39</v>
      </c>
      <c r="B292" s="1">
        <v>46055</v>
      </c>
      <c r="C292">
        <v>69</v>
      </c>
      <c r="D292" t="str">
        <f t="shared" si="12"/>
        <v/>
      </c>
      <c r="E292">
        <f t="shared" si="13"/>
        <v>4</v>
      </c>
      <c r="F292" t="str">
        <f t="shared" si="14"/>
        <v/>
      </c>
    </row>
    <row r="293" spans="1:6" x14ac:dyDescent="0.25">
      <c r="A293" t="s">
        <v>39</v>
      </c>
      <c r="B293" s="1">
        <v>46062</v>
      </c>
      <c r="C293">
        <v>86</v>
      </c>
      <c r="D293">
        <f t="shared" si="12"/>
        <v>85</v>
      </c>
      <c r="E293">
        <f t="shared" si="13"/>
        <v>5</v>
      </c>
      <c r="F293">
        <f t="shared" si="14"/>
        <v>1.1627906976744186E-2</v>
      </c>
    </row>
    <row r="294" spans="1:6" x14ac:dyDescent="0.25">
      <c r="A294" t="s">
        <v>39</v>
      </c>
      <c r="B294" s="1">
        <v>46069</v>
      </c>
      <c r="C294">
        <v>91</v>
      </c>
      <c r="D294">
        <f t="shared" si="12"/>
        <v>89</v>
      </c>
      <c r="E294">
        <f t="shared" si="13"/>
        <v>5</v>
      </c>
      <c r="F294">
        <f t="shared" si="14"/>
        <v>2.197802197802198E-2</v>
      </c>
    </row>
    <row r="295" spans="1:6" x14ac:dyDescent="0.25">
      <c r="A295" t="s">
        <v>39</v>
      </c>
      <c r="B295" s="1">
        <v>46076</v>
      </c>
      <c r="C295">
        <v>75</v>
      </c>
      <c r="D295">
        <f t="shared" si="12"/>
        <v>86.8</v>
      </c>
      <c r="E295">
        <f t="shared" si="13"/>
        <v>5</v>
      </c>
      <c r="F295">
        <f t="shared" si="14"/>
        <v>0.1573333333333333</v>
      </c>
    </row>
    <row r="296" spans="1:6" x14ac:dyDescent="0.25">
      <c r="A296" t="s">
        <v>39</v>
      </c>
      <c r="B296" s="1">
        <v>46083</v>
      </c>
      <c r="C296">
        <v>87</v>
      </c>
      <c r="D296">
        <f t="shared" si="12"/>
        <v>84.2</v>
      </c>
      <c r="E296">
        <f t="shared" si="13"/>
        <v>5</v>
      </c>
      <c r="F296">
        <f t="shared" si="14"/>
        <v>3.2183908045976976E-2</v>
      </c>
    </row>
    <row r="297" spans="1:6" x14ac:dyDescent="0.25">
      <c r="A297" t="s">
        <v>39</v>
      </c>
      <c r="B297" s="1">
        <v>46090</v>
      </c>
      <c r="C297">
        <v>103</v>
      </c>
      <c r="D297">
        <f t="shared" si="12"/>
        <v>81.599999999999994</v>
      </c>
      <c r="E297">
        <f t="shared" si="13"/>
        <v>5</v>
      </c>
      <c r="F297">
        <f t="shared" si="14"/>
        <v>0.20776699029126219</v>
      </c>
    </row>
    <row r="298" spans="1:6" x14ac:dyDescent="0.25">
      <c r="A298" t="s">
        <v>39</v>
      </c>
      <c r="B298" s="1">
        <v>46097</v>
      </c>
      <c r="C298">
        <v>108</v>
      </c>
      <c r="D298">
        <f t="shared" si="12"/>
        <v>88.4</v>
      </c>
      <c r="E298">
        <f t="shared" si="13"/>
        <v>5</v>
      </c>
      <c r="F298">
        <f t="shared" si="14"/>
        <v>0.18148148148148144</v>
      </c>
    </row>
    <row r="299" spans="1:6" x14ac:dyDescent="0.25">
      <c r="A299" t="s">
        <v>39</v>
      </c>
      <c r="B299" s="1">
        <v>46104</v>
      </c>
      <c r="C299">
        <v>115</v>
      </c>
      <c r="D299">
        <f t="shared" si="12"/>
        <v>92.8</v>
      </c>
      <c r="E299">
        <f t="shared" si="13"/>
        <v>5</v>
      </c>
      <c r="F299">
        <f t="shared" si="14"/>
        <v>0.19304347826086959</v>
      </c>
    </row>
    <row r="300" spans="1:6" x14ac:dyDescent="0.25">
      <c r="A300" t="s">
        <v>39</v>
      </c>
      <c r="B300" s="1">
        <v>46111</v>
      </c>
      <c r="C300">
        <v>87</v>
      </c>
      <c r="D300">
        <f t="shared" si="12"/>
        <v>97.6</v>
      </c>
      <c r="E300">
        <f t="shared" si="13"/>
        <v>5</v>
      </c>
      <c r="F300">
        <f t="shared" si="14"/>
        <v>0.12183908045977004</v>
      </c>
    </row>
    <row r="301" spans="1:6" x14ac:dyDescent="0.25">
      <c r="A301" t="s">
        <v>39</v>
      </c>
      <c r="B301" s="1">
        <v>46118</v>
      </c>
      <c r="C301">
        <v>82</v>
      </c>
      <c r="D301">
        <f t="shared" si="12"/>
        <v>100</v>
      </c>
      <c r="E301">
        <f t="shared" si="13"/>
        <v>5</v>
      </c>
      <c r="F301">
        <f t="shared" si="14"/>
        <v>0.21951219512195122</v>
      </c>
    </row>
    <row r="302" spans="1:6" x14ac:dyDescent="0.25">
      <c r="A302" t="s">
        <v>39</v>
      </c>
      <c r="B302" s="1">
        <v>46125</v>
      </c>
      <c r="C302">
        <v>106</v>
      </c>
      <c r="D302">
        <f t="shared" si="12"/>
        <v>99</v>
      </c>
      <c r="E302">
        <f t="shared" si="13"/>
        <v>5</v>
      </c>
      <c r="F302">
        <f t="shared" si="14"/>
        <v>6.6037735849056603E-2</v>
      </c>
    </row>
    <row r="303" spans="1:6" x14ac:dyDescent="0.25">
      <c r="A303" t="s">
        <v>39</v>
      </c>
      <c r="B303" s="1">
        <v>46132</v>
      </c>
      <c r="C303">
        <v>112</v>
      </c>
      <c r="D303">
        <f t="shared" si="12"/>
        <v>99.6</v>
      </c>
      <c r="E303">
        <f t="shared" si="13"/>
        <v>5</v>
      </c>
      <c r="F303">
        <f t="shared" si="14"/>
        <v>0.11071428571428577</v>
      </c>
    </row>
    <row r="304" spans="1:6" x14ac:dyDescent="0.25">
      <c r="A304" t="s">
        <v>39</v>
      </c>
      <c r="B304" s="1">
        <v>46139</v>
      </c>
      <c r="C304">
        <v>104</v>
      </c>
      <c r="D304">
        <f t="shared" si="12"/>
        <v>100.4</v>
      </c>
      <c r="E304">
        <f t="shared" si="13"/>
        <v>5</v>
      </c>
      <c r="F304">
        <f t="shared" si="14"/>
        <v>3.4615384615384562E-2</v>
      </c>
    </row>
    <row r="305" spans="1:6" x14ac:dyDescent="0.25">
      <c r="A305" t="s">
        <v>39</v>
      </c>
      <c r="B305" s="1">
        <v>46146</v>
      </c>
      <c r="C305">
        <v>88</v>
      </c>
      <c r="D305">
        <f t="shared" si="12"/>
        <v>98.2</v>
      </c>
      <c r="E305">
        <f t="shared" si="13"/>
        <v>5</v>
      </c>
      <c r="F305">
        <f t="shared" si="14"/>
        <v>0.11590909090909095</v>
      </c>
    </row>
    <row r="306" spans="1:6" x14ac:dyDescent="0.25">
      <c r="A306" t="s">
        <v>39</v>
      </c>
      <c r="B306" s="1">
        <v>46153</v>
      </c>
      <c r="C306">
        <v>114</v>
      </c>
      <c r="D306">
        <f t="shared" si="12"/>
        <v>98.4</v>
      </c>
      <c r="E306">
        <f t="shared" si="13"/>
        <v>5</v>
      </c>
      <c r="F306">
        <f t="shared" si="14"/>
        <v>0.13684210526315785</v>
      </c>
    </row>
    <row r="307" spans="1:6" x14ac:dyDescent="0.25">
      <c r="A307" t="s">
        <v>39</v>
      </c>
      <c r="B307" s="1">
        <v>46160</v>
      </c>
      <c r="C307">
        <v>115</v>
      </c>
      <c r="D307">
        <f t="shared" si="12"/>
        <v>104.8</v>
      </c>
      <c r="E307">
        <f t="shared" si="13"/>
        <v>5</v>
      </c>
      <c r="F307">
        <f t="shared" si="14"/>
        <v>8.8695652173913064E-2</v>
      </c>
    </row>
    <row r="308" spans="1:6" x14ac:dyDescent="0.25">
      <c r="A308" t="s">
        <v>39</v>
      </c>
      <c r="B308" s="1">
        <v>46167</v>
      </c>
      <c r="C308">
        <v>113</v>
      </c>
      <c r="D308">
        <f t="shared" si="12"/>
        <v>106.6</v>
      </c>
      <c r="E308">
        <f t="shared" si="13"/>
        <v>5</v>
      </c>
      <c r="F308">
        <f t="shared" si="14"/>
        <v>5.6637168141592968E-2</v>
      </c>
    </row>
    <row r="309" spans="1:6" x14ac:dyDescent="0.25">
      <c r="A309" t="s">
        <v>39</v>
      </c>
      <c r="B309" s="1">
        <v>46174</v>
      </c>
      <c r="C309">
        <v>102</v>
      </c>
      <c r="D309">
        <f t="shared" si="12"/>
        <v>106.8</v>
      </c>
      <c r="E309">
        <f t="shared" si="13"/>
        <v>5</v>
      </c>
      <c r="F309">
        <f t="shared" si="14"/>
        <v>4.7058823529411736E-2</v>
      </c>
    </row>
    <row r="310" spans="1:6" x14ac:dyDescent="0.25">
      <c r="A310" t="s">
        <v>39</v>
      </c>
      <c r="B310" s="1">
        <v>46181</v>
      </c>
      <c r="C310">
        <v>112</v>
      </c>
      <c r="D310">
        <f t="shared" si="12"/>
        <v>106.4</v>
      </c>
      <c r="E310">
        <f t="shared" si="13"/>
        <v>5</v>
      </c>
      <c r="F310">
        <f t="shared" si="14"/>
        <v>4.9999999999999947E-2</v>
      </c>
    </row>
    <row r="311" spans="1:6" x14ac:dyDescent="0.25">
      <c r="A311" t="s">
        <v>39</v>
      </c>
      <c r="B311" s="1">
        <v>46188</v>
      </c>
      <c r="C311">
        <v>119</v>
      </c>
      <c r="D311">
        <f t="shared" si="12"/>
        <v>111.2</v>
      </c>
      <c r="E311">
        <f t="shared" si="13"/>
        <v>5</v>
      </c>
      <c r="F311">
        <f t="shared" si="14"/>
        <v>6.5546218487394933E-2</v>
      </c>
    </row>
    <row r="312" spans="1:6" x14ac:dyDescent="0.25">
      <c r="A312" t="s">
        <v>39</v>
      </c>
      <c r="B312" s="1">
        <v>46195</v>
      </c>
      <c r="C312">
        <v>105</v>
      </c>
      <c r="D312">
        <f t="shared" si="12"/>
        <v>112.2</v>
      </c>
      <c r="E312">
        <f t="shared" si="13"/>
        <v>5</v>
      </c>
      <c r="F312">
        <f t="shared" si="14"/>
        <v>6.8571428571428603E-2</v>
      </c>
    </row>
    <row r="313" spans="1:6" x14ac:dyDescent="0.25">
      <c r="A313" t="s">
        <v>39</v>
      </c>
      <c r="B313" s="1">
        <v>46202</v>
      </c>
      <c r="C313">
        <v>91</v>
      </c>
      <c r="D313">
        <f t="shared" si="12"/>
        <v>110.2</v>
      </c>
      <c r="E313">
        <f t="shared" si="13"/>
        <v>5</v>
      </c>
      <c r="F313">
        <f t="shared" si="14"/>
        <v>0.21098901098901102</v>
      </c>
    </row>
    <row r="314" spans="1:6" x14ac:dyDescent="0.25">
      <c r="A314" t="s">
        <v>41</v>
      </c>
      <c r="B314" s="1">
        <v>46027</v>
      </c>
      <c r="C314">
        <v>61</v>
      </c>
      <c r="D314" t="str">
        <f t="shared" si="12"/>
        <v/>
      </c>
      <c r="E314">
        <f t="shared" si="13"/>
        <v>0</v>
      </c>
      <c r="F314" t="str">
        <f t="shared" si="14"/>
        <v/>
      </c>
    </row>
    <row r="315" spans="1:6" x14ac:dyDescent="0.25">
      <c r="A315" t="s">
        <v>41</v>
      </c>
      <c r="B315" s="1">
        <v>46034</v>
      </c>
      <c r="C315">
        <v>30</v>
      </c>
      <c r="D315" t="str">
        <f t="shared" si="12"/>
        <v/>
      </c>
      <c r="E315">
        <f t="shared" si="13"/>
        <v>1</v>
      </c>
      <c r="F315" t="str">
        <f t="shared" si="14"/>
        <v/>
      </c>
    </row>
    <row r="316" spans="1:6" x14ac:dyDescent="0.25">
      <c r="A316" t="s">
        <v>41</v>
      </c>
      <c r="B316" s="1">
        <v>46041</v>
      </c>
      <c r="C316">
        <v>22</v>
      </c>
      <c r="D316" t="str">
        <f t="shared" si="12"/>
        <v/>
      </c>
      <c r="E316">
        <f t="shared" si="13"/>
        <v>2</v>
      </c>
      <c r="F316" t="str">
        <f t="shared" si="14"/>
        <v/>
      </c>
    </row>
    <row r="317" spans="1:6" x14ac:dyDescent="0.25">
      <c r="A317" t="s">
        <v>41</v>
      </c>
      <c r="B317" s="1">
        <v>46048</v>
      </c>
      <c r="C317">
        <v>26</v>
      </c>
      <c r="D317" t="str">
        <f t="shared" si="12"/>
        <v/>
      </c>
      <c r="E317">
        <f t="shared" si="13"/>
        <v>3</v>
      </c>
      <c r="F317" t="str">
        <f t="shared" si="14"/>
        <v/>
      </c>
    </row>
    <row r="318" spans="1:6" x14ac:dyDescent="0.25">
      <c r="A318" t="s">
        <v>41</v>
      </c>
      <c r="B318" s="1">
        <v>46055</v>
      </c>
      <c r="C318">
        <v>39</v>
      </c>
      <c r="D318" t="str">
        <f t="shared" si="12"/>
        <v/>
      </c>
      <c r="E318">
        <f t="shared" si="13"/>
        <v>4</v>
      </c>
      <c r="F318" t="str">
        <f t="shared" si="14"/>
        <v/>
      </c>
    </row>
    <row r="319" spans="1:6" x14ac:dyDescent="0.25">
      <c r="A319" t="s">
        <v>41</v>
      </c>
      <c r="B319" s="1">
        <v>46062</v>
      </c>
      <c r="C319">
        <v>78</v>
      </c>
      <c r="D319">
        <f t="shared" si="12"/>
        <v>35.6</v>
      </c>
      <c r="E319">
        <f t="shared" si="13"/>
        <v>5</v>
      </c>
      <c r="F319">
        <f t="shared" si="14"/>
        <v>0.54358974358974355</v>
      </c>
    </row>
    <row r="320" spans="1:6" x14ac:dyDescent="0.25">
      <c r="A320" t="s">
        <v>41</v>
      </c>
      <c r="B320" s="1">
        <v>46069</v>
      </c>
      <c r="C320">
        <v>34</v>
      </c>
      <c r="D320">
        <f t="shared" si="12"/>
        <v>39</v>
      </c>
      <c r="E320">
        <f t="shared" si="13"/>
        <v>5</v>
      </c>
      <c r="F320">
        <f t="shared" si="14"/>
        <v>0.14705882352941177</v>
      </c>
    </row>
    <row r="321" spans="1:6" x14ac:dyDescent="0.25">
      <c r="A321" t="s">
        <v>41</v>
      </c>
      <c r="B321" s="1">
        <v>46076</v>
      </c>
      <c r="C321">
        <v>79</v>
      </c>
      <c r="D321">
        <f t="shared" si="12"/>
        <v>39.799999999999997</v>
      </c>
      <c r="E321">
        <f t="shared" si="13"/>
        <v>5</v>
      </c>
      <c r="F321">
        <f t="shared" si="14"/>
        <v>0.49620253164556966</v>
      </c>
    </row>
    <row r="322" spans="1:6" x14ac:dyDescent="0.25">
      <c r="A322" t="s">
        <v>41</v>
      </c>
      <c r="B322" s="1">
        <v>46083</v>
      </c>
      <c r="C322">
        <v>48</v>
      </c>
      <c r="D322">
        <f t="shared" ref="D322:D385" si="15">IF(E322 &lt; 5, "", AVERAGEIFS(C:C, A:A, A322, B:B, "&gt;=" &amp; (B322-35), B:B, "&lt;=" &amp; (B322-7)))</f>
        <v>51.2</v>
      </c>
      <c r="E322">
        <f t="shared" ref="E322:E385" si="16">COUNTIFS(A:A, A322, B:B, "&gt;=" &amp; (B322-35), B:B, "&lt;=" &amp; (B322-7))</f>
        <v>5</v>
      </c>
      <c r="F322">
        <f t="shared" ref="F322:F385" si="17">IF(OR(C322=0, D322=""), "", ABS(C322 - D322) / C322)</f>
        <v>6.6666666666666721E-2</v>
      </c>
    </row>
    <row r="323" spans="1:6" x14ac:dyDescent="0.25">
      <c r="A323" t="s">
        <v>41</v>
      </c>
      <c r="B323" s="1">
        <v>46090</v>
      </c>
      <c r="C323">
        <v>38</v>
      </c>
      <c r="D323">
        <f t="shared" si="15"/>
        <v>55.6</v>
      </c>
      <c r="E323">
        <f t="shared" si="16"/>
        <v>5</v>
      </c>
      <c r="F323">
        <f t="shared" si="17"/>
        <v>0.46315789473684216</v>
      </c>
    </row>
    <row r="324" spans="1:6" x14ac:dyDescent="0.25">
      <c r="A324" t="s">
        <v>41</v>
      </c>
      <c r="B324" s="1">
        <v>46097</v>
      </c>
      <c r="C324">
        <v>33</v>
      </c>
      <c r="D324">
        <f t="shared" si="15"/>
        <v>55.4</v>
      </c>
      <c r="E324">
        <f t="shared" si="16"/>
        <v>5</v>
      </c>
      <c r="F324">
        <f t="shared" si="17"/>
        <v>0.67878787878787872</v>
      </c>
    </row>
    <row r="325" spans="1:6" x14ac:dyDescent="0.25">
      <c r="A325" t="s">
        <v>41</v>
      </c>
      <c r="B325" s="1">
        <v>46104</v>
      </c>
      <c r="C325">
        <v>30</v>
      </c>
      <c r="D325">
        <f t="shared" si="15"/>
        <v>46.4</v>
      </c>
      <c r="E325">
        <f t="shared" si="16"/>
        <v>5</v>
      </c>
      <c r="F325">
        <f t="shared" si="17"/>
        <v>0.54666666666666663</v>
      </c>
    </row>
    <row r="326" spans="1:6" x14ac:dyDescent="0.25">
      <c r="A326" t="s">
        <v>41</v>
      </c>
      <c r="B326" s="1">
        <v>46111</v>
      </c>
      <c r="C326">
        <v>45</v>
      </c>
      <c r="D326">
        <f t="shared" si="15"/>
        <v>45.6</v>
      </c>
      <c r="E326">
        <f t="shared" si="16"/>
        <v>5</v>
      </c>
      <c r="F326">
        <f t="shared" si="17"/>
        <v>1.3333333333333365E-2</v>
      </c>
    </row>
    <row r="327" spans="1:6" x14ac:dyDescent="0.25">
      <c r="A327" t="s">
        <v>41</v>
      </c>
      <c r="B327" s="1">
        <v>46118</v>
      </c>
      <c r="C327">
        <v>48</v>
      </c>
      <c r="D327">
        <f t="shared" si="15"/>
        <v>38.799999999999997</v>
      </c>
      <c r="E327">
        <f t="shared" si="16"/>
        <v>5</v>
      </c>
      <c r="F327">
        <f t="shared" si="17"/>
        <v>0.19166666666666674</v>
      </c>
    </row>
    <row r="328" spans="1:6" x14ac:dyDescent="0.25">
      <c r="A328" t="s">
        <v>41</v>
      </c>
      <c r="B328" s="1">
        <v>46125</v>
      </c>
      <c r="C328">
        <v>36</v>
      </c>
      <c r="D328">
        <f t="shared" si="15"/>
        <v>38.799999999999997</v>
      </c>
      <c r="E328">
        <f t="shared" si="16"/>
        <v>5</v>
      </c>
      <c r="F328">
        <f t="shared" si="17"/>
        <v>7.7777777777777696E-2</v>
      </c>
    </row>
    <row r="329" spans="1:6" x14ac:dyDescent="0.25">
      <c r="A329" t="s">
        <v>41</v>
      </c>
      <c r="B329" s="1">
        <v>46132</v>
      </c>
      <c r="C329">
        <v>54</v>
      </c>
      <c r="D329">
        <f t="shared" si="15"/>
        <v>38.4</v>
      </c>
      <c r="E329">
        <f t="shared" si="16"/>
        <v>5</v>
      </c>
      <c r="F329">
        <f t="shared" si="17"/>
        <v>0.28888888888888892</v>
      </c>
    </row>
    <row r="330" spans="1:6" x14ac:dyDescent="0.25">
      <c r="A330" t="s">
        <v>41</v>
      </c>
      <c r="B330" s="1">
        <v>46139</v>
      </c>
      <c r="C330">
        <v>40</v>
      </c>
      <c r="D330">
        <f t="shared" si="15"/>
        <v>42.6</v>
      </c>
      <c r="E330">
        <f t="shared" si="16"/>
        <v>5</v>
      </c>
      <c r="F330">
        <f t="shared" si="17"/>
        <v>6.500000000000003E-2</v>
      </c>
    </row>
    <row r="331" spans="1:6" x14ac:dyDescent="0.25">
      <c r="A331" t="s">
        <v>41</v>
      </c>
      <c r="B331" s="1">
        <v>46146</v>
      </c>
      <c r="C331">
        <v>50</v>
      </c>
      <c r="D331">
        <f t="shared" si="15"/>
        <v>44.6</v>
      </c>
      <c r="E331">
        <f t="shared" si="16"/>
        <v>5</v>
      </c>
      <c r="F331">
        <f t="shared" si="17"/>
        <v>0.10799999999999997</v>
      </c>
    </row>
    <row r="332" spans="1:6" x14ac:dyDescent="0.25">
      <c r="A332" t="s">
        <v>41</v>
      </c>
      <c r="B332" s="1">
        <v>46153</v>
      </c>
      <c r="C332">
        <v>54</v>
      </c>
      <c r="D332">
        <f t="shared" si="15"/>
        <v>45.6</v>
      </c>
      <c r="E332">
        <f t="shared" si="16"/>
        <v>5</v>
      </c>
      <c r="F332">
        <f t="shared" si="17"/>
        <v>0.15555555555555553</v>
      </c>
    </row>
    <row r="333" spans="1:6" x14ac:dyDescent="0.25">
      <c r="A333" t="s">
        <v>41</v>
      </c>
      <c r="B333" s="1">
        <v>46160</v>
      </c>
      <c r="C333">
        <v>35</v>
      </c>
      <c r="D333">
        <f t="shared" si="15"/>
        <v>46.8</v>
      </c>
      <c r="E333">
        <f t="shared" si="16"/>
        <v>5</v>
      </c>
      <c r="F333">
        <f t="shared" si="17"/>
        <v>0.33714285714285708</v>
      </c>
    </row>
    <row r="334" spans="1:6" x14ac:dyDescent="0.25">
      <c r="A334" t="s">
        <v>41</v>
      </c>
      <c r="B334" s="1">
        <v>46167</v>
      </c>
      <c r="C334">
        <v>57</v>
      </c>
      <c r="D334">
        <f t="shared" si="15"/>
        <v>46.6</v>
      </c>
      <c r="E334">
        <f t="shared" si="16"/>
        <v>5</v>
      </c>
      <c r="F334">
        <f t="shared" si="17"/>
        <v>0.18245614035087718</v>
      </c>
    </row>
    <row r="335" spans="1:6" x14ac:dyDescent="0.25">
      <c r="A335" t="s">
        <v>41</v>
      </c>
      <c r="B335" s="1">
        <v>46174</v>
      </c>
      <c r="C335">
        <v>31</v>
      </c>
      <c r="D335">
        <f t="shared" si="15"/>
        <v>47.2</v>
      </c>
      <c r="E335">
        <f t="shared" si="16"/>
        <v>5</v>
      </c>
      <c r="F335">
        <f t="shared" si="17"/>
        <v>0.52258064516129044</v>
      </c>
    </row>
    <row r="336" spans="1:6" x14ac:dyDescent="0.25">
      <c r="A336" t="s">
        <v>41</v>
      </c>
      <c r="B336" s="1">
        <v>46181</v>
      </c>
      <c r="C336">
        <v>77</v>
      </c>
      <c r="D336">
        <f t="shared" si="15"/>
        <v>45.4</v>
      </c>
      <c r="E336">
        <f t="shared" si="16"/>
        <v>5</v>
      </c>
      <c r="F336">
        <f t="shared" si="17"/>
        <v>0.41038961038961042</v>
      </c>
    </row>
    <row r="337" spans="1:6" x14ac:dyDescent="0.25">
      <c r="A337" t="s">
        <v>41</v>
      </c>
      <c r="B337" s="1">
        <v>46188</v>
      </c>
      <c r="C337">
        <v>47</v>
      </c>
      <c r="D337">
        <f t="shared" si="15"/>
        <v>50.8</v>
      </c>
      <c r="E337">
        <f t="shared" si="16"/>
        <v>5</v>
      </c>
      <c r="F337">
        <f t="shared" si="17"/>
        <v>8.085106382978717E-2</v>
      </c>
    </row>
    <row r="338" spans="1:6" x14ac:dyDescent="0.25">
      <c r="A338" t="s">
        <v>41</v>
      </c>
      <c r="B338" s="1">
        <v>46195</v>
      </c>
      <c r="C338">
        <v>34</v>
      </c>
      <c r="D338">
        <f t="shared" si="15"/>
        <v>49.4</v>
      </c>
      <c r="E338">
        <f t="shared" si="16"/>
        <v>5</v>
      </c>
      <c r="F338">
        <f t="shared" si="17"/>
        <v>0.45294117647058818</v>
      </c>
    </row>
    <row r="339" spans="1:6" x14ac:dyDescent="0.25">
      <c r="A339" t="s">
        <v>41</v>
      </c>
      <c r="B339" s="1">
        <v>46202</v>
      </c>
      <c r="C339">
        <v>50</v>
      </c>
      <c r="D339">
        <f t="shared" si="15"/>
        <v>49.2</v>
      </c>
      <c r="E339">
        <f t="shared" si="16"/>
        <v>5</v>
      </c>
      <c r="F339">
        <f t="shared" si="17"/>
        <v>1.5999999999999945E-2</v>
      </c>
    </row>
    <row r="340" spans="1:6" x14ac:dyDescent="0.25">
      <c r="A340" t="s">
        <v>43</v>
      </c>
      <c r="B340" s="1">
        <v>46027</v>
      </c>
      <c r="C340">
        <v>103</v>
      </c>
      <c r="D340" t="str">
        <f t="shared" si="15"/>
        <v/>
      </c>
      <c r="E340">
        <f t="shared" si="16"/>
        <v>0</v>
      </c>
      <c r="F340" t="str">
        <f t="shared" si="17"/>
        <v/>
      </c>
    </row>
    <row r="341" spans="1:6" x14ac:dyDescent="0.25">
      <c r="A341" t="s">
        <v>43</v>
      </c>
      <c r="B341" s="1">
        <v>46034</v>
      </c>
      <c r="C341">
        <v>97</v>
      </c>
      <c r="D341" t="str">
        <f t="shared" si="15"/>
        <v/>
      </c>
      <c r="E341">
        <f t="shared" si="16"/>
        <v>1</v>
      </c>
      <c r="F341" t="str">
        <f t="shared" si="17"/>
        <v/>
      </c>
    </row>
    <row r="342" spans="1:6" x14ac:dyDescent="0.25">
      <c r="A342" t="s">
        <v>43</v>
      </c>
      <c r="B342" s="1">
        <v>46041</v>
      </c>
      <c r="C342">
        <v>97</v>
      </c>
      <c r="D342" t="str">
        <f t="shared" si="15"/>
        <v/>
      </c>
      <c r="E342">
        <f t="shared" si="16"/>
        <v>2</v>
      </c>
      <c r="F342" t="str">
        <f t="shared" si="17"/>
        <v/>
      </c>
    </row>
    <row r="343" spans="1:6" x14ac:dyDescent="0.25">
      <c r="A343" t="s">
        <v>43</v>
      </c>
      <c r="B343" s="1">
        <v>46048</v>
      </c>
      <c r="C343">
        <v>98</v>
      </c>
      <c r="D343" t="str">
        <f t="shared" si="15"/>
        <v/>
      </c>
      <c r="E343">
        <f t="shared" si="16"/>
        <v>3</v>
      </c>
      <c r="F343" t="str">
        <f t="shared" si="17"/>
        <v/>
      </c>
    </row>
    <row r="344" spans="1:6" x14ac:dyDescent="0.25">
      <c r="A344" t="s">
        <v>43</v>
      </c>
      <c r="B344" s="1">
        <v>46055</v>
      </c>
      <c r="C344">
        <v>101</v>
      </c>
      <c r="D344" t="str">
        <f t="shared" si="15"/>
        <v/>
      </c>
      <c r="E344">
        <f t="shared" si="16"/>
        <v>4</v>
      </c>
      <c r="F344" t="str">
        <f t="shared" si="17"/>
        <v/>
      </c>
    </row>
    <row r="345" spans="1:6" x14ac:dyDescent="0.25">
      <c r="A345" t="s">
        <v>43</v>
      </c>
      <c r="B345" s="1">
        <v>46062</v>
      </c>
      <c r="C345">
        <v>123</v>
      </c>
      <c r="D345">
        <f t="shared" si="15"/>
        <v>99.2</v>
      </c>
      <c r="E345">
        <f t="shared" si="16"/>
        <v>5</v>
      </c>
      <c r="F345">
        <f t="shared" si="17"/>
        <v>0.19349593495934958</v>
      </c>
    </row>
    <row r="346" spans="1:6" x14ac:dyDescent="0.25">
      <c r="A346" t="s">
        <v>43</v>
      </c>
      <c r="B346" s="1">
        <v>46069</v>
      </c>
      <c r="C346">
        <v>98</v>
      </c>
      <c r="D346">
        <f t="shared" si="15"/>
        <v>103.2</v>
      </c>
      <c r="E346">
        <f t="shared" si="16"/>
        <v>5</v>
      </c>
      <c r="F346">
        <f t="shared" si="17"/>
        <v>5.3061224489795944E-2</v>
      </c>
    </row>
    <row r="347" spans="1:6" x14ac:dyDescent="0.25">
      <c r="A347" t="s">
        <v>43</v>
      </c>
      <c r="B347" s="1">
        <v>46076</v>
      </c>
      <c r="C347">
        <v>90</v>
      </c>
      <c r="D347">
        <f t="shared" si="15"/>
        <v>103.4</v>
      </c>
      <c r="E347">
        <f t="shared" si="16"/>
        <v>5</v>
      </c>
      <c r="F347">
        <f t="shared" si="17"/>
        <v>0.14888888888888896</v>
      </c>
    </row>
    <row r="348" spans="1:6" x14ac:dyDescent="0.25">
      <c r="A348" t="s">
        <v>43</v>
      </c>
      <c r="B348" s="1">
        <v>46083</v>
      </c>
      <c r="C348">
        <v>92</v>
      </c>
      <c r="D348">
        <f t="shared" si="15"/>
        <v>102</v>
      </c>
      <c r="E348">
        <f t="shared" si="16"/>
        <v>5</v>
      </c>
      <c r="F348">
        <f t="shared" si="17"/>
        <v>0.10869565217391304</v>
      </c>
    </row>
    <row r="349" spans="1:6" x14ac:dyDescent="0.25">
      <c r="A349" t="s">
        <v>43</v>
      </c>
      <c r="B349" s="1">
        <v>46090</v>
      </c>
      <c r="C349">
        <v>90</v>
      </c>
      <c r="D349">
        <f t="shared" si="15"/>
        <v>100.8</v>
      </c>
      <c r="E349">
        <f t="shared" si="16"/>
        <v>5</v>
      </c>
      <c r="F349">
        <f t="shared" si="17"/>
        <v>0.11999999999999997</v>
      </c>
    </row>
    <row r="350" spans="1:6" x14ac:dyDescent="0.25">
      <c r="A350" t="s">
        <v>43</v>
      </c>
      <c r="B350" s="1">
        <v>46097</v>
      </c>
      <c r="C350">
        <v>100</v>
      </c>
      <c r="D350">
        <f t="shared" si="15"/>
        <v>98.6</v>
      </c>
      <c r="E350">
        <f t="shared" si="16"/>
        <v>5</v>
      </c>
      <c r="F350">
        <f t="shared" si="17"/>
        <v>1.4000000000000058E-2</v>
      </c>
    </row>
    <row r="351" spans="1:6" x14ac:dyDescent="0.25">
      <c r="A351" t="s">
        <v>43</v>
      </c>
      <c r="B351" s="1">
        <v>46104</v>
      </c>
      <c r="C351">
        <v>95</v>
      </c>
      <c r="D351">
        <f t="shared" si="15"/>
        <v>94</v>
      </c>
      <c r="E351">
        <f t="shared" si="16"/>
        <v>5</v>
      </c>
      <c r="F351">
        <f t="shared" si="17"/>
        <v>1.0526315789473684E-2</v>
      </c>
    </row>
    <row r="352" spans="1:6" x14ac:dyDescent="0.25">
      <c r="A352" t="s">
        <v>43</v>
      </c>
      <c r="B352" s="1">
        <v>46111</v>
      </c>
      <c r="C352">
        <v>122</v>
      </c>
      <c r="D352">
        <f t="shared" si="15"/>
        <v>93.4</v>
      </c>
      <c r="E352">
        <f t="shared" si="16"/>
        <v>5</v>
      </c>
      <c r="F352">
        <f t="shared" si="17"/>
        <v>0.23442622950819667</v>
      </c>
    </row>
    <row r="353" spans="1:6" x14ac:dyDescent="0.25">
      <c r="A353" t="s">
        <v>43</v>
      </c>
      <c r="B353" s="1">
        <v>46118</v>
      </c>
      <c r="C353">
        <v>101</v>
      </c>
      <c r="D353">
        <f t="shared" si="15"/>
        <v>99.8</v>
      </c>
      <c r="E353">
        <f t="shared" si="16"/>
        <v>5</v>
      </c>
      <c r="F353">
        <f t="shared" si="17"/>
        <v>1.1881188118811909E-2</v>
      </c>
    </row>
    <row r="354" spans="1:6" x14ac:dyDescent="0.25">
      <c r="A354" t="s">
        <v>43</v>
      </c>
      <c r="B354" s="1">
        <v>46125</v>
      </c>
      <c r="C354">
        <v>106</v>
      </c>
      <c r="D354">
        <f t="shared" si="15"/>
        <v>101.6</v>
      </c>
      <c r="E354">
        <f t="shared" si="16"/>
        <v>5</v>
      </c>
      <c r="F354">
        <f t="shared" si="17"/>
        <v>4.1509433962264204E-2</v>
      </c>
    </row>
    <row r="355" spans="1:6" x14ac:dyDescent="0.25">
      <c r="A355" t="s">
        <v>43</v>
      </c>
      <c r="B355" s="1">
        <v>46132</v>
      </c>
      <c r="C355">
        <v>110</v>
      </c>
      <c r="D355">
        <f t="shared" si="15"/>
        <v>104.8</v>
      </c>
      <c r="E355">
        <f t="shared" si="16"/>
        <v>5</v>
      </c>
      <c r="F355">
        <f t="shared" si="17"/>
        <v>4.72727272727273E-2</v>
      </c>
    </row>
    <row r="356" spans="1:6" x14ac:dyDescent="0.25">
      <c r="A356" t="s">
        <v>43</v>
      </c>
      <c r="B356" s="1">
        <v>46139</v>
      </c>
      <c r="C356">
        <v>118</v>
      </c>
      <c r="D356">
        <f t="shared" si="15"/>
        <v>106.8</v>
      </c>
      <c r="E356">
        <f t="shared" si="16"/>
        <v>5</v>
      </c>
      <c r="F356">
        <f t="shared" si="17"/>
        <v>9.4915254237288166E-2</v>
      </c>
    </row>
    <row r="357" spans="1:6" x14ac:dyDescent="0.25">
      <c r="A357" t="s">
        <v>43</v>
      </c>
      <c r="B357" s="1">
        <v>46146</v>
      </c>
      <c r="C357">
        <v>122</v>
      </c>
      <c r="D357">
        <f t="shared" si="15"/>
        <v>111.4</v>
      </c>
      <c r="E357">
        <f t="shared" si="16"/>
        <v>5</v>
      </c>
      <c r="F357">
        <f t="shared" si="17"/>
        <v>8.6885245901639291E-2</v>
      </c>
    </row>
    <row r="358" spans="1:6" x14ac:dyDescent="0.25">
      <c r="A358" t="s">
        <v>43</v>
      </c>
      <c r="B358" s="1">
        <v>46153</v>
      </c>
      <c r="C358">
        <v>110</v>
      </c>
      <c r="D358">
        <f t="shared" si="15"/>
        <v>111.4</v>
      </c>
      <c r="E358">
        <f t="shared" si="16"/>
        <v>5</v>
      </c>
      <c r="F358">
        <f t="shared" si="17"/>
        <v>1.272727272727278E-2</v>
      </c>
    </row>
    <row r="359" spans="1:6" x14ac:dyDescent="0.25">
      <c r="A359" t="s">
        <v>43</v>
      </c>
      <c r="B359" s="1">
        <v>46160</v>
      </c>
      <c r="C359">
        <v>123</v>
      </c>
      <c r="D359">
        <f t="shared" si="15"/>
        <v>113.2</v>
      </c>
      <c r="E359">
        <f t="shared" si="16"/>
        <v>5</v>
      </c>
      <c r="F359">
        <f t="shared" si="17"/>
        <v>7.9674796747967458E-2</v>
      </c>
    </row>
    <row r="360" spans="1:6" x14ac:dyDescent="0.25">
      <c r="A360" t="s">
        <v>43</v>
      </c>
      <c r="B360" s="1">
        <v>46167</v>
      </c>
      <c r="C360">
        <v>113</v>
      </c>
      <c r="D360">
        <f t="shared" si="15"/>
        <v>116.6</v>
      </c>
      <c r="E360">
        <f t="shared" si="16"/>
        <v>5</v>
      </c>
      <c r="F360">
        <f t="shared" si="17"/>
        <v>3.1858407079645969E-2</v>
      </c>
    </row>
    <row r="361" spans="1:6" x14ac:dyDescent="0.25">
      <c r="A361" t="s">
        <v>43</v>
      </c>
      <c r="B361" s="1">
        <v>46174</v>
      </c>
      <c r="C361">
        <v>100</v>
      </c>
      <c r="D361">
        <f t="shared" si="15"/>
        <v>117.2</v>
      </c>
      <c r="E361">
        <f t="shared" si="16"/>
        <v>5</v>
      </c>
      <c r="F361">
        <f t="shared" si="17"/>
        <v>0.17200000000000004</v>
      </c>
    </row>
    <row r="362" spans="1:6" x14ac:dyDescent="0.25">
      <c r="A362" t="s">
        <v>43</v>
      </c>
      <c r="B362" s="1">
        <v>46181</v>
      </c>
      <c r="C362">
        <v>124</v>
      </c>
      <c r="D362">
        <f t="shared" si="15"/>
        <v>113.6</v>
      </c>
      <c r="E362">
        <f t="shared" si="16"/>
        <v>5</v>
      </c>
      <c r="F362">
        <f t="shared" si="17"/>
        <v>8.3870967741935532E-2</v>
      </c>
    </row>
    <row r="363" spans="1:6" x14ac:dyDescent="0.25">
      <c r="A363" t="s">
        <v>43</v>
      </c>
      <c r="B363" s="1">
        <v>46188</v>
      </c>
      <c r="C363">
        <v>135</v>
      </c>
      <c r="D363">
        <f t="shared" si="15"/>
        <v>114</v>
      </c>
      <c r="E363">
        <f t="shared" si="16"/>
        <v>5</v>
      </c>
      <c r="F363">
        <f t="shared" si="17"/>
        <v>0.15555555555555556</v>
      </c>
    </row>
    <row r="364" spans="1:6" x14ac:dyDescent="0.25">
      <c r="A364" t="s">
        <v>43</v>
      </c>
      <c r="B364" s="1">
        <v>46195</v>
      </c>
      <c r="C364">
        <v>124</v>
      </c>
      <c r="D364">
        <f t="shared" si="15"/>
        <v>119</v>
      </c>
      <c r="E364">
        <f t="shared" si="16"/>
        <v>5</v>
      </c>
      <c r="F364">
        <f t="shared" si="17"/>
        <v>4.0322580645161289E-2</v>
      </c>
    </row>
    <row r="365" spans="1:6" x14ac:dyDescent="0.25">
      <c r="A365" t="s">
        <v>43</v>
      </c>
      <c r="B365" s="1">
        <v>46202</v>
      </c>
      <c r="C365">
        <v>121</v>
      </c>
      <c r="D365">
        <f t="shared" si="15"/>
        <v>119.2</v>
      </c>
      <c r="E365">
        <f t="shared" si="16"/>
        <v>5</v>
      </c>
      <c r="F365">
        <f t="shared" si="17"/>
        <v>1.4876033057851215E-2</v>
      </c>
    </row>
    <row r="366" spans="1:6" x14ac:dyDescent="0.25">
      <c r="A366" t="s">
        <v>45</v>
      </c>
      <c r="B366" s="1">
        <v>46027</v>
      </c>
      <c r="C366">
        <v>129</v>
      </c>
      <c r="D366" t="str">
        <f t="shared" si="15"/>
        <v/>
      </c>
      <c r="E366">
        <f t="shared" si="16"/>
        <v>0</v>
      </c>
      <c r="F366" t="str">
        <f t="shared" si="17"/>
        <v/>
      </c>
    </row>
    <row r="367" spans="1:6" x14ac:dyDescent="0.25">
      <c r="A367" t="s">
        <v>45</v>
      </c>
      <c r="B367" s="1">
        <v>46034</v>
      </c>
      <c r="C367">
        <v>77</v>
      </c>
      <c r="D367" t="str">
        <f t="shared" si="15"/>
        <v/>
      </c>
      <c r="E367">
        <f t="shared" si="16"/>
        <v>1</v>
      </c>
      <c r="F367" t="str">
        <f t="shared" si="17"/>
        <v/>
      </c>
    </row>
    <row r="368" spans="1:6" x14ac:dyDescent="0.25">
      <c r="A368" t="s">
        <v>45</v>
      </c>
      <c r="B368" s="1">
        <v>46041</v>
      </c>
      <c r="C368">
        <v>26</v>
      </c>
      <c r="D368" t="str">
        <f t="shared" si="15"/>
        <v/>
      </c>
      <c r="E368">
        <f t="shared" si="16"/>
        <v>2</v>
      </c>
      <c r="F368" t="str">
        <f t="shared" si="17"/>
        <v/>
      </c>
    </row>
    <row r="369" spans="1:6" x14ac:dyDescent="0.25">
      <c r="A369" t="s">
        <v>45</v>
      </c>
      <c r="B369" s="1">
        <v>46048</v>
      </c>
      <c r="C369">
        <v>67</v>
      </c>
      <c r="D369" t="str">
        <f t="shared" si="15"/>
        <v/>
      </c>
      <c r="E369">
        <f t="shared" si="16"/>
        <v>3</v>
      </c>
      <c r="F369" t="str">
        <f t="shared" si="17"/>
        <v/>
      </c>
    </row>
    <row r="370" spans="1:6" x14ac:dyDescent="0.25">
      <c r="A370" t="s">
        <v>45</v>
      </c>
      <c r="B370" s="1">
        <v>46055</v>
      </c>
      <c r="C370">
        <v>118</v>
      </c>
      <c r="D370" t="str">
        <f t="shared" si="15"/>
        <v/>
      </c>
      <c r="E370">
        <f t="shared" si="16"/>
        <v>4</v>
      </c>
      <c r="F370" t="str">
        <f t="shared" si="17"/>
        <v/>
      </c>
    </row>
    <row r="371" spans="1:6" x14ac:dyDescent="0.25">
      <c r="A371" t="s">
        <v>45</v>
      </c>
      <c r="B371" s="1">
        <v>46062</v>
      </c>
      <c r="C371">
        <v>27</v>
      </c>
      <c r="D371">
        <f t="shared" si="15"/>
        <v>83.4</v>
      </c>
      <c r="E371">
        <f t="shared" si="16"/>
        <v>5</v>
      </c>
      <c r="F371">
        <f t="shared" si="17"/>
        <v>2.088888888888889</v>
      </c>
    </row>
    <row r="372" spans="1:6" x14ac:dyDescent="0.25">
      <c r="A372" t="s">
        <v>45</v>
      </c>
      <c r="B372" s="1">
        <v>46069</v>
      </c>
      <c r="C372">
        <v>72</v>
      </c>
      <c r="D372">
        <f t="shared" si="15"/>
        <v>63</v>
      </c>
      <c r="E372">
        <f t="shared" si="16"/>
        <v>5</v>
      </c>
      <c r="F372">
        <f t="shared" si="17"/>
        <v>0.125</v>
      </c>
    </row>
    <row r="373" spans="1:6" x14ac:dyDescent="0.25">
      <c r="A373" t="s">
        <v>45</v>
      </c>
      <c r="B373" s="1">
        <v>46076</v>
      </c>
      <c r="C373">
        <v>79</v>
      </c>
      <c r="D373">
        <f t="shared" si="15"/>
        <v>62</v>
      </c>
      <c r="E373">
        <f t="shared" si="16"/>
        <v>5</v>
      </c>
      <c r="F373">
        <f t="shared" si="17"/>
        <v>0.21518987341772153</v>
      </c>
    </row>
    <row r="374" spans="1:6" x14ac:dyDescent="0.25">
      <c r="A374" t="s">
        <v>45</v>
      </c>
      <c r="B374" s="1">
        <v>46083</v>
      </c>
      <c r="C374">
        <v>110</v>
      </c>
      <c r="D374">
        <f t="shared" si="15"/>
        <v>72.599999999999994</v>
      </c>
      <c r="E374">
        <f t="shared" si="16"/>
        <v>5</v>
      </c>
      <c r="F374">
        <f t="shared" si="17"/>
        <v>0.34</v>
      </c>
    </row>
    <row r="375" spans="1:6" x14ac:dyDescent="0.25">
      <c r="A375" t="s">
        <v>45</v>
      </c>
      <c r="B375" s="1">
        <v>46090</v>
      </c>
      <c r="C375">
        <v>19</v>
      </c>
      <c r="D375">
        <f t="shared" si="15"/>
        <v>81.2</v>
      </c>
      <c r="E375">
        <f t="shared" si="16"/>
        <v>5</v>
      </c>
      <c r="F375">
        <f t="shared" si="17"/>
        <v>3.2736842105263158</v>
      </c>
    </row>
    <row r="376" spans="1:6" x14ac:dyDescent="0.25">
      <c r="A376" t="s">
        <v>45</v>
      </c>
      <c r="B376" s="1">
        <v>46097</v>
      </c>
      <c r="C376">
        <v>97</v>
      </c>
      <c r="D376">
        <f t="shared" si="15"/>
        <v>61.4</v>
      </c>
      <c r="E376">
        <f t="shared" si="16"/>
        <v>5</v>
      </c>
      <c r="F376">
        <f t="shared" si="17"/>
        <v>0.36701030927835054</v>
      </c>
    </row>
    <row r="377" spans="1:6" x14ac:dyDescent="0.25">
      <c r="A377" t="s">
        <v>45</v>
      </c>
      <c r="B377" s="1">
        <v>46104</v>
      </c>
      <c r="C377">
        <v>94</v>
      </c>
      <c r="D377">
        <f t="shared" si="15"/>
        <v>75.400000000000006</v>
      </c>
      <c r="E377">
        <f t="shared" si="16"/>
        <v>5</v>
      </c>
      <c r="F377">
        <f t="shared" si="17"/>
        <v>0.19787234042553187</v>
      </c>
    </row>
    <row r="378" spans="1:6" x14ac:dyDescent="0.25">
      <c r="A378" t="s">
        <v>45</v>
      </c>
      <c r="B378" s="1">
        <v>46111</v>
      </c>
      <c r="C378">
        <v>90</v>
      </c>
      <c r="D378">
        <f t="shared" si="15"/>
        <v>79.8</v>
      </c>
      <c r="E378">
        <f t="shared" si="16"/>
        <v>5</v>
      </c>
      <c r="F378">
        <f t="shared" si="17"/>
        <v>0.11333333333333337</v>
      </c>
    </row>
    <row r="379" spans="1:6" x14ac:dyDescent="0.25">
      <c r="A379" t="s">
        <v>45</v>
      </c>
      <c r="B379" s="1">
        <v>46118</v>
      </c>
      <c r="C379">
        <v>129</v>
      </c>
      <c r="D379">
        <f t="shared" si="15"/>
        <v>82</v>
      </c>
      <c r="E379">
        <f t="shared" si="16"/>
        <v>5</v>
      </c>
      <c r="F379">
        <f t="shared" si="17"/>
        <v>0.36434108527131781</v>
      </c>
    </row>
    <row r="380" spans="1:6" x14ac:dyDescent="0.25">
      <c r="A380" t="s">
        <v>45</v>
      </c>
      <c r="B380" s="1">
        <v>46125</v>
      </c>
      <c r="C380">
        <v>102</v>
      </c>
      <c r="D380">
        <f t="shared" si="15"/>
        <v>85.8</v>
      </c>
      <c r="E380">
        <f t="shared" si="16"/>
        <v>5</v>
      </c>
      <c r="F380">
        <f t="shared" si="17"/>
        <v>0.15882352941176472</v>
      </c>
    </row>
    <row r="381" spans="1:6" x14ac:dyDescent="0.25">
      <c r="A381" t="s">
        <v>45</v>
      </c>
      <c r="B381" s="1">
        <v>46132</v>
      </c>
      <c r="C381">
        <v>77</v>
      </c>
      <c r="D381">
        <f t="shared" si="15"/>
        <v>102.4</v>
      </c>
      <c r="E381">
        <f t="shared" si="16"/>
        <v>5</v>
      </c>
      <c r="F381">
        <f t="shared" si="17"/>
        <v>0.32987012987012992</v>
      </c>
    </row>
    <row r="382" spans="1:6" x14ac:dyDescent="0.25">
      <c r="A382" t="s">
        <v>45</v>
      </c>
      <c r="B382" s="1">
        <v>46139</v>
      </c>
      <c r="C382">
        <v>49</v>
      </c>
      <c r="D382">
        <f t="shared" si="15"/>
        <v>98.4</v>
      </c>
      <c r="E382">
        <f t="shared" si="16"/>
        <v>5</v>
      </c>
      <c r="F382">
        <f t="shared" si="17"/>
        <v>1.0081632653061225</v>
      </c>
    </row>
    <row r="383" spans="1:6" x14ac:dyDescent="0.25">
      <c r="A383" t="s">
        <v>45</v>
      </c>
      <c r="B383" s="1">
        <v>46146</v>
      </c>
      <c r="C383">
        <v>133</v>
      </c>
      <c r="D383">
        <f t="shared" si="15"/>
        <v>89.4</v>
      </c>
      <c r="E383">
        <f t="shared" si="16"/>
        <v>5</v>
      </c>
      <c r="F383">
        <f t="shared" si="17"/>
        <v>0.3278195488721804</v>
      </c>
    </row>
    <row r="384" spans="1:6" x14ac:dyDescent="0.25">
      <c r="A384" t="s">
        <v>45</v>
      </c>
      <c r="B384" s="1">
        <v>46153</v>
      </c>
      <c r="C384">
        <v>66</v>
      </c>
      <c r="D384">
        <f t="shared" si="15"/>
        <v>98</v>
      </c>
      <c r="E384">
        <f t="shared" si="16"/>
        <v>5</v>
      </c>
      <c r="F384">
        <f t="shared" si="17"/>
        <v>0.48484848484848486</v>
      </c>
    </row>
    <row r="385" spans="1:6" x14ac:dyDescent="0.25">
      <c r="A385" t="s">
        <v>45</v>
      </c>
      <c r="B385" s="1">
        <v>46160</v>
      </c>
      <c r="C385">
        <v>92</v>
      </c>
      <c r="D385">
        <f t="shared" si="15"/>
        <v>85.4</v>
      </c>
      <c r="E385">
        <f t="shared" si="16"/>
        <v>5</v>
      </c>
      <c r="F385">
        <f t="shared" si="17"/>
        <v>7.1739130434782541E-2</v>
      </c>
    </row>
    <row r="386" spans="1:6" x14ac:dyDescent="0.25">
      <c r="A386" t="s">
        <v>45</v>
      </c>
      <c r="B386" s="1">
        <v>46167</v>
      </c>
      <c r="C386">
        <v>82</v>
      </c>
      <c r="D386">
        <f t="shared" ref="D386:D449" si="18">IF(E386 &lt; 5, "", AVERAGEIFS(C:C, A:A, A386, B:B, "&gt;=" &amp; (B386-35), B:B, "&lt;=" &amp; (B386-7)))</f>
        <v>83.4</v>
      </c>
      <c r="E386">
        <f t="shared" ref="E386:E449" si="19">COUNTIFS(A:A, A386, B:B, "&gt;=" &amp; (B386-35), B:B, "&lt;=" &amp; (B386-7))</f>
        <v>5</v>
      </c>
      <c r="F386">
        <f t="shared" ref="F386:F449" si="20">IF(OR(C386=0, D386=""), "", ABS(C386 - D386) / C386)</f>
        <v>1.7073170731707388E-2</v>
      </c>
    </row>
    <row r="387" spans="1:6" x14ac:dyDescent="0.25">
      <c r="A387" t="s">
        <v>45</v>
      </c>
      <c r="B387" s="1">
        <v>46174</v>
      </c>
      <c r="C387">
        <v>89</v>
      </c>
      <c r="D387">
        <f t="shared" si="18"/>
        <v>84.4</v>
      </c>
      <c r="E387">
        <f t="shared" si="19"/>
        <v>5</v>
      </c>
      <c r="F387">
        <f t="shared" si="20"/>
        <v>5.1685393258426901E-2</v>
      </c>
    </row>
    <row r="388" spans="1:6" x14ac:dyDescent="0.25">
      <c r="A388" t="s">
        <v>45</v>
      </c>
      <c r="B388" s="1">
        <v>46181</v>
      </c>
      <c r="C388">
        <v>97</v>
      </c>
      <c r="D388">
        <f t="shared" si="18"/>
        <v>92.4</v>
      </c>
      <c r="E388">
        <f t="shared" si="19"/>
        <v>5</v>
      </c>
      <c r="F388">
        <f t="shared" si="20"/>
        <v>4.7422680412371077E-2</v>
      </c>
    </row>
    <row r="389" spans="1:6" x14ac:dyDescent="0.25">
      <c r="A389" t="s">
        <v>45</v>
      </c>
      <c r="B389" s="1">
        <v>46188</v>
      </c>
      <c r="C389">
        <v>62</v>
      </c>
      <c r="D389">
        <f t="shared" si="18"/>
        <v>85.2</v>
      </c>
      <c r="E389">
        <f t="shared" si="19"/>
        <v>5</v>
      </c>
      <c r="F389">
        <f t="shared" si="20"/>
        <v>0.37419354838709684</v>
      </c>
    </row>
    <row r="390" spans="1:6" x14ac:dyDescent="0.25">
      <c r="A390" t="s">
        <v>45</v>
      </c>
      <c r="B390" s="1">
        <v>46195</v>
      </c>
      <c r="C390">
        <v>63</v>
      </c>
      <c r="D390">
        <f t="shared" si="18"/>
        <v>84.4</v>
      </c>
      <c r="E390">
        <f t="shared" si="19"/>
        <v>5</v>
      </c>
      <c r="F390">
        <f t="shared" si="20"/>
        <v>0.33968253968253975</v>
      </c>
    </row>
    <row r="391" spans="1:6" x14ac:dyDescent="0.25">
      <c r="A391" t="s">
        <v>45</v>
      </c>
      <c r="B391" s="1">
        <v>46202</v>
      </c>
      <c r="C391">
        <v>135</v>
      </c>
      <c r="D391">
        <f t="shared" si="18"/>
        <v>78.599999999999994</v>
      </c>
      <c r="E391">
        <f t="shared" si="19"/>
        <v>5</v>
      </c>
      <c r="F391">
        <f t="shared" si="20"/>
        <v>0.4177777777777778</v>
      </c>
    </row>
    <row r="392" spans="1:6" x14ac:dyDescent="0.25">
      <c r="A392" t="s">
        <v>47</v>
      </c>
      <c r="B392" s="1">
        <v>46027</v>
      </c>
      <c r="C392">
        <v>70</v>
      </c>
      <c r="D392" t="str">
        <f t="shared" si="18"/>
        <v/>
      </c>
      <c r="E392">
        <f t="shared" si="19"/>
        <v>0</v>
      </c>
      <c r="F392" t="str">
        <f t="shared" si="20"/>
        <v/>
      </c>
    </row>
    <row r="393" spans="1:6" x14ac:dyDescent="0.25">
      <c r="A393" t="s">
        <v>47</v>
      </c>
      <c r="B393" s="1">
        <v>46034</v>
      </c>
      <c r="C393">
        <v>67</v>
      </c>
      <c r="D393" t="str">
        <f t="shared" si="18"/>
        <v/>
      </c>
      <c r="E393">
        <f t="shared" si="19"/>
        <v>1</v>
      </c>
      <c r="F393" t="str">
        <f t="shared" si="20"/>
        <v/>
      </c>
    </row>
    <row r="394" spans="1:6" x14ac:dyDescent="0.25">
      <c r="A394" t="s">
        <v>47</v>
      </c>
      <c r="B394" s="1">
        <v>46041</v>
      </c>
      <c r="C394">
        <v>75</v>
      </c>
      <c r="D394" t="str">
        <f t="shared" si="18"/>
        <v/>
      </c>
      <c r="E394">
        <f t="shared" si="19"/>
        <v>2</v>
      </c>
      <c r="F394" t="str">
        <f t="shared" si="20"/>
        <v/>
      </c>
    </row>
    <row r="395" spans="1:6" x14ac:dyDescent="0.25">
      <c r="A395" t="s">
        <v>47</v>
      </c>
      <c r="B395" s="1">
        <v>46048</v>
      </c>
      <c r="C395">
        <v>72</v>
      </c>
      <c r="D395" t="str">
        <f t="shared" si="18"/>
        <v/>
      </c>
      <c r="E395">
        <f t="shared" si="19"/>
        <v>3</v>
      </c>
      <c r="F395" t="str">
        <f t="shared" si="20"/>
        <v/>
      </c>
    </row>
    <row r="396" spans="1:6" x14ac:dyDescent="0.25">
      <c r="A396" t="s">
        <v>47</v>
      </c>
      <c r="B396" s="1">
        <v>46055</v>
      </c>
      <c r="C396">
        <v>84</v>
      </c>
      <c r="D396" t="str">
        <f t="shared" si="18"/>
        <v/>
      </c>
      <c r="E396">
        <f t="shared" si="19"/>
        <v>4</v>
      </c>
      <c r="F396" t="str">
        <f t="shared" si="20"/>
        <v/>
      </c>
    </row>
    <row r="397" spans="1:6" x14ac:dyDescent="0.25">
      <c r="A397" t="s">
        <v>47</v>
      </c>
      <c r="B397" s="1">
        <v>46062</v>
      </c>
      <c r="C397">
        <v>77</v>
      </c>
      <c r="D397">
        <f t="shared" si="18"/>
        <v>73.599999999999994</v>
      </c>
      <c r="E397">
        <f t="shared" si="19"/>
        <v>5</v>
      </c>
      <c r="F397">
        <f t="shared" si="20"/>
        <v>4.4155844155844233E-2</v>
      </c>
    </row>
    <row r="398" spans="1:6" x14ac:dyDescent="0.25">
      <c r="A398" t="s">
        <v>47</v>
      </c>
      <c r="B398" s="1">
        <v>46069</v>
      </c>
      <c r="C398">
        <v>85</v>
      </c>
      <c r="D398">
        <f t="shared" si="18"/>
        <v>75</v>
      </c>
      <c r="E398">
        <f t="shared" si="19"/>
        <v>5</v>
      </c>
      <c r="F398">
        <f t="shared" si="20"/>
        <v>0.11764705882352941</v>
      </c>
    </row>
    <row r="399" spans="1:6" x14ac:dyDescent="0.25">
      <c r="A399" t="s">
        <v>47</v>
      </c>
      <c r="B399" s="1">
        <v>46076</v>
      </c>
      <c r="C399">
        <v>82</v>
      </c>
      <c r="D399">
        <f t="shared" si="18"/>
        <v>78.599999999999994</v>
      </c>
      <c r="E399">
        <f t="shared" si="19"/>
        <v>5</v>
      </c>
      <c r="F399">
        <f t="shared" si="20"/>
        <v>4.1463414634146413E-2</v>
      </c>
    </row>
    <row r="400" spans="1:6" x14ac:dyDescent="0.25">
      <c r="A400" t="s">
        <v>47</v>
      </c>
      <c r="B400" s="1">
        <v>46083</v>
      </c>
      <c r="C400">
        <v>80</v>
      </c>
      <c r="D400">
        <f t="shared" si="18"/>
        <v>80</v>
      </c>
      <c r="E400">
        <f t="shared" si="19"/>
        <v>5</v>
      </c>
      <c r="F400">
        <f t="shared" si="20"/>
        <v>0</v>
      </c>
    </row>
    <row r="401" spans="1:6" x14ac:dyDescent="0.25">
      <c r="A401" t="s">
        <v>47</v>
      </c>
      <c r="B401" s="1">
        <v>46090</v>
      </c>
      <c r="C401">
        <v>83</v>
      </c>
      <c r="D401">
        <f t="shared" si="18"/>
        <v>81.599999999999994</v>
      </c>
      <c r="E401">
        <f t="shared" si="19"/>
        <v>5</v>
      </c>
      <c r="F401">
        <f t="shared" si="20"/>
        <v>1.6867469879518142E-2</v>
      </c>
    </row>
    <row r="402" spans="1:6" x14ac:dyDescent="0.25">
      <c r="A402" t="s">
        <v>47</v>
      </c>
      <c r="B402" s="1">
        <v>46097</v>
      </c>
      <c r="C402">
        <v>76</v>
      </c>
      <c r="D402">
        <f t="shared" si="18"/>
        <v>81.400000000000006</v>
      </c>
      <c r="E402">
        <f t="shared" si="19"/>
        <v>5</v>
      </c>
      <c r="F402">
        <f t="shared" si="20"/>
        <v>7.1052631578947437E-2</v>
      </c>
    </row>
    <row r="403" spans="1:6" x14ac:dyDescent="0.25">
      <c r="A403" t="s">
        <v>47</v>
      </c>
      <c r="B403" s="1">
        <v>46104</v>
      </c>
      <c r="C403">
        <v>88</v>
      </c>
      <c r="D403">
        <f t="shared" si="18"/>
        <v>81.2</v>
      </c>
      <c r="E403">
        <f t="shared" si="19"/>
        <v>5</v>
      </c>
      <c r="F403">
        <f t="shared" si="20"/>
        <v>7.7272727272727243E-2</v>
      </c>
    </row>
    <row r="404" spans="1:6" x14ac:dyDescent="0.25">
      <c r="A404" t="s">
        <v>47</v>
      </c>
      <c r="B404" s="1">
        <v>46111</v>
      </c>
      <c r="C404">
        <v>83</v>
      </c>
      <c r="D404">
        <f t="shared" si="18"/>
        <v>81.8</v>
      </c>
      <c r="E404">
        <f t="shared" si="19"/>
        <v>5</v>
      </c>
      <c r="F404">
        <f t="shared" si="20"/>
        <v>1.445783132530124E-2</v>
      </c>
    </row>
    <row r="405" spans="1:6" x14ac:dyDescent="0.25">
      <c r="A405" t="s">
        <v>47</v>
      </c>
      <c r="B405" s="1">
        <v>46118</v>
      </c>
      <c r="C405">
        <v>79</v>
      </c>
      <c r="D405">
        <f t="shared" si="18"/>
        <v>82</v>
      </c>
      <c r="E405">
        <f t="shared" si="19"/>
        <v>5</v>
      </c>
      <c r="F405">
        <f t="shared" si="20"/>
        <v>3.7974683544303799E-2</v>
      </c>
    </row>
    <row r="406" spans="1:6" x14ac:dyDescent="0.25">
      <c r="A406" t="s">
        <v>47</v>
      </c>
      <c r="B406" s="1">
        <v>46125</v>
      </c>
      <c r="C406">
        <v>86</v>
      </c>
      <c r="D406">
        <f t="shared" si="18"/>
        <v>81.8</v>
      </c>
      <c r="E406">
        <f t="shared" si="19"/>
        <v>5</v>
      </c>
      <c r="F406">
        <f t="shared" si="20"/>
        <v>4.8837209302325615E-2</v>
      </c>
    </row>
    <row r="407" spans="1:6" x14ac:dyDescent="0.25">
      <c r="A407" t="s">
        <v>47</v>
      </c>
      <c r="B407" s="1">
        <v>46132</v>
      </c>
      <c r="C407">
        <v>93</v>
      </c>
      <c r="D407">
        <f t="shared" si="18"/>
        <v>82.4</v>
      </c>
      <c r="E407">
        <f t="shared" si="19"/>
        <v>5</v>
      </c>
      <c r="F407">
        <f t="shared" si="20"/>
        <v>0.11397849462365585</v>
      </c>
    </row>
    <row r="408" spans="1:6" x14ac:dyDescent="0.25">
      <c r="A408" t="s">
        <v>47</v>
      </c>
      <c r="B408" s="1">
        <v>46139</v>
      </c>
      <c r="C408">
        <v>88</v>
      </c>
      <c r="D408">
        <f t="shared" si="18"/>
        <v>85.8</v>
      </c>
      <c r="E408">
        <f t="shared" si="19"/>
        <v>5</v>
      </c>
      <c r="F408">
        <f t="shared" si="20"/>
        <v>2.5000000000000033E-2</v>
      </c>
    </row>
    <row r="409" spans="1:6" x14ac:dyDescent="0.25">
      <c r="A409" t="s">
        <v>47</v>
      </c>
      <c r="B409" s="1">
        <v>46146</v>
      </c>
      <c r="C409">
        <v>72</v>
      </c>
      <c r="D409">
        <f t="shared" si="18"/>
        <v>85.8</v>
      </c>
      <c r="E409">
        <f t="shared" si="19"/>
        <v>5</v>
      </c>
      <c r="F409">
        <f t="shared" si="20"/>
        <v>0.19166666666666662</v>
      </c>
    </row>
    <row r="410" spans="1:6" x14ac:dyDescent="0.25">
      <c r="A410" t="s">
        <v>47</v>
      </c>
      <c r="B410" s="1">
        <v>46153</v>
      </c>
      <c r="C410">
        <v>85</v>
      </c>
      <c r="D410">
        <f t="shared" si="18"/>
        <v>83.6</v>
      </c>
      <c r="E410">
        <f t="shared" si="19"/>
        <v>5</v>
      </c>
      <c r="F410">
        <f t="shared" si="20"/>
        <v>1.6470588235294185E-2</v>
      </c>
    </row>
    <row r="411" spans="1:6" x14ac:dyDescent="0.25">
      <c r="A411" t="s">
        <v>47</v>
      </c>
      <c r="B411" s="1">
        <v>46160</v>
      </c>
      <c r="C411">
        <v>91</v>
      </c>
      <c r="D411">
        <f t="shared" si="18"/>
        <v>84.8</v>
      </c>
      <c r="E411">
        <f t="shared" si="19"/>
        <v>5</v>
      </c>
      <c r="F411">
        <f t="shared" si="20"/>
        <v>6.8131868131868167E-2</v>
      </c>
    </row>
    <row r="412" spans="1:6" x14ac:dyDescent="0.25">
      <c r="A412" t="s">
        <v>47</v>
      </c>
      <c r="B412" s="1">
        <v>46167</v>
      </c>
      <c r="C412">
        <v>95</v>
      </c>
      <c r="D412">
        <f t="shared" si="18"/>
        <v>85.8</v>
      </c>
      <c r="E412">
        <f t="shared" si="19"/>
        <v>5</v>
      </c>
      <c r="F412">
        <f t="shared" si="20"/>
        <v>9.6842105263157924E-2</v>
      </c>
    </row>
    <row r="413" spans="1:6" x14ac:dyDescent="0.25">
      <c r="A413" t="s">
        <v>47</v>
      </c>
      <c r="B413" s="1">
        <v>46174</v>
      </c>
      <c r="C413">
        <v>86</v>
      </c>
      <c r="D413">
        <f t="shared" si="18"/>
        <v>86.2</v>
      </c>
      <c r="E413">
        <f t="shared" si="19"/>
        <v>5</v>
      </c>
      <c r="F413">
        <f t="shared" si="20"/>
        <v>2.3255813953488701E-3</v>
      </c>
    </row>
    <row r="414" spans="1:6" x14ac:dyDescent="0.25">
      <c r="A414" t="s">
        <v>47</v>
      </c>
      <c r="B414" s="1">
        <v>46181</v>
      </c>
      <c r="C414">
        <v>96</v>
      </c>
      <c r="D414">
        <f t="shared" si="18"/>
        <v>85.8</v>
      </c>
      <c r="E414">
        <f t="shared" si="19"/>
        <v>5</v>
      </c>
      <c r="F414">
        <f t="shared" si="20"/>
        <v>0.10625000000000002</v>
      </c>
    </row>
    <row r="415" spans="1:6" x14ac:dyDescent="0.25">
      <c r="A415" t="s">
        <v>47</v>
      </c>
      <c r="B415" s="1">
        <v>46188</v>
      </c>
      <c r="C415">
        <v>100</v>
      </c>
      <c r="D415">
        <f t="shared" si="18"/>
        <v>90.6</v>
      </c>
      <c r="E415">
        <f t="shared" si="19"/>
        <v>5</v>
      </c>
      <c r="F415">
        <f t="shared" si="20"/>
        <v>9.4000000000000056E-2</v>
      </c>
    </row>
    <row r="416" spans="1:6" x14ac:dyDescent="0.25">
      <c r="A416" t="s">
        <v>47</v>
      </c>
      <c r="B416" s="1">
        <v>46195</v>
      </c>
      <c r="C416">
        <v>99</v>
      </c>
      <c r="D416">
        <f t="shared" si="18"/>
        <v>93.6</v>
      </c>
      <c r="E416">
        <f t="shared" si="19"/>
        <v>5</v>
      </c>
      <c r="F416">
        <f t="shared" si="20"/>
        <v>5.4545454545454605E-2</v>
      </c>
    </row>
    <row r="417" spans="1:6" x14ac:dyDescent="0.25">
      <c r="A417" t="s">
        <v>47</v>
      </c>
      <c r="B417" s="1">
        <v>46202</v>
      </c>
      <c r="C417">
        <v>84</v>
      </c>
      <c r="D417">
        <f t="shared" si="18"/>
        <v>95.2</v>
      </c>
      <c r="E417">
        <f t="shared" si="19"/>
        <v>5</v>
      </c>
      <c r="F417">
        <f t="shared" si="20"/>
        <v>0.13333333333333336</v>
      </c>
    </row>
    <row r="418" spans="1:6" x14ac:dyDescent="0.25">
      <c r="A418" t="s">
        <v>49</v>
      </c>
      <c r="B418" s="1">
        <v>46027</v>
      </c>
      <c r="C418">
        <v>86</v>
      </c>
      <c r="D418" t="str">
        <f t="shared" si="18"/>
        <v/>
      </c>
      <c r="E418">
        <f t="shared" si="19"/>
        <v>0</v>
      </c>
      <c r="F418" t="str">
        <f t="shared" si="20"/>
        <v/>
      </c>
    </row>
    <row r="419" spans="1:6" x14ac:dyDescent="0.25">
      <c r="A419" t="s">
        <v>49</v>
      </c>
      <c r="B419" s="1">
        <v>46034</v>
      </c>
      <c r="C419">
        <v>85</v>
      </c>
      <c r="D419" t="str">
        <f t="shared" si="18"/>
        <v/>
      </c>
      <c r="E419">
        <f t="shared" si="19"/>
        <v>1</v>
      </c>
      <c r="F419" t="str">
        <f t="shared" si="20"/>
        <v/>
      </c>
    </row>
    <row r="420" spans="1:6" x14ac:dyDescent="0.25">
      <c r="A420" t="s">
        <v>49</v>
      </c>
      <c r="B420" s="1">
        <v>46041</v>
      </c>
      <c r="C420">
        <v>101</v>
      </c>
      <c r="D420" t="str">
        <f t="shared" si="18"/>
        <v/>
      </c>
      <c r="E420">
        <f t="shared" si="19"/>
        <v>2</v>
      </c>
      <c r="F420" t="str">
        <f t="shared" si="20"/>
        <v/>
      </c>
    </row>
    <row r="421" spans="1:6" x14ac:dyDescent="0.25">
      <c r="A421" t="s">
        <v>49</v>
      </c>
      <c r="B421" s="1">
        <v>46048</v>
      </c>
      <c r="C421">
        <v>95</v>
      </c>
      <c r="D421" t="str">
        <f t="shared" si="18"/>
        <v/>
      </c>
      <c r="E421">
        <f t="shared" si="19"/>
        <v>3</v>
      </c>
      <c r="F421" t="str">
        <f t="shared" si="20"/>
        <v/>
      </c>
    </row>
    <row r="422" spans="1:6" x14ac:dyDescent="0.25">
      <c r="A422" t="s">
        <v>49</v>
      </c>
      <c r="B422" s="1">
        <v>46055</v>
      </c>
      <c r="C422">
        <v>92</v>
      </c>
      <c r="D422" t="str">
        <f t="shared" si="18"/>
        <v/>
      </c>
      <c r="E422">
        <f t="shared" si="19"/>
        <v>4</v>
      </c>
      <c r="F422" t="str">
        <f t="shared" si="20"/>
        <v/>
      </c>
    </row>
    <row r="423" spans="1:6" x14ac:dyDescent="0.25">
      <c r="A423" t="s">
        <v>49</v>
      </c>
      <c r="B423" s="1">
        <v>46062</v>
      </c>
      <c r="C423">
        <v>86</v>
      </c>
      <c r="D423">
        <f t="shared" si="18"/>
        <v>91.8</v>
      </c>
      <c r="E423">
        <f t="shared" si="19"/>
        <v>5</v>
      </c>
      <c r="F423">
        <f t="shared" si="20"/>
        <v>6.7441860465116243E-2</v>
      </c>
    </row>
    <row r="424" spans="1:6" x14ac:dyDescent="0.25">
      <c r="A424" t="s">
        <v>49</v>
      </c>
      <c r="B424" s="1">
        <v>46069</v>
      </c>
      <c r="C424">
        <v>107</v>
      </c>
      <c r="D424">
        <f t="shared" si="18"/>
        <v>91.8</v>
      </c>
      <c r="E424">
        <f t="shared" si="19"/>
        <v>5</v>
      </c>
      <c r="F424">
        <f t="shared" si="20"/>
        <v>0.14205607476635518</v>
      </c>
    </row>
    <row r="425" spans="1:6" x14ac:dyDescent="0.25">
      <c r="A425" t="s">
        <v>49</v>
      </c>
      <c r="B425" s="1">
        <v>46076</v>
      </c>
      <c r="C425">
        <v>95</v>
      </c>
      <c r="D425">
        <f t="shared" si="18"/>
        <v>96.2</v>
      </c>
      <c r="E425">
        <f t="shared" si="19"/>
        <v>5</v>
      </c>
      <c r="F425">
        <f t="shared" si="20"/>
        <v>1.263157894736845E-2</v>
      </c>
    </row>
    <row r="426" spans="1:6" x14ac:dyDescent="0.25">
      <c r="A426" t="s">
        <v>49</v>
      </c>
      <c r="B426" s="1">
        <v>46083</v>
      </c>
      <c r="C426">
        <v>123</v>
      </c>
      <c r="D426">
        <f t="shared" si="18"/>
        <v>95</v>
      </c>
      <c r="E426">
        <f t="shared" si="19"/>
        <v>5</v>
      </c>
      <c r="F426">
        <f t="shared" si="20"/>
        <v>0.22764227642276422</v>
      </c>
    </row>
    <row r="427" spans="1:6" x14ac:dyDescent="0.25">
      <c r="A427" t="s">
        <v>49</v>
      </c>
      <c r="B427" s="1">
        <v>46090</v>
      </c>
      <c r="C427">
        <v>107</v>
      </c>
      <c r="D427">
        <f t="shared" si="18"/>
        <v>100.6</v>
      </c>
      <c r="E427">
        <f t="shared" si="19"/>
        <v>5</v>
      </c>
      <c r="F427">
        <f t="shared" si="20"/>
        <v>5.9813084112149584E-2</v>
      </c>
    </row>
    <row r="428" spans="1:6" x14ac:dyDescent="0.25">
      <c r="A428" t="s">
        <v>49</v>
      </c>
      <c r="B428" s="1">
        <v>46097</v>
      </c>
      <c r="C428">
        <v>99</v>
      </c>
      <c r="D428">
        <f t="shared" si="18"/>
        <v>103.6</v>
      </c>
      <c r="E428">
        <f t="shared" si="19"/>
        <v>5</v>
      </c>
      <c r="F428">
        <f t="shared" si="20"/>
        <v>4.646464646464641E-2</v>
      </c>
    </row>
    <row r="429" spans="1:6" x14ac:dyDescent="0.25">
      <c r="A429" t="s">
        <v>49</v>
      </c>
      <c r="B429" s="1">
        <v>46104</v>
      </c>
      <c r="C429">
        <v>96</v>
      </c>
      <c r="D429">
        <f t="shared" si="18"/>
        <v>106.2</v>
      </c>
      <c r="E429">
        <f t="shared" si="19"/>
        <v>5</v>
      </c>
      <c r="F429">
        <f t="shared" si="20"/>
        <v>0.10625000000000002</v>
      </c>
    </row>
    <row r="430" spans="1:6" x14ac:dyDescent="0.25">
      <c r="A430" t="s">
        <v>49</v>
      </c>
      <c r="B430" s="1">
        <v>46111</v>
      </c>
      <c r="C430">
        <v>94</v>
      </c>
      <c r="D430">
        <f t="shared" si="18"/>
        <v>104</v>
      </c>
      <c r="E430">
        <f t="shared" si="19"/>
        <v>5</v>
      </c>
      <c r="F430">
        <f t="shared" si="20"/>
        <v>0.10638297872340426</v>
      </c>
    </row>
    <row r="431" spans="1:6" x14ac:dyDescent="0.25">
      <c r="A431" t="s">
        <v>49</v>
      </c>
      <c r="B431" s="1">
        <v>46118</v>
      </c>
      <c r="C431">
        <v>116</v>
      </c>
      <c r="D431">
        <f t="shared" si="18"/>
        <v>103.8</v>
      </c>
      <c r="E431">
        <f t="shared" si="19"/>
        <v>5</v>
      </c>
      <c r="F431">
        <f t="shared" si="20"/>
        <v>0.10517241379310348</v>
      </c>
    </row>
    <row r="432" spans="1:6" x14ac:dyDescent="0.25">
      <c r="A432" t="s">
        <v>49</v>
      </c>
      <c r="B432" s="1">
        <v>46125</v>
      </c>
      <c r="C432">
        <v>116</v>
      </c>
      <c r="D432">
        <f t="shared" si="18"/>
        <v>102.4</v>
      </c>
      <c r="E432">
        <f t="shared" si="19"/>
        <v>5</v>
      </c>
      <c r="F432">
        <f t="shared" si="20"/>
        <v>0.11724137931034478</v>
      </c>
    </row>
    <row r="433" spans="1:6" x14ac:dyDescent="0.25">
      <c r="A433" t="s">
        <v>49</v>
      </c>
      <c r="B433" s="1">
        <v>46132</v>
      </c>
      <c r="C433">
        <v>131</v>
      </c>
      <c r="D433">
        <f t="shared" si="18"/>
        <v>104.2</v>
      </c>
      <c r="E433">
        <f t="shared" si="19"/>
        <v>5</v>
      </c>
      <c r="F433">
        <f t="shared" si="20"/>
        <v>0.20458015267175569</v>
      </c>
    </row>
    <row r="434" spans="1:6" x14ac:dyDescent="0.25">
      <c r="A434" t="s">
        <v>49</v>
      </c>
      <c r="B434" s="1">
        <v>46139</v>
      </c>
      <c r="C434">
        <v>106</v>
      </c>
      <c r="D434">
        <f t="shared" si="18"/>
        <v>110.6</v>
      </c>
      <c r="E434">
        <f t="shared" si="19"/>
        <v>5</v>
      </c>
      <c r="F434">
        <f t="shared" si="20"/>
        <v>4.3396226415094288E-2</v>
      </c>
    </row>
    <row r="435" spans="1:6" x14ac:dyDescent="0.25">
      <c r="A435" t="s">
        <v>49</v>
      </c>
      <c r="B435" s="1">
        <v>46146</v>
      </c>
      <c r="C435">
        <v>92</v>
      </c>
      <c r="D435">
        <f t="shared" si="18"/>
        <v>112.6</v>
      </c>
      <c r="E435">
        <f t="shared" si="19"/>
        <v>5</v>
      </c>
      <c r="F435">
        <f t="shared" si="20"/>
        <v>0.2239130434782608</v>
      </c>
    </row>
    <row r="436" spans="1:6" x14ac:dyDescent="0.25">
      <c r="A436" t="s">
        <v>49</v>
      </c>
      <c r="B436" s="1">
        <v>46153</v>
      </c>
      <c r="C436">
        <v>114</v>
      </c>
      <c r="D436">
        <f t="shared" si="18"/>
        <v>112.2</v>
      </c>
      <c r="E436">
        <f t="shared" si="19"/>
        <v>5</v>
      </c>
      <c r="F436">
        <f t="shared" si="20"/>
        <v>1.5789473684210503E-2</v>
      </c>
    </row>
    <row r="437" spans="1:6" x14ac:dyDescent="0.25">
      <c r="A437" t="s">
        <v>49</v>
      </c>
      <c r="B437" s="1">
        <v>46160</v>
      </c>
      <c r="C437">
        <v>110</v>
      </c>
      <c r="D437">
        <f t="shared" si="18"/>
        <v>111.8</v>
      </c>
      <c r="E437">
        <f t="shared" si="19"/>
        <v>5</v>
      </c>
      <c r="F437">
        <f t="shared" si="20"/>
        <v>1.6363636363636337E-2</v>
      </c>
    </row>
    <row r="438" spans="1:6" x14ac:dyDescent="0.25">
      <c r="A438" t="s">
        <v>49</v>
      </c>
      <c r="B438" s="1">
        <v>46167</v>
      </c>
      <c r="C438">
        <v>128</v>
      </c>
      <c r="D438">
        <f t="shared" si="18"/>
        <v>110.6</v>
      </c>
      <c r="E438">
        <f t="shared" si="19"/>
        <v>5</v>
      </c>
      <c r="F438">
        <f t="shared" si="20"/>
        <v>0.13593750000000004</v>
      </c>
    </row>
    <row r="439" spans="1:6" x14ac:dyDescent="0.25">
      <c r="A439" t="s">
        <v>49</v>
      </c>
      <c r="B439" s="1">
        <v>46174</v>
      </c>
      <c r="C439">
        <v>106</v>
      </c>
      <c r="D439">
        <f t="shared" si="18"/>
        <v>110</v>
      </c>
      <c r="E439">
        <f t="shared" si="19"/>
        <v>5</v>
      </c>
      <c r="F439">
        <f t="shared" si="20"/>
        <v>3.7735849056603772E-2</v>
      </c>
    </row>
    <row r="440" spans="1:6" x14ac:dyDescent="0.25">
      <c r="A440" t="s">
        <v>49</v>
      </c>
      <c r="B440" s="1">
        <v>46181</v>
      </c>
      <c r="C440">
        <v>115</v>
      </c>
      <c r="D440">
        <f t="shared" si="18"/>
        <v>110</v>
      </c>
      <c r="E440">
        <f t="shared" si="19"/>
        <v>5</v>
      </c>
      <c r="F440">
        <f t="shared" si="20"/>
        <v>4.3478260869565216E-2</v>
      </c>
    </row>
    <row r="441" spans="1:6" x14ac:dyDescent="0.25">
      <c r="A441" t="s">
        <v>49</v>
      </c>
      <c r="B441" s="1">
        <v>46188</v>
      </c>
      <c r="C441">
        <v>137</v>
      </c>
      <c r="D441">
        <f t="shared" si="18"/>
        <v>114.6</v>
      </c>
      <c r="E441">
        <f t="shared" si="19"/>
        <v>5</v>
      </c>
      <c r="F441">
        <f t="shared" si="20"/>
        <v>0.16350364963503652</v>
      </c>
    </row>
    <row r="442" spans="1:6" x14ac:dyDescent="0.25">
      <c r="A442" t="s">
        <v>49</v>
      </c>
      <c r="B442" s="1">
        <v>46195</v>
      </c>
      <c r="C442">
        <v>122</v>
      </c>
      <c r="D442">
        <f t="shared" si="18"/>
        <v>119.2</v>
      </c>
      <c r="E442">
        <f t="shared" si="19"/>
        <v>5</v>
      </c>
      <c r="F442">
        <f t="shared" si="20"/>
        <v>2.2950819672131126E-2</v>
      </c>
    </row>
    <row r="443" spans="1:6" x14ac:dyDescent="0.25">
      <c r="A443" t="s">
        <v>49</v>
      </c>
      <c r="B443" s="1">
        <v>46202</v>
      </c>
      <c r="C443">
        <v>139</v>
      </c>
      <c r="D443">
        <f t="shared" si="18"/>
        <v>121.6</v>
      </c>
      <c r="E443">
        <f t="shared" si="19"/>
        <v>5</v>
      </c>
      <c r="F443">
        <f t="shared" si="20"/>
        <v>0.12517985611510796</v>
      </c>
    </row>
    <row r="444" spans="1:6" x14ac:dyDescent="0.25">
      <c r="A444" t="s">
        <v>51</v>
      </c>
      <c r="B444" s="1">
        <v>46027</v>
      </c>
      <c r="C444">
        <v>71</v>
      </c>
      <c r="D444" t="str">
        <f t="shared" si="18"/>
        <v/>
      </c>
      <c r="E444">
        <f t="shared" si="19"/>
        <v>0</v>
      </c>
      <c r="F444" t="str">
        <f t="shared" si="20"/>
        <v/>
      </c>
    </row>
    <row r="445" spans="1:6" x14ac:dyDescent="0.25">
      <c r="A445" t="s">
        <v>51</v>
      </c>
      <c r="B445" s="1">
        <v>46034</v>
      </c>
      <c r="C445">
        <v>59</v>
      </c>
      <c r="D445" t="str">
        <f t="shared" si="18"/>
        <v/>
      </c>
      <c r="E445">
        <f t="shared" si="19"/>
        <v>1</v>
      </c>
      <c r="F445" t="str">
        <f t="shared" si="20"/>
        <v/>
      </c>
    </row>
    <row r="446" spans="1:6" x14ac:dyDescent="0.25">
      <c r="A446" t="s">
        <v>51</v>
      </c>
      <c r="B446" s="1">
        <v>46041</v>
      </c>
      <c r="C446">
        <v>176</v>
      </c>
      <c r="D446" t="str">
        <f t="shared" si="18"/>
        <v/>
      </c>
      <c r="E446">
        <f t="shared" si="19"/>
        <v>2</v>
      </c>
      <c r="F446" t="str">
        <f t="shared" si="20"/>
        <v/>
      </c>
    </row>
    <row r="447" spans="1:6" x14ac:dyDescent="0.25">
      <c r="A447" t="s">
        <v>51</v>
      </c>
      <c r="B447" s="1">
        <v>46048</v>
      </c>
      <c r="C447">
        <v>60</v>
      </c>
      <c r="D447" t="str">
        <f t="shared" si="18"/>
        <v/>
      </c>
      <c r="E447">
        <f t="shared" si="19"/>
        <v>3</v>
      </c>
      <c r="F447" t="str">
        <f t="shared" si="20"/>
        <v/>
      </c>
    </row>
    <row r="448" spans="1:6" x14ac:dyDescent="0.25">
      <c r="A448" t="s">
        <v>51</v>
      </c>
      <c r="B448" s="1">
        <v>46055</v>
      </c>
      <c r="C448">
        <v>178</v>
      </c>
      <c r="D448" t="str">
        <f t="shared" si="18"/>
        <v/>
      </c>
      <c r="E448">
        <f t="shared" si="19"/>
        <v>4</v>
      </c>
      <c r="F448" t="str">
        <f t="shared" si="20"/>
        <v/>
      </c>
    </row>
    <row r="449" spans="1:6" x14ac:dyDescent="0.25">
      <c r="A449" t="s">
        <v>51</v>
      </c>
      <c r="B449" s="1">
        <v>46062</v>
      </c>
      <c r="C449">
        <v>130</v>
      </c>
      <c r="D449">
        <f t="shared" si="18"/>
        <v>108.8</v>
      </c>
      <c r="E449">
        <f t="shared" si="19"/>
        <v>5</v>
      </c>
      <c r="F449">
        <f t="shared" si="20"/>
        <v>0.16307692307692309</v>
      </c>
    </row>
    <row r="450" spans="1:6" x14ac:dyDescent="0.25">
      <c r="A450" t="s">
        <v>51</v>
      </c>
      <c r="B450" s="1">
        <v>46069</v>
      </c>
      <c r="C450">
        <v>167</v>
      </c>
      <c r="D450">
        <f t="shared" ref="D450:D513" si="21">IF(E450 &lt; 5, "", AVERAGEIFS(C:C, A:A, A450, B:B, "&gt;=" &amp; (B450-35), B:B, "&lt;=" &amp; (B450-7)))</f>
        <v>120.6</v>
      </c>
      <c r="E450">
        <f t="shared" ref="E450:E513" si="22">COUNTIFS(A:A, A450, B:B, "&gt;=" &amp; (B450-35), B:B, "&lt;=" &amp; (B450-7))</f>
        <v>5</v>
      </c>
      <c r="F450">
        <f t="shared" ref="F450:F513" si="23">IF(OR(C450=0, D450=""), "", ABS(C450 - D450) / C450)</f>
        <v>0.27784431137724552</v>
      </c>
    </row>
    <row r="451" spans="1:6" x14ac:dyDescent="0.25">
      <c r="A451" t="s">
        <v>51</v>
      </c>
      <c r="B451" s="1">
        <v>46076</v>
      </c>
      <c r="C451">
        <v>59</v>
      </c>
      <c r="D451">
        <f t="shared" si="21"/>
        <v>142.19999999999999</v>
      </c>
      <c r="E451">
        <f t="shared" si="22"/>
        <v>5</v>
      </c>
      <c r="F451">
        <f t="shared" si="23"/>
        <v>1.4101694915254235</v>
      </c>
    </row>
    <row r="452" spans="1:6" x14ac:dyDescent="0.25">
      <c r="A452" t="s">
        <v>51</v>
      </c>
      <c r="B452" s="1">
        <v>46083</v>
      </c>
      <c r="C452">
        <v>158</v>
      </c>
      <c r="D452">
        <f t="shared" si="21"/>
        <v>118.8</v>
      </c>
      <c r="E452">
        <f t="shared" si="22"/>
        <v>5</v>
      </c>
      <c r="F452">
        <f t="shared" si="23"/>
        <v>0.24810126582278483</v>
      </c>
    </row>
    <row r="453" spans="1:6" x14ac:dyDescent="0.25">
      <c r="A453" t="s">
        <v>51</v>
      </c>
      <c r="B453" s="1">
        <v>46090</v>
      </c>
      <c r="C453">
        <v>171</v>
      </c>
      <c r="D453">
        <f t="shared" si="21"/>
        <v>138.4</v>
      </c>
      <c r="E453">
        <f t="shared" si="22"/>
        <v>5</v>
      </c>
      <c r="F453">
        <f t="shared" si="23"/>
        <v>0.19064327485380114</v>
      </c>
    </row>
    <row r="454" spans="1:6" x14ac:dyDescent="0.25">
      <c r="A454" t="s">
        <v>51</v>
      </c>
      <c r="B454" s="1">
        <v>46097</v>
      </c>
      <c r="C454">
        <v>101</v>
      </c>
      <c r="D454">
        <f t="shared" si="21"/>
        <v>137</v>
      </c>
      <c r="E454">
        <f t="shared" si="22"/>
        <v>5</v>
      </c>
      <c r="F454">
        <f t="shared" si="23"/>
        <v>0.35643564356435642</v>
      </c>
    </row>
    <row r="455" spans="1:6" x14ac:dyDescent="0.25">
      <c r="A455" t="s">
        <v>51</v>
      </c>
      <c r="B455" s="1">
        <v>46104</v>
      </c>
      <c r="C455">
        <v>102</v>
      </c>
      <c r="D455">
        <f t="shared" si="21"/>
        <v>131.19999999999999</v>
      </c>
      <c r="E455">
        <f t="shared" si="22"/>
        <v>5</v>
      </c>
      <c r="F455">
        <f t="shared" si="23"/>
        <v>0.28627450980392144</v>
      </c>
    </row>
    <row r="456" spans="1:6" x14ac:dyDescent="0.25">
      <c r="A456" t="s">
        <v>51</v>
      </c>
      <c r="B456" s="1">
        <v>46111</v>
      </c>
      <c r="C456">
        <v>219</v>
      </c>
      <c r="D456">
        <f t="shared" si="21"/>
        <v>118.2</v>
      </c>
      <c r="E456">
        <f t="shared" si="22"/>
        <v>5</v>
      </c>
      <c r="F456">
        <f t="shared" si="23"/>
        <v>0.46027397260273972</v>
      </c>
    </row>
    <row r="457" spans="1:6" x14ac:dyDescent="0.25">
      <c r="A457" t="s">
        <v>51</v>
      </c>
      <c r="B457" s="1">
        <v>46118</v>
      </c>
      <c r="C457">
        <v>118</v>
      </c>
      <c r="D457">
        <f t="shared" si="21"/>
        <v>150.19999999999999</v>
      </c>
      <c r="E457">
        <f t="shared" si="22"/>
        <v>5</v>
      </c>
      <c r="F457">
        <f t="shared" si="23"/>
        <v>0.27288135593220331</v>
      </c>
    </row>
    <row r="458" spans="1:6" x14ac:dyDescent="0.25">
      <c r="A458" t="s">
        <v>51</v>
      </c>
      <c r="B458" s="1">
        <v>46125</v>
      </c>
      <c r="C458">
        <v>93</v>
      </c>
      <c r="D458">
        <f t="shared" si="21"/>
        <v>142.19999999999999</v>
      </c>
      <c r="E458">
        <f t="shared" si="22"/>
        <v>5</v>
      </c>
      <c r="F458">
        <f t="shared" si="23"/>
        <v>0.52903225806451604</v>
      </c>
    </row>
    <row r="459" spans="1:6" x14ac:dyDescent="0.25">
      <c r="A459" t="s">
        <v>51</v>
      </c>
      <c r="B459" s="1">
        <v>46132</v>
      </c>
      <c r="C459">
        <v>85</v>
      </c>
      <c r="D459">
        <f t="shared" si="21"/>
        <v>126.6</v>
      </c>
      <c r="E459">
        <f t="shared" si="22"/>
        <v>5</v>
      </c>
      <c r="F459">
        <f t="shared" si="23"/>
        <v>0.48941176470588227</v>
      </c>
    </row>
    <row r="460" spans="1:6" x14ac:dyDescent="0.25">
      <c r="A460" t="s">
        <v>51</v>
      </c>
      <c r="B460" s="1">
        <v>46139</v>
      </c>
      <c r="C460">
        <v>134</v>
      </c>
      <c r="D460">
        <f t="shared" si="21"/>
        <v>123.4</v>
      </c>
      <c r="E460">
        <f t="shared" si="22"/>
        <v>5</v>
      </c>
      <c r="F460">
        <f t="shared" si="23"/>
        <v>7.9104477611940255E-2</v>
      </c>
    </row>
    <row r="461" spans="1:6" x14ac:dyDescent="0.25">
      <c r="A461" t="s">
        <v>51</v>
      </c>
      <c r="B461" s="1">
        <v>46146</v>
      </c>
      <c r="C461">
        <v>130</v>
      </c>
      <c r="D461">
        <f t="shared" si="21"/>
        <v>129.80000000000001</v>
      </c>
      <c r="E461">
        <f t="shared" si="22"/>
        <v>5</v>
      </c>
      <c r="F461">
        <f t="shared" si="23"/>
        <v>1.5384615384614511E-3</v>
      </c>
    </row>
    <row r="462" spans="1:6" x14ac:dyDescent="0.25">
      <c r="A462" t="s">
        <v>51</v>
      </c>
      <c r="B462" s="1">
        <v>46153</v>
      </c>
      <c r="C462">
        <v>125</v>
      </c>
      <c r="D462">
        <f t="shared" si="21"/>
        <v>112</v>
      </c>
      <c r="E462">
        <f t="shared" si="22"/>
        <v>5</v>
      </c>
      <c r="F462">
        <f t="shared" si="23"/>
        <v>0.104</v>
      </c>
    </row>
    <row r="463" spans="1:6" x14ac:dyDescent="0.25">
      <c r="A463" t="s">
        <v>51</v>
      </c>
      <c r="B463" s="1">
        <v>46160</v>
      </c>
      <c r="C463">
        <v>195</v>
      </c>
      <c r="D463">
        <f t="shared" si="21"/>
        <v>113.4</v>
      </c>
      <c r="E463">
        <f t="shared" si="22"/>
        <v>5</v>
      </c>
      <c r="F463">
        <f t="shared" si="23"/>
        <v>0.41846153846153844</v>
      </c>
    </row>
    <row r="464" spans="1:6" x14ac:dyDescent="0.25">
      <c r="A464" t="s">
        <v>51</v>
      </c>
      <c r="B464" s="1">
        <v>46167</v>
      </c>
      <c r="C464">
        <v>105</v>
      </c>
      <c r="D464">
        <f t="shared" si="21"/>
        <v>133.80000000000001</v>
      </c>
      <c r="E464">
        <f t="shared" si="22"/>
        <v>5</v>
      </c>
      <c r="F464">
        <f t="shared" si="23"/>
        <v>0.27428571428571441</v>
      </c>
    </row>
    <row r="465" spans="1:6" x14ac:dyDescent="0.25">
      <c r="A465" t="s">
        <v>51</v>
      </c>
      <c r="B465" s="1">
        <v>46174</v>
      </c>
      <c r="C465">
        <v>142</v>
      </c>
      <c r="D465">
        <f t="shared" si="21"/>
        <v>137.80000000000001</v>
      </c>
      <c r="E465">
        <f t="shared" si="22"/>
        <v>5</v>
      </c>
      <c r="F465">
        <f t="shared" si="23"/>
        <v>2.9577464788732313E-2</v>
      </c>
    </row>
    <row r="466" spans="1:6" x14ac:dyDescent="0.25">
      <c r="A466" t="s">
        <v>51</v>
      </c>
      <c r="B466" s="1">
        <v>46181</v>
      </c>
      <c r="C466">
        <v>187</v>
      </c>
      <c r="D466">
        <f t="shared" si="21"/>
        <v>139.4</v>
      </c>
      <c r="E466">
        <f t="shared" si="22"/>
        <v>5</v>
      </c>
      <c r="F466">
        <f t="shared" si="23"/>
        <v>0.25454545454545452</v>
      </c>
    </row>
    <row r="467" spans="1:6" x14ac:dyDescent="0.25">
      <c r="A467" t="s">
        <v>51</v>
      </c>
      <c r="B467" s="1">
        <v>46188</v>
      </c>
      <c r="C467">
        <v>78</v>
      </c>
      <c r="D467">
        <f t="shared" si="21"/>
        <v>150.80000000000001</v>
      </c>
      <c r="E467">
        <f t="shared" si="22"/>
        <v>5</v>
      </c>
      <c r="F467">
        <f t="shared" si="23"/>
        <v>0.93333333333333346</v>
      </c>
    </row>
    <row r="468" spans="1:6" x14ac:dyDescent="0.25">
      <c r="A468" t="s">
        <v>51</v>
      </c>
      <c r="B468" s="1">
        <v>46195</v>
      </c>
      <c r="C468">
        <v>171</v>
      </c>
      <c r="D468">
        <f t="shared" si="21"/>
        <v>141.4</v>
      </c>
      <c r="E468">
        <f t="shared" si="22"/>
        <v>5</v>
      </c>
      <c r="F468">
        <f t="shared" si="23"/>
        <v>0.17309941520467834</v>
      </c>
    </row>
    <row r="469" spans="1:6" x14ac:dyDescent="0.25">
      <c r="A469" t="s">
        <v>51</v>
      </c>
      <c r="B469" s="1">
        <v>46202</v>
      </c>
      <c r="C469">
        <v>208</v>
      </c>
      <c r="D469">
        <f t="shared" si="21"/>
        <v>136.6</v>
      </c>
      <c r="E469">
        <f t="shared" si="22"/>
        <v>5</v>
      </c>
      <c r="F469">
        <f t="shared" si="23"/>
        <v>0.34326923076923077</v>
      </c>
    </row>
    <row r="470" spans="1:6" x14ac:dyDescent="0.25">
      <c r="A470" t="s">
        <v>53</v>
      </c>
      <c r="B470" s="1">
        <v>46027</v>
      </c>
      <c r="C470">
        <v>183</v>
      </c>
      <c r="D470" t="str">
        <f t="shared" si="21"/>
        <v/>
      </c>
      <c r="E470">
        <f t="shared" si="22"/>
        <v>0</v>
      </c>
      <c r="F470" t="str">
        <f t="shared" si="23"/>
        <v/>
      </c>
    </row>
    <row r="471" spans="1:6" x14ac:dyDescent="0.25">
      <c r="A471" t="s">
        <v>53</v>
      </c>
      <c r="B471" s="1">
        <v>46034</v>
      </c>
      <c r="C471">
        <v>151</v>
      </c>
      <c r="D471" t="str">
        <f t="shared" si="21"/>
        <v/>
      </c>
      <c r="E471">
        <f t="shared" si="22"/>
        <v>1</v>
      </c>
      <c r="F471" t="str">
        <f t="shared" si="23"/>
        <v/>
      </c>
    </row>
    <row r="472" spans="1:6" x14ac:dyDescent="0.25">
      <c r="A472" t="s">
        <v>53</v>
      </c>
      <c r="B472" s="1">
        <v>46041</v>
      </c>
      <c r="C472">
        <v>26</v>
      </c>
      <c r="D472" t="str">
        <f t="shared" si="21"/>
        <v/>
      </c>
      <c r="E472">
        <f t="shared" si="22"/>
        <v>2</v>
      </c>
      <c r="F472" t="str">
        <f t="shared" si="23"/>
        <v/>
      </c>
    </row>
    <row r="473" spans="1:6" x14ac:dyDescent="0.25">
      <c r="A473" t="s">
        <v>53</v>
      </c>
      <c r="B473" s="1">
        <v>46048</v>
      </c>
      <c r="C473">
        <v>74</v>
      </c>
      <c r="D473" t="str">
        <f t="shared" si="21"/>
        <v/>
      </c>
      <c r="E473">
        <f t="shared" si="22"/>
        <v>3</v>
      </c>
      <c r="F473" t="str">
        <f t="shared" si="23"/>
        <v/>
      </c>
    </row>
    <row r="474" spans="1:6" x14ac:dyDescent="0.25">
      <c r="A474" t="s">
        <v>53</v>
      </c>
      <c r="B474" s="1">
        <v>46055</v>
      </c>
      <c r="C474">
        <v>80</v>
      </c>
      <c r="D474" t="str">
        <f t="shared" si="21"/>
        <v/>
      </c>
      <c r="E474">
        <f t="shared" si="22"/>
        <v>4</v>
      </c>
      <c r="F474" t="str">
        <f t="shared" si="23"/>
        <v/>
      </c>
    </row>
    <row r="475" spans="1:6" x14ac:dyDescent="0.25">
      <c r="A475" t="s">
        <v>53</v>
      </c>
      <c r="B475" s="1">
        <v>46062</v>
      </c>
      <c r="C475">
        <v>154</v>
      </c>
      <c r="D475">
        <f t="shared" si="21"/>
        <v>102.8</v>
      </c>
      <c r="E475">
        <f t="shared" si="22"/>
        <v>5</v>
      </c>
      <c r="F475">
        <f t="shared" si="23"/>
        <v>0.33246753246753247</v>
      </c>
    </row>
    <row r="476" spans="1:6" x14ac:dyDescent="0.25">
      <c r="A476" t="s">
        <v>53</v>
      </c>
      <c r="B476" s="1">
        <v>46069</v>
      </c>
      <c r="C476">
        <v>104</v>
      </c>
      <c r="D476">
        <f t="shared" si="21"/>
        <v>97</v>
      </c>
      <c r="E476">
        <f t="shared" si="22"/>
        <v>5</v>
      </c>
      <c r="F476">
        <f t="shared" si="23"/>
        <v>6.7307692307692304E-2</v>
      </c>
    </row>
    <row r="477" spans="1:6" x14ac:dyDescent="0.25">
      <c r="A477" t="s">
        <v>53</v>
      </c>
      <c r="B477" s="1">
        <v>46076</v>
      </c>
      <c r="C477">
        <v>120</v>
      </c>
      <c r="D477">
        <f t="shared" si="21"/>
        <v>87.6</v>
      </c>
      <c r="E477">
        <f t="shared" si="22"/>
        <v>5</v>
      </c>
      <c r="F477">
        <f t="shared" si="23"/>
        <v>0.27000000000000007</v>
      </c>
    </row>
    <row r="478" spans="1:6" x14ac:dyDescent="0.25">
      <c r="A478" t="s">
        <v>53</v>
      </c>
      <c r="B478" s="1">
        <v>46083</v>
      </c>
      <c r="C478">
        <v>142</v>
      </c>
      <c r="D478">
        <f t="shared" si="21"/>
        <v>106.4</v>
      </c>
      <c r="E478">
        <f t="shared" si="22"/>
        <v>5</v>
      </c>
      <c r="F478">
        <f t="shared" si="23"/>
        <v>0.25070422535211262</v>
      </c>
    </row>
    <row r="479" spans="1:6" x14ac:dyDescent="0.25">
      <c r="A479" t="s">
        <v>53</v>
      </c>
      <c r="B479" s="1">
        <v>46090</v>
      </c>
      <c r="C479">
        <v>40</v>
      </c>
      <c r="D479">
        <f t="shared" si="21"/>
        <v>120</v>
      </c>
      <c r="E479">
        <f t="shared" si="22"/>
        <v>5</v>
      </c>
      <c r="F479">
        <f t="shared" si="23"/>
        <v>2</v>
      </c>
    </row>
    <row r="480" spans="1:6" x14ac:dyDescent="0.25">
      <c r="A480" t="s">
        <v>53</v>
      </c>
      <c r="B480" s="1">
        <v>46097</v>
      </c>
      <c r="C480">
        <v>123</v>
      </c>
      <c r="D480">
        <f t="shared" si="21"/>
        <v>112</v>
      </c>
      <c r="E480">
        <f t="shared" si="22"/>
        <v>5</v>
      </c>
      <c r="F480">
        <f t="shared" si="23"/>
        <v>8.943089430894309E-2</v>
      </c>
    </row>
    <row r="481" spans="1:6" x14ac:dyDescent="0.25">
      <c r="A481" t="s">
        <v>53</v>
      </c>
      <c r="B481" s="1">
        <v>46104</v>
      </c>
      <c r="C481">
        <v>123</v>
      </c>
      <c r="D481">
        <f t="shared" si="21"/>
        <v>105.8</v>
      </c>
      <c r="E481">
        <f t="shared" si="22"/>
        <v>5</v>
      </c>
      <c r="F481">
        <f t="shared" si="23"/>
        <v>0.13983739837398376</v>
      </c>
    </row>
    <row r="482" spans="1:6" x14ac:dyDescent="0.25">
      <c r="A482" t="s">
        <v>53</v>
      </c>
      <c r="B482" s="1">
        <v>46111</v>
      </c>
      <c r="C482">
        <v>25</v>
      </c>
      <c r="D482">
        <f t="shared" si="21"/>
        <v>109.6</v>
      </c>
      <c r="E482">
        <f t="shared" si="22"/>
        <v>5</v>
      </c>
      <c r="F482">
        <f t="shared" si="23"/>
        <v>3.3839999999999999</v>
      </c>
    </row>
    <row r="483" spans="1:6" x14ac:dyDescent="0.25">
      <c r="A483" t="s">
        <v>53</v>
      </c>
      <c r="B483" s="1">
        <v>46118</v>
      </c>
      <c r="C483">
        <v>154</v>
      </c>
      <c r="D483">
        <f t="shared" si="21"/>
        <v>90.6</v>
      </c>
      <c r="E483">
        <f t="shared" si="22"/>
        <v>5</v>
      </c>
      <c r="F483">
        <f t="shared" si="23"/>
        <v>0.41168831168831171</v>
      </c>
    </row>
    <row r="484" spans="1:6" x14ac:dyDescent="0.25">
      <c r="A484" t="s">
        <v>53</v>
      </c>
      <c r="B484" s="1">
        <v>46125</v>
      </c>
      <c r="C484">
        <v>46</v>
      </c>
      <c r="D484">
        <f t="shared" si="21"/>
        <v>93</v>
      </c>
      <c r="E484">
        <f t="shared" si="22"/>
        <v>5</v>
      </c>
      <c r="F484">
        <f t="shared" si="23"/>
        <v>1.0217391304347827</v>
      </c>
    </row>
    <row r="485" spans="1:6" x14ac:dyDescent="0.25">
      <c r="A485" t="s">
        <v>53</v>
      </c>
      <c r="B485" s="1">
        <v>46132</v>
      </c>
      <c r="C485">
        <v>121</v>
      </c>
      <c r="D485">
        <f t="shared" si="21"/>
        <v>94.2</v>
      </c>
      <c r="E485">
        <f t="shared" si="22"/>
        <v>5</v>
      </c>
      <c r="F485">
        <f t="shared" si="23"/>
        <v>0.2214876033057851</v>
      </c>
    </row>
    <row r="486" spans="1:6" x14ac:dyDescent="0.25">
      <c r="A486" t="s">
        <v>53</v>
      </c>
      <c r="B486" s="1">
        <v>46139</v>
      </c>
      <c r="C486">
        <v>3</v>
      </c>
      <c r="D486">
        <f t="shared" si="21"/>
        <v>93.8</v>
      </c>
      <c r="E486">
        <f t="shared" si="22"/>
        <v>5</v>
      </c>
      <c r="F486">
        <f t="shared" si="23"/>
        <v>30.266666666666666</v>
      </c>
    </row>
    <row r="487" spans="1:6" x14ac:dyDescent="0.25">
      <c r="A487" t="s">
        <v>53</v>
      </c>
      <c r="B487" s="1">
        <v>46146</v>
      </c>
      <c r="C487">
        <v>124</v>
      </c>
      <c r="D487">
        <f t="shared" si="21"/>
        <v>69.8</v>
      </c>
      <c r="E487">
        <f t="shared" si="22"/>
        <v>5</v>
      </c>
      <c r="F487">
        <f t="shared" si="23"/>
        <v>0.43709677419354842</v>
      </c>
    </row>
    <row r="488" spans="1:6" x14ac:dyDescent="0.25">
      <c r="A488" t="s">
        <v>53</v>
      </c>
      <c r="B488" s="1">
        <v>46153</v>
      </c>
      <c r="C488">
        <v>103</v>
      </c>
      <c r="D488">
        <f t="shared" si="21"/>
        <v>89.6</v>
      </c>
      <c r="E488">
        <f t="shared" si="22"/>
        <v>5</v>
      </c>
      <c r="F488">
        <f t="shared" si="23"/>
        <v>0.13009708737864084</v>
      </c>
    </row>
    <row r="489" spans="1:6" x14ac:dyDescent="0.25">
      <c r="A489" t="s">
        <v>53</v>
      </c>
      <c r="B489" s="1">
        <v>46160</v>
      </c>
      <c r="C489">
        <v>80</v>
      </c>
      <c r="D489">
        <f t="shared" si="21"/>
        <v>79.400000000000006</v>
      </c>
      <c r="E489">
        <f t="shared" si="22"/>
        <v>5</v>
      </c>
      <c r="F489">
        <f t="shared" si="23"/>
        <v>7.4999999999999286E-3</v>
      </c>
    </row>
    <row r="490" spans="1:6" x14ac:dyDescent="0.25">
      <c r="A490" t="s">
        <v>53</v>
      </c>
      <c r="B490" s="1">
        <v>46167</v>
      </c>
      <c r="C490">
        <v>151</v>
      </c>
      <c r="D490">
        <f t="shared" si="21"/>
        <v>86.2</v>
      </c>
      <c r="E490">
        <f t="shared" si="22"/>
        <v>5</v>
      </c>
      <c r="F490">
        <f t="shared" si="23"/>
        <v>0.4291390728476821</v>
      </c>
    </row>
    <row r="491" spans="1:6" x14ac:dyDescent="0.25">
      <c r="A491" t="s">
        <v>53</v>
      </c>
      <c r="B491" s="1">
        <v>46174</v>
      </c>
      <c r="C491">
        <v>176</v>
      </c>
      <c r="D491">
        <f t="shared" si="21"/>
        <v>92.2</v>
      </c>
      <c r="E491">
        <f t="shared" si="22"/>
        <v>5</v>
      </c>
      <c r="F491">
        <f t="shared" si="23"/>
        <v>0.47613636363636364</v>
      </c>
    </row>
    <row r="492" spans="1:6" x14ac:dyDescent="0.25">
      <c r="A492" t="s">
        <v>53</v>
      </c>
      <c r="B492" s="1">
        <v>46181</v>
      </c>
      <c r="C492">
        <v>116</v>
      </c>
      <c r="D492">
        <f t="shared" si="21"/>
        <v>126.8</v>
      </c>
      <c r="E492">
        <f t="shared" si="22"/>
        <v>5</v>
      </c>
      <c r="F492">
        <f t="shared" si="23"/>
        <v>9.3103448275862047E-2</v>
      </c>
    </row>
    <row r="493" spans="1:6" x14ac:dyDescent="0.25">
      <c r="A493" t="s">
        <v>53</v>
      </c>
      <c r="B493" s="1">
        <v>46188</v>
      </c>
      <c r="C493">
        <v>91</v>
      </c>
      <c r="D493">
        <f t="shared" si="21"/>
        <v>125.2</v>
      </c>
      <c r="E493">
        <f t="shared" si="22"/>
        <v>5</v>
      </c>
      <c r="F493">
        <f t="shared" si="23"/>
        <v>0.37582417582417588</v>
      </c>
    </row>
    <row r="494" spans="1:6" x14ac:dyDescent="0.25">
      <c r="A494" t="s">
        <v>53</v>
      </c>
      <c r="B494" s="1">
        <v>46195</v>
      </c>
      <c r="C494">
        <v>88</v>
      </c>
      <c r="D494">
        <f t="shared" si="21"/>
        <v>122.8</v>
      </c>
      <c r="E494">
        <f t="shared" si="22"/>
        <v>5</v>
      </c>
      <c r="F494">
        <f t="shared" si="23"/>
        <v>0.39545454545454545</v>
      </c>
    </row>
    <row r="495" spans="1:6" x14ac:dyDescent="0.25">
      <c r="A495" t="s">
        <v>53</v>
      </c>
      <c r="B495" s="1">
        <v>46202</v>
      </c>
      <c r="C495">
        <v>193</v>
      </c>
      <c r="D495">
        <f t="shared" si="21"/>
        <v>124.4</v>
      </c>
      <c r="E495">
        <f t="shared" si="22"/>
        <v>5</v>
      </c>
      <c r="F495">
        <f t="shared" si="23"/>
        <v>0.35544041450777197</v>
      </c>
    </row>
    <row r="496" spans="1:6" x14ac:dyDescent="0.25">
      <c r="A496" t="s">
        <v>55</v>
      </c>
      <c r="B496" s="1">
        <v>46027</v>
      </c>
      <c r="C496">
        <v>85</v>
      </c>
      <c r="D496" t="str">
        <f t="shared" si="21"/>
        <v/>
      </c>
      <c r="E496">
        <f t="shared" si="22"/>
        <v>0</v>
      </c>
      <c r="F496" t="str">
        <f t="shared" si="23"/>
        <v/>
      </c>
    </row>
    <row r="497" spans="1:6" x14ac:dyDescent="0.25">
      <c r="A497" t="s">
        <v>55</v>
      </c>
      <c r="B497" s="1">
        <v>46034</v>
      </c>
      <c r="C497">
        <v>69</v>
      </c>
      <c r="D497" t="str">
        <f t="shared" si="21"/>
        <v/>
      </c>
      <c r="E497">
        <f t="shared" si="22"/>
        <v>1</v>
      </c>
      <c r="F497" t="str">
        <f t="shared" si="23"/>
        <v/>
      </c>
    </row>
    <row r="498" spans="1:6" x14ac:dyDescent="0.25">
      <c r="A498" t="s">
        <v>55</v>
      </c>
      <c r="B498" s="1">
        <v>46041</v>
      </c>
      <c r="C498">
        <v>52</v>
      </c>
      <c r="D498" t="str">
        <f t="shared" si="21"/>
        <v/>
      </c>
      <c r="E498">
        <f t="shared" si="22"/>
        <v>2</v>
      </c>
      <c r="F498" t="str">
        <f t="shared" si="23"/>
        <v/>
      </c>
    </row>
    <row r="499" spans="1:6" x14ac:dyDescent="0.25">
      <c r="A499" t="s">
        <v>55</v>
      </c>
      <c r="B499" s="1">
        <v>46048</v>
      </c>
      <c r="C499">
        <v>97</v>
      </c>
      <c r="D499" t="str">
        <f t="shared" si="21"/>
        <v/>
      </c>
      <c r="E499">
        <f t="shared" si="22"/>
        <v>3</v>
      </c>
      <c r="F499" t="str">
        <f t="shared" si="23"/>
        <v/>
      </c>
    </row>
    <row r="500" spans="1:6" x14ac:dyDescent="0.25">
      <c r="A500" t="s">
        <v>55</v>
      </c>
      <c r="B500" s="1">
        <v>46055</v>
      </c>
      <c r="C500">
        <v>98</v>
      </c>
      <c r="D500" t="str">
        <f t="shared" si="21"/>
        <v/>
      </c>
      <c r="E500">
        <f t="shared" si="22"/>
        <v>4</v>
      </c>
      <c r="F500" t="str">
        <f t="shared" si="23"/>
        <v/>
      </c>
    </row>
    <row r="501" spans="1:6" x14ac:dyDescent="0.25">
      <c r="A501" t="s">
        <v>55</v>
      </c>
      <c r="B501" s="1">
        <v>46062</v>
      </c>
      <c r="C501">
        <v>91</v>
      </c>
      <c r="D501">
        <f t="shared" si="21"/>
        <v>80.2</v>
      </c>
      <c r="E501">
        <f t="shared" si="22"/>
        <v>5</v>
      </c>
      <c r="F501">
        <f t="shared" si="23"/>
        <v>0.11868131868131865</v>
      </c>
    </row>
    <row r="502" spans="1:6" x14ac:dyDescent="0.25">
      <c r="A502" t="s">
        <v>55</v>
      </c>
      <c r="B502" s="1">
        <v>46069</v>
      </c>
      <c r="C502">
        <v>82</v>
      </c>
      <c r="D502">
        <f t="shared" si="21"/>
        <v>81.400000000000006</v>
      </c>
      <c r="E502">
        <f t="shared" si="22"/>
        <v>5</v>
      </c>
      <c r="F502">
        <f t="shared" si="23"/>
        <v>7.3170731707316384E-3</v>
      </c>
    </row>
    <row r="503" spans="1:6" x14ac:dyDescent="0.25">
      <c r="A503" t="s">
        <v>55</v>
      </c>
      <c r="B503" s="1">
        <v>46076</v>
      </c>
      <c r="C503">
        <v>83</v>
      </c>
      <c r="D503">
        <f t="shared" si="21"/>
        <v>84</v>
      </c>
      <c r="E503">
        <f t="shared" si="22"/>
        <v>5</v>
      </c>
      <c r="F503">
        <f t="shared" si="23"/>
        <v>1.2048192771084338E-2</v>
      </c>
    </row>
    <row r="504" spans="1:6" x14ac:dyDescent="0.25">
      <c r="A504" t="s">
        <v>55</v>
      </c>
      <c r="B504" s="1">
        <v>46083</v>
      </c>
      <c r="C504">
        <v>72</v>
      </c>
      <c r="D504">
        <f t="shared" si="21"/>
        <v>90.2</v>
      </c>
      <c r="E504">
        <f t="shared" si="22"/>
        <v>5</v>
      </c>
      <c r="F504">
        <f t="shared" si="23"/>
        <v>0.25277777777777782</v>
      </c>
    </row>
    <row r="505" spans="1:6" x14ac:dyDescent="0.25">
      <c r="A505" t="s">
        <v>55</v>
      </c>
      <c r="B505" s="1">
        <v>46090</v>
      </c>
      <c r="C505">
        <v>75</v>
      </c>
      <c r="D505">
        <f t="shared" si="21"/>
        <v>85.2</v>
      </c>
      <c r="E505">
        <f t="shared" si="22"/>
        <v>5</v>
      </c>
      <c r="F505">
        <f t="shared" si="23"/>
        <v>0.13600000000000004</v>
      </c>
    </row>
    <row r="506" spans="1:6" x14ac:dyDescent="0.25">
      <c r="A506" t="s">
        <v>55</v>
      </c>
      <c r="B506" s="1">
        <v>46097</v>
      </c>
      <c r="C506">
        <v>99</v>
      </c>
      <c r="D506">
        <f t="shared" si="21"/>
        <v>80.599999999999994</v>
      </c>
      <c r="E506">
        <f t="shared" si="22"/>
        <v>5</v>
      </c>
      <c r="F506">
        <f t="shared" si="23"/>
        <v>0.18585858585858592</v>
      </c>
    </row>
    <row r="507" spans="1:6" x14ac:dyDescent="0.25">
      <c r="A507" t="s">
        <v>55</v>
      </c>
      <c r="B507" s="1">
        <v>46104</v>
      </c>
      <c r="C507">
        <v>85</v>
      </c>
      <c r="D507">
        <f t="shared" si="21"/>
        <v>82.2</v>
      </c>
      <c r="E507">
        <f t="shared" si="22"/>
        <v>5</v>
      </c>
      <c r="F507">
        <f t="shared" si="23"/>
        <v>3.2941176470588203E-2</v>
      </c>
    </row>
    <row r="508" spans="1:6" x14ac:dyDescent="0.25">
      <c r="A508" t="s">
        <v>55</v>
      </c>
      <c r="B508" s="1">
        <v>46111</v>
      </c>
      <c r="C508">
        <v>105</v>
      </c>
      <c r="D508">
        <f t="shared" si="21"/>
        <v>82.8</v>
      </c>
      <c r="E508">
        <f t="shared" si="22"/>
        <v>5</v>
      </c>
      <c r="F508">
        <f t="shared" si="23"/>
        <v>0.21142857142857147</v>
      </c>
    </row>
    <row r="509" spans="1:6" x14ac:dyDescent="0.25">
      <c r="A509" t="s">
        <v>55</v>
      </c>
      <c r="B509" s="1">
        <v>46118</v>
      </c>
      <c r="C509">
        <v>90</v>
      </c>
      <c r="D509">
        <f t="shared" si="21"/>
        <v>87.2</v>
      </c>
      <c r="E509">
        <f t="shared" si="22"/>
        <v>5</v>
      </c>
      <c r="F509">
        <f t="shared" si="23"/>
        <v>3.1111111111111079E-2</v>
      </c>
    </row>
    <row r="510" spans="1:6" x14ac:dyDescent="0.25">
      <c r="A510" t="s">
        <v>55</v>
      </c>
      <c r="B510" s="1">
        <v>46125</v>
      </c>
      <c r="C510">
        <v>66</v>
      </c>
      <c r="D510">
        <f t="shared" si="21"/>
        <v>90.8</v>
      </c>
      <c r="E510">
        <f t="shared" si="22"/>
        <v>5</v>
      </c>
      <c r="F510">
        <f t="shared" si="23"/>
        <v>0.37575757575757573</v>
      </c>
    </row>
    <row r="511" spans="1:6" x14ac:dyDescent="0.25">
      <c r="A511" t="s">
        <v>55</v>
      </c>
      <c r="B511" s="1">
        <v>46132</v>
      </c>
      <c r="C511">
        <v>96</v>
      </c>
      <c r="D511">
        <f t="shared" si="21"/>
        <v>89</v>
      </c>
      <c r="E511">
        <f t="shared" si="22"/>
        <v>5</v>
      </c>
      <c r="F511">
        <f t="shared" si="23"/>
        <v>7.2916666666666671E-2</v>
      </c>
    </row>
    <row r="512" spans="1:6" x14ac:dyDescent="0.25">
      <c r="A512" t="s">
        <v>55</v>
      </c>
      <c r="B512" s="1">
        <v>46139</v>
      </c>
      <c r="C512">
        <v>114</v>
      </c>
      <c r="D512">
        <f t="shared" si="21"/>
        <v>88.4</v>
      </c>
      <c r="E512">
        <f t="shared" si="22"/>
        <v>5</v>
      </c>
      <c r="F512">
        <f t="shared" si="23"/>
        <v>0.22456140350877188</v>
      </c>
    </row>
    <row r="513" spans="1:6" x14ac:dyDescent="0.25">
      <c r="A513" t="s">
        <v>55</v>
      </c>
      <c r="B513" s="1">
        <v>46146</v>
      </c>
      <c r="C513">
        <v>100</v>
      </c>
      <c r="D513">
        <f t="shared" si="21"/>
        <v>94.2</v>
      </c>
      <c r="E513">
        <f t="shared" si="22"/>
        <v>5</v>
      </c>
      <c r="F513">
        <f t="shared" si="23"/>
        <v>5.7999999999999968E-2</v>
      </c>
    </row>
    <row r="514" spans="1:6" x14ac:dyDescent="0.25">
      <c r="A514" t="s">
        <v>55</v>
      </c>
      <c r="B514" s="1">
        <v>46153</v>
      </c>
      <c r="C514">
        <v>89</v>
      </c>
      <c r="D514">
        <f t="shared" ref="D514:D577" si="24">IF(E514 &lt; 5, "", AVERAGEIFS(C:C, A:A, A514, B:B, "&gt;=" &amp; (B514-35), B:B, "&lt;=" &amp; (B514-7)))</f>
        <v>93.2</v>
      </c>
      <c r="E514">
        <f t="shared" ref="E514:E577" si="25">COUNTIFS(A:A, A514, B:B, "&gt;=" &amp; (B514-35), B:B, "&lt;=" &amp; (B514-7))</f>
        <v>5</v>
      </c>
      <c r="F514">
        <f t="shared" ref="F514:F577" si="26">IF(OR(C514=0, D514=""), "", ABS(C514 - D514) / C514)</f>
        <v>4.7191011235955087E-2</v>
      </c>
    </row>
    <row r="515" spans="1:6" x14ac:dyDescent="0.25">
      <c r="A515" t="s">
        <v>55</v>
      </c>
      <c r="B515" s="1">
        <v>46160</v>
      </c>
      <c r="C515">
        <v>90</v>
      </c>
      <c r="D515">
        <f t="shared" si="24"/>
        <v>93</v>
      </c>
      <c r="E515">
        <f t="shared" si="25"/>
        <v>5</v>
      </c>
      <c r="F515">
        <f t="shared" si="26"/>
        <v>3.3333333333333333E-2</v>
      </c>
    </row>
    <row r="516" spans="1:6" x14ac:dyDescent="0.25">
      <c r="A516" t="s">
        <v>55</v>
      </c>
      <c r="B516" s="1">
        <v>46167</v>
      </c>
      <c r="C516">
        <v>107</v>
      </c>
      <c r="D516">
        <f t="shared" si="24"/>
        <v>97.8</v>
      </c>
      <c r="E516">
        <f t="shared" si="25"/>
        <v>5</v>
      </c>
      <c r="F516">
        <f t="shared" si="26"/>
        <v>8.5981308411214985E-2</v>
      </c>
    </row>
    <row r="517" spans="1:6" x14ac:dyDescent="0.25">
      <c r="A517" t="s">
        <v>55</v>
      </c>
      <c r="B517" s="1">
        <v>46174</v>
      </c>
      <c r="C517">
        <v>91</v>
      </c>
      <c r="D517">
        <f t="shared" si="24"/>
        <v>100</v>
      </c>
      <c r="E517">
        <f t="shared" si="25"/>
        <v>5</v>
      </c>
      <c r="F517">
        <f t="shared" si="26"/>
        <v>9.8901098901098897E-2</v>
      </c>
    </row>
    <row r="518" spans="1:6" x14ac:dyDescent="0.25">
      <c r="A518" t="s">
        <v>55</v>
      </c>
      <c r="B518" s="1">
        <v>46181</v>
      </c>
      <c r="C518">
        <v>86</v>
      </c>
      <c r="D518">
        <f t="shared" si="24"/>
        <v>95.4</v>
      </c>
      <c r="E518">
        <f t="shared" si="25"/>
        <v>5</v>
      </c>
      <c r="F518">
        <f t="shared" si="26"/>
        <v>0.10930232558139541</v>
      </c>
    </row>
    <row r="519" spans="1:6" x14ac:dyDescent="0.25">
      <c r="A519" t="s">
        <v>55</v>
      </c>
      <c r="B519" s="1">
        <v>46188</v>
      </c>
      <c r="C519">
        <v>105</v>
      </c>
      <c r="D519">
        <f t="shared" si="24"/>
        <v>92.6</v>
      </c>
      <c r="E519">
        <f t="shared" si="25"/>
        <v>5</v>
      </c>
      <c r="F519">
        <f t="shared" si="26"/>
        <v>0.11809523809523816</v>
      </c>
    </row>
    <row r="520" spans="1:6" x14ac:dyDescent="0.25">
      <c r="A520" t="s">
        <v>55</v>
      </c>
      <c r="B520" s="1">
        <v>46195</v>
      </c>
      <c r="C520">
        <v>104</v>
      </c>
      <c r="D520">
        <f t="shared" si="24"/>
        <v>95.8</v>
      </c>
      <c r="E520">
        <f t="shared" si="25"/>
        <v>5</v>
      </c>
      <c r="F520">
        <f t="shared" si="26"/>
        <v>7.8846153846153871E-2</v>
      </c>
    </row>
    <row r="521" spans="1:6" x14ac:dyDescent="0.25">
      <c r="A521" t="s">
        <v>55</v>
      </c>
      <c r="B521" s="1">
        <v>46202</v>
      </c>
      <c r="C521">
        <v>96</v>
      </c>
      <c r="D521">
        <f t="shared" si="24"/>
        <v>98.6</v>
      </c>
      <c r="E521">
        <f t="shared" si="25"/>
        <v>5</v>
      </c>
      <c r="F521">
        <f t="shared" si="26"/>
        <v>2.7083333333333275E-2</v>
      </c>
    </row>
    <row r="522" spans="1:6" x14ac:dyDescent="0.25">
      <c r="A522" t="s">
        <v>57</v>
      </c>
      <c r="B522" s="1">
        <v>46027</v>
      </c>
      <c r="C522">
        <v>70</v>
      </c>
      <c r="D522" t="str">
        <f t="shared" si="24"/>
        <v/>
      </c>
      <c r="E522">
        <f t="shared" si="25"/>
        <v>0</v>
      </c>
      <c r="F522" t="str">
        <f t="shared" si="26"/>
        <v/>
      </c>
    </row>
    <row r="523" spans="1:6" x14ac:dyDescent="0.25">
      <c r="A523" t="s">
        <v>57</v>
      </c>
      <c r="B523" s="1">
        <v>46034</v>
      </c>
      <c r="C523">
        <v>74</v>
      </c>
      <c r="D523" t="str">
        <f t="shared" si="24"/>
        <v/>
      </c>
      <c r="E523">
        <f t="shared" si="25"/>
        <v>1</v>
      </c>
      <c r="F523" t="str">
        <f t="shared" si="26"/>
        <v/>
      </c>
    </row>
    <row r="524" spans="1:6" x14ac:dyDescent="0.25">
      <c r="A524" t="s">
        <v>57</v>
      </c>
      <c r="B524" s="1">
        <v>46041</v>
      </c>
      <c r="C524">
        <v>70</v>
      </c>
      <c r="D524" t="str">
        <f t="shared" si="24"/>
        <v/>
      </c>
      <c r="E524">
        <f t="shared" si="25"/>
        <v>2</v>
      </c>
      <c r="F524" t="str">
        <f t="shared" si="26"/>
        <v/>
      </c>
    </row>
    <row r="525" spans="1:6" x14ac:dyDescent="0.25">
      <c r="A525" t="s">
        <v>57</v>
      </c>
      <c r="B525" s="1">
        <v>46048</v>
      </c>
      <c r="C525">
        <v>81</v>
      </c>
      <c r="D525" t="str">
        <f t="shared" si="24"/>
        <v/>
      </c>
      <c r="E525">
        <f t="shared" si="25"/>
        <v>3</v>
      </c>
      <c r="F525" t="str">
        <f t="shared" si="26"/>
        <v/>
      </c>
    </row>
    <row r="526" spans="1:6" x14ac:dyDescent="0.25">
      <c r="A526" t="s">
        <v>57</v>
      </c>
      <c r="B526" s="1">
        <v>46055</v>
      </c>
      <c r="C526">
        <v>66</v>
      </c>
      <c r="D526" t="str">
        <f t="shared" si="24"/>
        <v/>
      </c>
      <c r="E526">
        <f t="shared" si="25"/>
        <v>4</v>
      </c>
      <c r="F526" t="str">
        <f t="shared" si="26"/>
        <v/>
      </c>
    </row>
    <row r="527" spans="1:6" x14ac:dyDescent="0.25">
      <c r="A527" t="s">
        <v>57</v>
      </c>
      <c r="B527" s="1">
        <v>46062</v>
      </c>
      <c r="C527">
        <v>75</v>
      </c>
      <c r="D527">
        <f t="shared" si="24"/>
        <v>72.2</v>
      </c>
      <c r="E527">
        <f t="shared" si="25"/>
        <v>5</v>
      </c>
      <c r="F527">
        <f t="shared" si="26"/>
        <v>3.7333333333333295E-2</v>
      </c>
    </row>
    <row r="528" spans="1:6" x14ac:dyDescent="0.25">
      <c r="A528" t="s">
        <v>57</v>
      </c>
      <c r="B528" s="1">
        <v>46069</v>
      </c>
      <c r="C528">
        <v>93</v>
      </c>
      <c r="D528">
        <f t="shared" si="24"/>
        <v>73.2</v>
      </c>
      <c r="E528">
        <f t="shared" si="25"/>
        <v>5</v>
      </c>
      <c r="F528">
        <f t="shared" si="26"/>
        <v>0.21290322580645157</v>
      </c>
    </row>
    <row r="529" spans="1:6" x14ac:dyDescent="0.25">
      <c r="A529" t="s">
        <v>57</v>
      </c>
      <c r="B529" s="1">
        <v>46076</v>
      </c>
      <c r="C529">
        <v>75</v>
      </c>
      <c r="D529">
        <f t="shared" si="24"/>
        <v>77</v>
      </c>
      <c r="E529">
        <f t="shared" si="25"/>
        <v>5</v>
      </c>
      <c r="F529">
        <f t="shared" si="26"/>
        <v>2.6666666666666668E-2</v>
      </c>
    </row>
    <row r="530" spans="1:6" x14ac:dyDescent="0.25">
      <c r="A530" t="s">
        <v>57</v>
      </c>
      <c r="B530" s="1">
        <v>46083</v>
      </c>
      <c r="C530">
        <v>74</v>
      </c>
      <c r="D530">
        <f t="shared" si="24"/>
        <v>78</v>
      </c>
      <c r="E530">
        <f t="shared" si="25"/>
        <v>5</v>
      </c>
      <c r="F530">
        <f t="shared" si="26"/>
        <v>5.4054054054054057E-2</v>
      </c>
    </row>
    <row r="531" spans="1:6" x14ac:dyDescent="0.25">
      <c r="A531" t="s">
        <v>57</v>
      </c>
      <c r="B531" s="1">
        <v>46090</v>
      </c>
      <c r="C531">
        <v>83</v>
      </c>
      <c r="D531">
        <f t="shared" si="24"/>
        <v>76.599999999999994</v>
      </c>
      <c r="E531">
        <f t="shared" si="25"/>
        <v>5</v>
      </c>
      <c r="F531">
        <f t="shared" si="26"/>
        <v>7.7108433734939821E-2</v>
      </c>
    </row>
    <row r="532" spans="1:6" x14ac:dyDescent="0.25">
      <c r="A532" t="s">
        <v>57</v>
      </c>
      <c r="B532" s="1">
        <v>46097</v>
      </c>
      <c r="C532">
        <v>75</v>
      </c>
      <c r="D532">
        <f t="shared" si="24"/>
        <v>80</v>
      </c>
      <c r="E532">
        <f t="shared" si="25"/>
        <v>5</v>
      </c>
      <c r="F532">
        <f t="shared" si="26"/>
        <v>6.6666666666666666E-2</v>
      </c>
    </row>
    <row r="533" spans="1:6" x14ac:dyDescent="0.25">
      <c r="A533" t="s">
        <v>57</v>
      </c>
      <c r="B533" s="1">
        <v>46104</v>
      </c>
      <c r="C533">
        <v>81</v>
      </c>
      <c r="D533">
        <f t="shared" si="24"/>
        <v>80</v>
      </c>
      <c r="E533">
        <f t="shared" si="25"/>
        <v>5</v>
      </c>
      <c r="F533">
        <f t="shared" si="26"/>
        <v>1.2345679012345678E-2</v>
      </c>
    </row>
    <row r="534" spans="1:6" x14ac:dyDescent="0.25">
      <c r="A534" t="s">
        <v>57</v>
      </c>
      <c r="B534" s="1">
        <v>46111</v>
      </c>
      <c r="C534">
        <v>86</v>
      </c>
      <c r="D534">
        <f t="shared" si="24"/>
        <v>77.599999999999994</v>
      </c>
      <c r="E534">
        <f t="shared" si="25"/>
        <v>5</v>
      </c>
      <c r="F534">
        <f t="shared" si="26"/>
        <v>9.7674418604651231E-2</v>
      </c>
    </row>
    <row r="535" spans="1:6" x14ac:dyDescent="0.25">
      <c r="A535" t="s">
        <v>57</v>
      </c>
      <c r="B535" s="1">
        <v>46118</v>
      </c>
      <c r="C535">
        <v>95</v>
      </c>
      <c r="D535">
        <f t="shared" si="24"/>
        <v>79.8</v>
      </c>
      <c r="E535">
        <f t="shared" si="25"/>
        <v>5</v>
      </c>
      <c r="F535">
        <f t="shared" si="26"/>
        <v>0.16000000000000003</v>
      </c>
    </row>
    <row r="536" spans="1:6" x14ac:dyDescent="0.25">
      <c r="A536" t="s">
        <v>57</v>
      </c>
      <c r="B536" s="1">
        <v>46125</v>
      </c>
      <c r="C536">
        <v>99</v>
      </c>
      <c r="D536">
        <f t="shared" si="24"/>
        <v>84</v>
      </c>
      <c r="E536">
        <f t="shared" si="25"/>
        <v>5</v>
      </c>
      <c r="F536">
        <f t="shared" si="26"/>
        <v>0.15151515151515152</v>
      </c>
    </row>
    <row r="537" spans="1:6" x14ac:dyDescent="0.25">
      <c r="A537" t="s">
        <v>57</v>
      </c>
      <c r="B537" s="1">
        <v>46132</v>
      </c>
      <c r="C537">
        <v>100</v>
      </c>
      <c r="D537">
        <f t="shared" si="24"/>
        <v>87.2</v>
      </c>
      <c r="E537">
        <f t="shared" si="25"/>
        <v>5</v>
      </c>
      <c r="F537">
        <f t="shared" si="26"/>
        <v>0.12799999999999997</v>
      </c>
    </row>
    <row r="538" spans="1:6" x14ac:dyDescent="0.25">
      <c r="A538" t="s">
        <v>57</v>
      </c>
      <c r="B538" s="1">
        <v>46139</v>
      </c>
      <c r="C538">
        <v>109</v>
      </c>
      <c r="D538">
        <f t="shared" si="24"/>
        <v>92.2</v>
      </c>
      <c r="E538">
        <f t="shared" si="25"/>
        <v>5</v>
      </c>
      <c r="F538">
        <f t="shared" si="26"/>
        <v>0.15412844036697246</v>
      </c>
    </row>
    <row r="539" spans="1:6" x14ac:dyDescent="0.25">
      <c r="A539" t="s">
        <v>57</v>
      </c>
      <c r="B539" s="1">
        <v>46146</v>
      </c>
      <c r="C539">
        <v>101</v>
      </c>
      <c r="D539">
        <f t="shared" si="24"/>
        <v>97.8</v>
      </c>
      <c r="E539">
        <f t="shared" si="25"/>
        <v>5</v>
      </c>
      <c r="F539">
        <f t="shared" si="26"/>
        <v>3.1683168316831711E-2</v>
      </c>
    </row>
    <row r="540" spans="1:6" x14ac:dyDescent="0.25">
      <c r="A540" t="s">
        <v>57</v>
      </c>
      <c r="B540" s="1">
        <v>46153</v>
      </c>
      <c r="C540">
        <v>78</v>
      </c>
      <c r="D540">
        <f t="shared" si="24"/>
        <v>100.8</v>
      </c>
      <c r="E540">
        <f t="shared" si="25"/>
        <v>5</v>
      </c>
      <c r="F540">
        <f t="shared" si="26"/>
        <v>0.29230769230769227</v>
      </c>
    </row>
    <row r="541" spans="1:6" x14ac:dyDescent="0.25">
      <c r="A541" t="s">
        <v>57</v>
      </c>
      <c r="B541" s="1">
        <v>46160</v>
      </c>
      <c r="C541">
        <v>94</v>
      </c>
      <c r="D541">
        <f t="shared" si="24"/>
        <v>97.4</v>
      </c>
      <c r="E541">
        <f t="shared" si="25"/>
        <v>5</v>
      </c>
      <c r="F541">
        <f t="shared" si="26"/>
        <v>3.6170212765957506E-2</v>
      </c>
    </row>
    <row r="542" spans="1:6" x14ac:dyDescent="0.25">
      <c r="A542" t="s">
        <v>57</v>
      </c>
      <c r="B542" s="1">
        <v>46167</v>
      </c>
      <c r="C542">
        <v>80</v>
      </c>
      <c r="D542">
        <f t="shared" si="24"/>
        <v>96.4</v>
      </c>
      <c r="E542">
        <f t="shared" si="25"/>
        <v>5</v>
      </c>
      <c r="F542">
        <f t="shared" si="26"/>
        <v>0.20500000000000007</v>
      </c>
    </row>
    <row r="543" spans="1:6" x14ac:dyDescent="0.25">
      <c r="A543" t="s">
        <v>57</v>
      </c>
      <c r="B543" s="1">
        <v>46174</v>
      </c>
      <c r="C543">
        <v>96</v>
      </c>
      <c r="D543">
        <f t="shared" si="24"/>
        <v>92.4</v>
      </c>
      <c r="E543">
        <f t="shared" si="25"/>
        <v>5</v>
      </c>
      <c r="F543">
        <f t="shared" si="26"/>
        <v>3.7499999999999943E-2</v>
      </c>
    </row>
    <row r="544" spans="1:6" x14ac:dyDescent="0.25">
      <c r="A544" t="s">
        <v>57</v>
      </c>
      <c r="B544" s="1">
        <v>46181</v>
      </c>
      <c r="C544">
        <v>87</v>
      </c>
      <c r="D544">
        <f t="shared" si="24"/>
        <v>89.8</v>
      </c>
      <c r="E544">
        <f t="shared" si="25"/>
        <v>5</v>
      </c>
      <c r="F544">
        <f t="shared" si="26"/>
        <v>3.2183908045976976E-2</v>
      </c>
    </row>
    <row r="545" spans="1:6" x14ac:dyDescent="0.25">
      <c r="A545" t="s">
        <v>57</v>
      </c>
      <c r="B545" s="1">
        <v>46188</v>
      </c>
      <c r="C545">
        <v>94</v>
      </c>
      <c r="D545">
        <f t="shared" si="24"/>
        <v>87</v>
      </c>
      <c r="E545">
        <f t="shared" si="25"/>
        <v>5</v>
      </c>
      <c r="F545">
        <f t="shared" si="26"/>
        <v>7.4468085106382975E-2</v>
      </c>
    </row>
    <row r="546" spans="1:6" x14ac:dyDescent="0.25">
      <c r="A546" t="s">
        <v>57</v>
      </c>
      <c r="B546" s="1">
        <v>46195</v>
      </c>
      <c r="C546">
        <v>108</v>
      </c>
      <c r="D546">
        <f t="shared" si="24"/>
        <v>90.2</v>
      </c>
      <c r="E546">
        <f t="shared" si="25"/>
        <v>5</v>
      </c>
      <c r="F546">
        <f t="shared" si="26"/>
        <v>0.16481481481481478</v>
      </c>
    </row>
    <row r="547" spans="1:6" x14ac:dyDescent="0.25">
      <c r="A547" t="s">
        <v>57</v>
      </c>
      <c r="B547" s="1">
        <v>46202</v>
      </c>
      <c r="C547">
        <v>98</v>
      </c>
      <c r="D547">
        <f t="shared" si="24"/>
        <v>93</v>
      </c>
      <c r="E547">
        <f t="shared" si="25"/>
        <v>5</v>
      </c>
      <c r="F547">
        <f t="shared" si="26"/>
        <v>5.1020408163265307E-2</v>
      </c>
    </row>
    <row r="548" spans="1:6" x14ac:dyDescent="0.25">
      <c r="A548" t="s">
        <v>59</v>
      </c>
      <c r="B548" s="1">
        <v>46027</v>
      </c>
      <c r="C548">
        <v>64</v>
      </c>
      <c r="D548" t="str">
        <f t="shared" si="24"/>
        <v/>
      </c>
      <c r="E548">
        <f t="shared" si="25"/>
        <v>0</v>
      </c>
      <c r="F548" t="str">
        <f t="shared" si="26"/>
        <v/>
      </c>
    </row>
    <row r="549" spans="1:6" x14ac:dyDescent="0.25">
      <c r="A549" t="s">
        <v>59</v>
      </c>
      <c r="B549" s="1">
        <v>46034</v>
      </c>
      <c r="C549">
        <v>59</v>
      </c>
      <c r="D549" t="str">
        <f t="shared" si="24"/>
        <v/>
      </c>
      <c r="E549">
        <f t="shared" si="25"/>
        <v>1</v>
      </c>
      <c r="F549" t="str">
        <f t="shared" si="26"/>
        <v/>
      </c>
    </row>
    <row r="550" spans="1:6" x14ac:dyDescent="0.25">
      <c r="A550" t="s">
        <v>59</v>
      </c>
      <c r="B550" s="1">
        <v>46041</v>
      </c>
      <c r="C550">
        <v>90</v>
      </c>
      <c r="D550" t="str">
        <f t="shared" si="24"/>
        <v/>
      </c>
      <c r="E550">
        <f t="shared" si="25"/>
        <v>2</v>
      </c>
      <c r="F550" t="str">
        <f t="shared" si="26"/>
        <v/>
      </c>
    </row>
    <row r="551" spans="1:6" x14ac:dyDescent="0.25">
      <c r="A551" t="s">
        <v>59</v>
      </c>
      <c r="B551" s="1">
        <v>46048</v>
      </c>
      <c r="C551">
        <v>70</v>
      </c>
      <c r="D551" t="str">
        <f t="shared" si="24"/>
        <v/>
      </c>
      <c r="E551">
        <f t="shared" si="25"/>
        <v>3</v>
      </c>
      <c r="F551" t="str">
        <f t="shared" si="26"/>
        <v/>
      </c>
    </row>
    <row r="552" spans="1:6" x14ac:dyDescent="0.25">
      <c r="A552" t="s">
        <v>59</v>
      </c>
      <c r="B552" s="1">
        <v>46055</v>
      </c>
      <c r="C552">
        <v>67</v>
      </c>
      <c r="D552" t="str">
        <f t="shared" si="24"/>
        <v/>
      </c>
      <c r="E552">
        <f t="shared" si="25"/>
        <v>4</v>
      </c>
      <c r="F552" t="str">
        <f t="shared" si="26"/>
        <v/>
      </c>
    </row>
    <row r="553" spans="1:6" x14ac:dyDescent="0.25">
      <c r="A553" t="s">
        <v>59</v>
      </c>
      <c r="B553" s="1">
        <v>46062</v>
      </c>
      <c r="C553">
        <v>69</v>
      </c>
      <c r="D553">
        <f t="shared" si="24"/>
        <v>70</v>
      </c>
      <c r="E553">
        <f t="shared" si="25"/>
        <v>5</v>
      </c>
      <c r="F553">
        <f t="shared" si="26"/>
        <v>1.4492753623188406E-2</v>
      </c>
    </row>
    <row r="554" spans="1:6" x14ac:dyDescent="0.25">
      <c r="A554" t="s">
        <v>59</v>
      </c>
      <c r="B554" s="1">
        <v>46069</v>
      </c>
      <c r="C554">
        <v>76</v>
      </c>
      <c r="D554">
        <f t="shared" si="24"/>
        <v>71</v>
      </c>
      <c r="E554">
        <f t="shared" si="25"/>
        <v>5</v>
      </c>
      <c r="F554">
        <f t="shared" si="26"/>
        <v>6.5789473684210523E-2</v>
      </c>
    </row>
    <row r="555" spans="1:6" x14ac:dyDescent="0.25">
      <c r="A555" t="s">
        <v>59</v>
      </c>
      <c r="B555" s="1">
        <v>46076</v>
      </c>
      <c r="C555">
        <v>67</v>
      </c>
      <c r="D555">
        <f t="shared" si="24"/>
        <v>74.400000000000006</v>
      </c>
      <c r="E555">
        <f t="shared" si="25"/>
        <v>5</v>
      </c>
      <c r="F555">
        <f t="shared" si="26"/>
        <v>0.11044776119402994</v>
      </c>
    </row>
    <row r="556" spans="1:6" x14ac:dyDescent="0.25">
      <c r="A556" t="s">
        <v>59</v>
      </c>
      <c r="B556" s="1">
        <v>46083</v>
      </c>
      <c r="C556">
        <v>80</v>
      </c>
      <c r="D556">
        <f t="shared" si="24"/>
        <v>69.8</v>
      </c>
      <c r="E556">
        <f t="shared" si="25"/>
        <v>5</v>
      </c>
      <c r="F556">
        <f t="shared" si="26"/>
        <v>0.12750000000000003</v>
      </c>
    </row>
    <row r="557" spans="1:6" x14ac:dyDescent="0.25">
      <c r="A557" t="s">
        <v>59</v>
      </c>
      <c r="B557" s="1">
        <v>46090</v>
      </c>
      <c r="C557">
        <v>77</v>
      </c>
      <c r="D557">
        <f t="shared" si="24"/>
        <v>71.8</v>
      </c>
      <c r="E557">
        <f t="shared" si="25"/>
        <v>5</v>
      </c>
      <c r="F557">
        <f t="shared" si="26"/>
        <v>6.7532467532467569E-2</v>
      </c>
    </row>
    <row r="558" spans="1:6" x14ac:dyDescent="0.25">
      <c r="A558" t="s">
        <v>59</v>
      </c>
      <c r="B558" s="1">
        <v>46097</v>
      </c>
      <c r="C558">
        <v>79</v>
      </c>
      <c r="D558">
        <f t="shared" si="24"/>
        <v>73.8</v>
      </c>
      <c r="E558">
        <f t="shared" si="25"/>
        <v>5</v>
      </c>
      <c r="F558">
        <f t="shared" si="26"/>
        <v>6.5822784810126614E-2</v>
      </c>
    </row>
    <row r="559" spans="1:6" x14ac:dyDescent="0.25">
      <c r="A559" t="s">
        <v>59</v>
      </c>
      <c r="B559" s="1">
        <v>46104</v>
      </c>
      <c r="C559">
        <v>75</v>
      </c>
      <c r="D559">
        <f t="shared" si="24"/>
        <v>75.8</v>
      </c>
      <c r="E559">
        <f t="shared" si="25"/>
        <v>5</v>
      </c>
      <c r="F559">
        <f t="shared" si="26"/>
        <v>1.0666666666666628E-2</v>
      </c>
    </row>
    <row r="560" spans="1:6" x14ac:dyDescent="0.25">
      <c r="A560" t="s">
        <v>59</v>
      </c>
      <c r="B560" s="1">
        <v>46111</v>
      </c>
      <c r="C560">
        <v>88</v>
      </c>
      <c r="D560">
        <f t="shared" si="24"/>
        <v>75.599999999999994</v>
      </c>
      <c r="E560">
        <f t="shared" si="25"/>
        <v>5</v>
      </c>
      <c r="F560">
        <f t="shared" si="26"/>
        <v>0.14090909090909098</v>
      </c>
    </row>
    <row r="561" spans="1:6" x14ac:dyDescent="0.25">
      <c r="A561" t="s">
        <v>59</v>
      </c>
      <c r="B561" s="1">
        <v>46118</v>
      </c>
      <c r="C561">
        <v>83</v>
      </c>
      <c r="D561">
        <f t="shared" si="24"/>
        <v>79.8</v>
      </c>
      <c r="E561">
        <f t="shared" si="25"/>
        <v>5</v>
      </c>
      <c r="F561">
        <f t="shared" si="26"/>
        <v>3.8554216867469911E-2</v>
      </c>
    </row>
    <row r="562" spans="1:6" x14ac:dyDescent="0.25">
      <c r="A562" t="s">
        <v>59</v>
      </c>
      <c r="B562" s="1">
        <v>46125</v>
      </c>
      <c r="C562">
        <v>90</v>
      </c>
      <c r="D562">
        <f t="shared" si="24"/>
        <v>80.400000000000006</v>
      </c>
      <c r="E562">
        <f t="shared" si="25"/>
        <v>5</v>
      </c>
      <c r="F562">
        <f t="shared" si="26"/>
        <v>0.1066666666666666</v>
      </c>
    </row>
    <row r="563" spans="1:6" x14ac:dyDescent="0.25">
      <c r="A563" t="s">
        <v>59</v>
      </c>
      <c r="B563" s="1">
        <v>46132</v>
      </c>
      <c r="C563">
        <v>93</v>
      </c>
      <c r="D563">
        <f t="shared" si="24"/>
        <v>83</v>
      </c>
      <c r="E563">
        <f t="shared" si="25"/>
        <v>5</v>
      </c>
      <c r="F563">
        <f t="shared" si="26"/>
        <v>0.10752688172043011</v>
      </c>
    </row>
    <row r="564" spans="1:6" x14ac:dyDescent="0.25">
      <c r="A564" t="s">
        <v>59</v>
      </c>
      <c r="B564" s="1">
        <v>46139</v>
      </c>
      <c r="C564">
        <v>95</v>
      </c>
      <c r="D564">
        <f t="shared" si="24"/>
        <v>85.8</v>
      </c>
      <c r="E564">
        <f t="shared" si="25"/>
        <v>5</v>
      </c>
      <c r="F564">
        <f t="shared" si="26"/>
        <v>9.6842105263157924E-2</v>
      </c>
    </row>
    <row r="565" spans="1:6" x14ac:dyDescent="0.25">
      <c r="A565" t="s">
        <v>59</v>
      </c>
      <c r="B565" s="1">
        <v>46146</v>
      </c>
      <c r="C565">
        <v>67</v>
      </c>
      <c r="D565">
        <f t="shared" si="24"/>
        <v>89.8</v>
      </c>
      <c r="E565">
        <f t="shared" si="25"/>
        <v>5</v>
      </c>
      <c r="F565">
        <f t="shared" si="26"/>
        <v>0.34029850746268653</v>
      </c>
    </row>
    <row r="566" spans="1:6" x14ac:dyDescent="0.25">
      <c r="A566" t="s">
        <v>59</v>
      </c>
      <c r="B566" s="1">
        <v>46153</v>
      </c>
      <c r="C566">
        <v>87</v>
      </c>
      <c r="D566">
        <f t="shared" si="24"/>
        <v>85.6</v>
      </c>
      <c r="E566">
        <f t="shared" si="25"/>
        <v>5</v>
      </c>
      <c r="F566">
        <f t="shared" si="26"/>
        <v>1.6091954022988571E-2</v>
      </c>
    </row>
    <row r="567" spans="1:6" x14ac:dyDescent="0.25">
      <c r="A567" t="s">
        <v>59</v>
      </c>
      <c r="B567" s="1">
        <v>46160</v>
      </c>
      <c r="C567">
        <v>85</v>
      </c>
      <c r="D567">
        <f t="shared" si="24"/>
        <v>86.4</v>
      </c>
      <c r="E567">
        <f t="shared" si="25"/>
        <v>5</v>
      </c>
      <c r="F567">
        <f t="shared" si="26"/>
        <v>1.6470588235294185E-2</v>
      </c>
    </row>
    <row r="568" spans="1:6" x14ac:dyDescent="0.25">
      <c r="A568" t="s">
        <v>59</v>
      </c>
      <c r="B568" s="1">
        <v>46167</v>
      </c>
      <c r="C568">
        <v>104</v>
      </c>
      <c r="D568">
        <f t="shared" si="24"/>
        <v>85.4</v>
      </c>
      <c r="E568">
        <f t="shared" si="25"/>
        <v>5</v>
      </c>
      <c r="F568">
        <f t="shared" si="26"/>
        <v>0.17884615384615379</v>
      </c>
    </row>
    <row r="569" spans="1:6" x14ac:dyDescent="0.25">
      <c r="A569" t="s">
        <v>59</v>
      </c>
      <c r="B569" s="1">
        <v>46174</v>
      </c>
      <c r="C569">
        <v>78</v>
      </c>
      <c r="D569">
        <f t="shared" si="24"/>
        <v>87.6</v>
      </c>
      <c r="E569">
        <f t="shared" si="25"/>
        <v>5</v>
      </c>
      <c r="F569">
        <f t="shared" si="26"/>
        <v>0.123076923076923</v>
      </c>
    </row>
    <row r="570" spans="1:6" x14ac:dyDescent="0.25">
      <c r="A570" t="s">
        <v>59</v>
      </c>
      <c r="B570" s="1">
        <v>46181</v>
      </c>
      <c r="C570">
        <v>89</v>
      </c>
      <c r="D570">
        <f t="shared" si="24"/>
        <v>84.2</v>
      </c>
      <c r="E570">
        <f t="shared" si="25"/>
        <v>5</v>
      </c>
      <c r="F570">
        <f t="shared" si="26"/>
        <v>5.3932584269662888E-2</v>
      </c>
    </row>
    <row r="571" spans="1:6" x14ac:dyDescent="0.25">
      <c r="A571" t="s">
        <v>59</v>
      </c>
      <c r="B571" s="1">
        <v>46188</v>
      </c>
      <c r="C571">
        <v>95</v>
      </c>
      <c r="D571">
        <f t="shared" si="24"/>
        <v>88.6</v>
      </c>
      <c r="E571">
        <f t="shared" si="25"/>
        <v>5</v>
      </c>
      <c r="F571">
        <f t="shared" si="26"/>
        <v>6.7368421052631633E-2</v>
      </c>
    </row>
    <row r="572" spans="1:6" x14ac:dyDescent="0.25">
      <c r="A572" t="s">
        <v>59</v>
      </c>
      <c r="B572" s="1">
        <v>46195</v>
      </c>
      <c r="C572">
        <v>95</v>
      </c>
      <c r="D572">
        <f t="shared" si="24"/>
        <v>90.2</v>
      </c>
      <c r="E572">
        <f t="shared" si="25"/>
        <v>5</v>
      </c>
      <c r="F572">
        <f t="shared" si="26"/>
        <v>5.0526315789473655E-2</v>
      </c>
    </row>
    <row r="573" spans="1:6" x14ac:dyDescent="0.25">
      <c r="A573" t="s">
        <v>59</v>
      </c>
      <c r="B573" s="1">
        <v>46202</v>
      </c>
      <c r="C573">
        <v>112</v>
      </c>
      <c r="D573">
        <f t="shared" si="24"/>
        <v>92.2</v>
      </c>
      <c r="E573">
        <f t="shared" si="25"/>
        <v>5</v>
      </c>
      <c r="F573">
        <f t="shared" si="26"/>
        <v>0.17678571428571427</v>
      </c>
    </row>
    <row r="574" spans="1:6" x14ac:dyDescent="0.25">
      <c r="A574" t="s">
        <v>61</v>
      </c>
      <c r="B574" s="1">
        <v>46027</v>
      </c>
      <c r="C574">
        <v>32</v>
      </c>
      <c r="D574" t="str">
        <f t="shared" si="24"/>
        <v/>
      </c>
      <c r="E574">
        <f t="shared" si="25"/>
        <v>0</v>
      </c>
      <c r="F574" t="str">
        <f t="shared" si="26"/>
        <v/>
      </c>
    </row>
    <row r="575" spans="1:6" x14ac:dyDescent="0.25">
      <c r="A575" t="s">
        <v>61</v>
      </c>
      <c r="B575" s="1">
        <v>46034</v>
      </c>
      <c r="C575">
        <v>45</v>
      </c>
      <c r="D575" t="str">
        <f t="shared" si="24"/>
        <v/>
      </c>
      <c r="E575">
        <f t="shared" si="25"/>
        <v>1</v>
      </c>
      <c r="F575" t="str">
        <f t="shared" si="26"/>
        <v/>
      </c>
    </row>
    <row r="576" spans="1:6" x14ac:dyDescent="0.25">
      <c r="A576" t="s">
        <v>61</v>
      </c>
      <c r="B576" s="1">
        <v>46041</v>
      </c>
      <c r="C576">
        <v>76</v>
      </c>
      <c r="D576" t="str">
        <f t="shared" si="24"/>
        <v/>
      </c>
      <c r="E576">
        <f t="shared" si="25"/>
        <v>2</v>
      </c>
      <c r="F576" t="str">
        <f t="shared" si="26"/>
        <v/>
      </c>
    </row>
    <row r="577" spans="1:6" x14ac:dyDescent="0.25">
      <c r="A577" t="s">
        <v>61</v>
      </c>
      <c r="B577" s="1">
        <v>46048</v>
      </c>
      <c r="C577">
        <v>45</v>
      </c>
      <c r="D577" t="str">
        <f t="shared" si="24"/>
        <v/>
      </c>
      <c r="E577">
        <f t="shared" si="25"/>
        <v>3</v>
      </c>
      <c r="F577" t="str">
        <f t="shared" si="26"/>
        <v/>
      </c>
    </row>
    <row r="578" spans="1:6" x14ac:dyDescent="0.25">
      <c r="A578" t="s">
        <v>61</v>
      </c>
      <c r="B578" s="1">
        <v>46055</v>
      </c>
      <c r="C578">
        <v>22</v>
      </c>
      <c r="D578" t="str">
        <f t="shared" ref="D578:D641" si="27">IF(E578 &lt; 5, "", AVERAGEIFS(C:C, A:A, A578, B:B, "&gt;=" &amp; (B578-35), B:B, "&lt;=" &amp; (B578-7)))</f>
        <v/>
      </c>
      <c r="E578">
        <f t="shared" ref="E578:E641" si="28">COUNTIFS(A:A, A578, B:B, "&gt;=" &amp; (B578-35), B:B, "&lt;=" &amp; (B578-7))</f>
        <v>4</v>
      </c>
      <c r="F578" t="str">
        <f t="shared" ref="F578:F641" si="29">IF(OR(C578=0, D578=""), "", ABS(C578 - D578) / C578)</f>
        <v/>
      </c>
    </row>
    <row r="579" spans="1:6" x14ac:dyDescent="0.25">
      <c r="A579" t="s">
        <v>61</v>
      </c>
      <c r="B579" s="1">
        <v>46062</v>
      </c>
      <c r="C579">
        <v>54</v>
      </c>
      <c r="D579">
        <f t="shared" si="27"/>
        <v>44</v>
      </c>
      <c r="E579">
        <f t="shared" si="28"/>
        <v>5</v>
      </c>
      <c r="F579">
        <f t="shared" si="29"/>
        <v>0.18518518518518517</v>
      </c>
    </row>
    <row r="580" spans="1:6" x14ac:dyDescent="0.25">
      <c r="A580" t="s">
        <v>61</v>
      </c>
      <c r="B580" s="1">
        <v>46069</v>
      </c>
      <c r="C580">
        <v>62</v>
      </c>
      <c r="D580">
        <f t="shared" si="27"/>
        <v>48.4</v>
      </c>
      <c r="E580">
        <f t="shared" si="28"/>
        <v>5</v>
      </c>
      <c r="F580">
        <f t="shared" si="29"/>
        <v>0.21935483870967745</v>
      </c>
    </row>
    <row r="581" spans="1:6" x14ac:dyDescent="0.25">
      <c r="A581" t="s">
        <v>61</v>
      </c>
      <c r="B581" s="1">
        <v>46076</v>
      </c>
      <c r="C581">
        <v>40</v>
      </c>
      <c r="D581">
        <f t="shared" si="27"/>
        <v>51.8</v>
      </c>
      <c r="E581">
        <f t="shared" si="28"/>
        <v>5</v>
      </c>
      <c r="F581">
        <f t="shared" si="29"/>
        <v>0.29499999999999993</v>
      </c>
    </row>
    <row r="582" spans="1:6" x14ac:dyDescent="0.25">
      <c r="A582" t="s">
        <v>61</v>
      </c>
      <c r="B582" s="1">
        <v>46083</v>
      </c>
      <c r="C582">
        <v>54</v>
      </c>
      <c r="D582">
        <f t="shared" si="27"/>
        <v>44.6</v>
      </c>
      <c r="E582">
        <f t="shared" si="28"/>
        <v>5</v>
      </c>
      <c r="F582">
        <f t="shared" si="29"/>
        <v>0.17407407407407405</v>
      </c>
    </row>
    <row r="583" spans="1:6" x14ac:dyDescent="0.25">
      <c r="A583" t="s">
        <v>61</v>
      </c>
      <c r="B583" s="1">
        <v>46090</v>
      </c>
      <c r="C583">
        <v>43</v>
      </c>
      <c r="D583">
        <f t="shared" si="27"/>
        <v>46.4</v>
      </c>
      <c r="E583">
        <f t="shared" si="28"/>
        <v>5</v>
      </c>
      <c r="F583">
        <f t="shared" si="29"/>
        <v>7.9069767441860436E-2</v>
      </c>
    </row>
    <row r="584" spans="1:6" x14ac:dyDescent="0.25">
      <c r="A584" t="s">
        <v>61</v>
      </c>
      <c r="B584" s="1">
        <v>46097</v>
      </c>
      <c r="C584">
        <v>89</v>
      </c>
      <c r="D584">
        <f t="shared" si="27"/>
        <v>50.6</v>
      </c>
      <c r="E584">
        <f t="shared" si="28"/>
        <v>5</v>
      </c>
      <c r="F584">
        <f t="shared" si="29"/>
        <v>0.43146067415730338</v>
      </c>
    </row>
    <row r="585" spans="1:6" x14ac:dyDescent="0.25">
      <c r="A585" t="s">
        <v>61</v>
      </c>
      <c r="B585" s="1">
        <v>46104</v>
      </c>
      <c r="C585">
        <v>75</v>
      </c>
      <c r="D585">
        <f t="shared" si="27"/>
        <v>57.6</v>
      </c>
      <c r="E585">
        <f t="shared" si="28"/>
        <v>5</v>
      </c>
      <c r="F585">
        <f t="shared" si="29"/>
        <v>0.23199999999999998</v>
      </c>
    </row>
    <row r="586" spans="1:6" x14ac:dyDescent="0.25">
      <c r="A586" t="s">
        <v>61</v>
      </c>
      <c r="B586" s="1">
        <v>46111</v>
      </c>
      <c r="C586">
        <v>13</v>
      </c>
      <c r="D586">
        <f t="shared" si="27"/>
        <v>60.2</v>
      </c>
      <c r="E586">
        <f t="shared" si="28"/>
        <v>5</v>
      </c>
      <c r="F586">
        <f t="shared" si="29"/>
        <v>3.6307692307692312</v>
      </c>
    </row>
    <row r="587" spans="1:6" x14ac:dyDescent="0.25">
      <c r="A587" t="s">
        <v>61</v>
      </c>
      <c r="B587" s="1">
        <v>46118</v>
      </c>
      <c r="C587">
        <v>30</v>
      </c>
      <c r="D587">
        <f t="shared" si="27"/>
        <v>54.8</v>
      </c>
      <c r="E587">
        <f t="shared" si="28"/>
        <v>5</v>
      </c>
      <c r="F587">
        <f t="shared" si="29"/>
        <v>0.82666666666666655</v>
      </c>
    </row>
    <row r="588" spans="1:6" x14ac:dyDescent="0.25">
      <c r="A588" t="s">
        <v>61</v>
      </c>
      <c r="B588" s="1">
        <v>46125</v>
      </c>
      <c r="C588">
        <v>59</v>
      </c>
      <c r="D588">
        <f t="shared" si="27"/>
        <v>50</v>
      </c>
      <c r="E588">
        <f t="shared" si="28"/>
        <v>5</v>
      </c>
      <c r="F588">
        <f t="shared" si="29"/>
        <v>0.15254237288135594</v>
      </c>
    </row>
    <row r="589" spans="1:6" x14ac:dyDescent="0.25">
      <c r="A589" t="s">
        <v>61</v>
      </c>
      <c r="B589" s="1">
        <v>46132</v>
      </c>
      <c r="C589">
        <v>57</v>
      </c>
      <c r="D589">
        <f t="shared" si="27"/>
        <v>53.2</v>
      </c>
      <c r="E589">
        <f t="shared" si="28"/>
        <v>5</v>
      </c>
      <c r="F589">
        <f t="shared" si="29"/>
        <v>6.666666666666661E-2</v>
      </c>
    </row>
    <row r="590" spans="1:6" x14ac:dyDescent="0.25">
      <c r="A590" t="s">
        <v>61</v>
      </c>
      <c r="B590" s="1">
        <v>46139</v>
      </c>
      <c r="C590">
        <v>70</v>
      </c>
      <c r="D590">
        <f t="shared" si="27"/>
        <v>46.8</v>
      </c>
      <c r="E590">
        <f t="shared" si="28"/>
        <v>5</v>
      </c>
      <c r="F590">
        <f t="shared" si="29"/>
        <v>0.33142857142857146</v>
      </c>
    </row>
    <row r="591" spans="1:6" x14ac:dyDescent="0.25">
      <c r="A591" t="s">
        <v>61</v>
      </c>
      <c r="B591" s="1">
        <v>46146</v>
      </c>
      <c r="C591">
        <v>43</v>
      </c>
      <c r="D591">
        <f t="shared" si="27"/>
        <v>45.8</v>
      </c>
      <c r="E591">
        <f t="shared" si="28"/>
        <v>5</v>
      </c>
      <c r="F591">
        <f t="shared" si="29"/>
        <v>6.5116279069767372E-2</v>
      </c>
    </row>
    <row r="592" spans="1:6" x14ac:dyDescent="0.25">
      <c r="A592" t="s">
        <v>61</v>
      </c>
      <c r="B592" s="1">
        <v>46153</v>
      </c>
      <c r="C592">
        <v>87</v>
      </c>
      <c r="D592">
        <f t="shared" si="27"/>
        <v>51.8</v>
      </c>
      <c r="E592">
        <f t="shared" si="28"/>
        <v>5</v>
      </c>
      <c r="F592">
        <f t="shared" si="29"/>
        <v>0.40459770114942534</v>
      </c>
    </row>
    <row r="593" spans="1:6" x14ac:dyDescent="0.25">
      <c r="A593" t="s">
        <v>61</v>
      </c>
      <c r="B593" s="1">
        <v>46160</v>
      </c>
      <c r="C593">
        <v>80</v>
      </c>
      <c r="D593">
        <f t="shared" si="27"/>
        <v>63.2</v>
      </c>
      <c r="E593">
        <f t="shared" si="28"/>
        <v>5</v>
      </c>
      <c r="F593">
        <f t="shared" si="29"/>
        <v>0.20999999999999996</v>
      </c>
    </row>
    <row r="594" spans="1:6" x14ac:dyDescent="0.25">
      <c r="A594" t="s">
        <v>61</v>
      </c>
      <c r="B594" s="1">
        <v>46167</v>
      </c>
      <c r="C594">
        <v>91</v>
      </c>
      <c r="D594">
        <f t="shared" si="27"/>
        <v>67.400000000000006</v>
      </c>
      <c r="E594">
        <f t="shared" si="28"/>
        <v>5</v>
      </c>
      <c r="F594">
        <f t="shared" si="29"/>
        <v>0.25934065934065925</v>
      </c>
    </row>
    <row r="595" spans="1:6" x14ac:dyDescent="0.25">
      <c r="A595" t="s">
        <v>61</v>
      </c>
      <c r="B595" s="1">
        <v>46174</v>
      </c>
      <c r="C595">
        <v>54</v>
      </c>
      <c r="D595">
        <f t="shared" si="27"/>
        <v>74.2</v>
      </c>
      <c r="E595">
        <f t="shared" si="28"/>
        <v>5</v>
      </c>
      <c r="F595">
        <f t="shared" si="29"/>
        <v>0.37407407407407411</v>
      </c>
    </row>
    <row r="596" spans="1:6" x14ac:dyDescent="0.25">
      <c r="A596" t="s">
        <v>61</v>
      </c>
      <c r="B596" s="1">
        <v>46181</v>
      </c>
      <c r="C596">
        <v>69</v>
      </c>
      <c r="D596">
        <f t="shared" si="27"/>
        <v>71</v>
      </c>
      <c r="E596">
        <f t="shared" si="28"/>
        <v>5</v>
      </c>
      <c r="F596">
        <f t="shared" si="29"/>
        <v>2.8985507246376812E-2</v>
      </c>
    </row>
    <row r="597" spans="1:6" x14ac:dyDescent="0.25">
      <c r="A597" t="s">
        <v>61</v>
      </c>
      <c r="B597" s="1">
        <v>46188</v>
      </c>
      <c r="C597">
        <v>73</v>
      </c>
      <c r="D597">
        <f t="shared" si="27"/>
        <v>76.2</v>
      </c>
      <c r="E597">
        <f t="shared" si="28"/>
        <v>5</v>
      </c>
      <c r="F597">
        <f t="shared" si="29"/>
        <v>4.3835616438356206E-2</v>
      </c>
    </row>
    <row r="598" spans="1:6" x14ac:dyDescent="0.25">
      <c r="A598" t="s">
        <v>61</v>
      </c>
      <c r="B598" s="1">
        <v>46195</v>
      </c>
      <c r="C598">
        <v>45</v>
      </c>
      <c r="D598">
        <f t="shared" si="27"/>
        <v>73.400000000000006</v>
      </c>
      <c r="E598">
        <f t="shared" si="28"/>
        <v>5</v>
      </c>
      <c r="F598">
        <f t="shared" si="29"/>
        <v>0.63111111111111129</v>
      </c>
    </row>
    <row r="599" spans="1:6" x14ac:dyDescent="0.25">
      <c r="A599" t="s">
        <v>61</v>
      </c>
      <c r="B599" s="1">
        <v>46202</v>
      </c>
      <c r="C599">
        <v>23</v>
      </c>
      <c r="D599">
        <f t="shared" si="27"/>
        <v>66.400000000000006</v>
      </c>
      <c r="E599">
        <f t="shared" si="28"/>
        <v>5</v>
      </c>
      <c r="F599">
        <f t="shared" si="29"/>
        <v>1.8869565217391306</v>
      </c>
    </row>
    <row r="600" spans="1:6" x14ac:dyDescent="0.25">
      <c r="A600" t="s">
        <v>63</v>
      </c>
      <c r="B600" s="1">
        <v>46027</v>
      </c>
      <c r="C600">
        <v>28</v>
      </c>
      <c r="D600" t="str">
        <f t="shared" si="27"/>
        <v/>
      </c>
      <c r="E600">
        <f t="shared" si="28"/>
        <v>0</v>
      </c>
      <c r="F600" t="str">
        <f t="shared" si="29"/>
        <v/>
      </c>
    </row>
    <row r="601" spans="1:6" x14ac:dyDescent="0.25">
      <c r="A601" t="s">
        <v>63</v>
      </c>
      <c r="B601" s="1">
        <v>46034</v>
      </c>
      <c r="C601">
        <v>29</v>
      </c>
      <c r="D601" t="str">
        <f t="shared" si="27"/>
        <v/>
      </c>
      <c r="E601">
        <f t="shared" si="28"/>
        <v>1</v>
      </c>
      <c r="F601" t="str">
        <f t="shared" si="29"/>
        <v/>
      </c>
    </row>
    <row r="602" spans="1:6" x14ac:dyDescent="0.25">
      <c r="A602" t="s">
        <v>63</v>
      </c>
      <c r="B602" s="1">
        <v>46041</v>
      </c>
      <c r="C602">
        <v>26</v>
      </c>
      <c r="D602" t="str">
        <f t="shared" si="27"/>
        <v/>
      </c>
      <c r="E602">
        <f t="shared" si="28"/>
        <v>2</v>
      </c>
      <c r="F602" t="str">
        <f t="shared" si="29"/>
        <v/>
      </c>
    </row>
    <row r="603" spans="1:6" x14ac:dyDescent="0.25">
      <c r="A603" t="s">
        <v>63</v>
      </c>
      <c r="B603" s="1">
        <v>46048</v>
      </c>
      <c r="C603">
        <v>31</v>
      </c>
      <c r="D603" t="str">
        <f t="shared" si="27"/>
        <v/>
      </c>
      <c r="E603">
        <f t="shared" si="28"/>
        <v>3</v>
      </c>
      <c r="F603" t="str">
        <f t="shared" si="29"/>
        <v/>
      </c>
    </row>
    <row r="604" spans="1:6" x14ac:dyDescent="0.25">
      <c r="A604" t="s">
        <v>63</v>
      </c>
      <c r="B604" s="1">
        <v>46055</v>
      </c>
      <c r="C604">
        <v>23</v>
      </c>
      <c r="D604" t="str">
        <f t="shared" si="27"/>
        <v/>
      </c>
      <c r="E604">
        <f t="shared" si="28"/>
        <v>4</v>
      </c>
      <c r="F604" t="str">
        <f t="shared" si="29"/>
        <v/>
      </c>
    </row>
    <row r="605" spans="1:6" x14ac:dyDescent="0.25">
      <c r="A605" t="s">
        <v>63</v>
      </c>
      <c r="B605" s="1">
        <v>46062</v>
      </c>
      <c r="C605">
        <v>29</v>
      </c>
      <c r="D605">
        <f t="shared" si="27"/>
        <v>27.4</v>
      </c>
      <c r="E605">
        <f t="shared" si="28"/>
        <v>5</v>
      </c>
      <c r="F605">
        <f t="shared" si="29"/>
        <v>5.5172413793103496E-2</v>
      </c>
    </row>
    <row r="606" spans="1:6" x14ac:dyDescent="0.25">
      <c r="A606" t="s">
        <v>63</v>
      </c>
      <c r="B606" s="1">
        <v>46069</v>
      </c>
      <c r="C606">
        <v>30</v>
      </c>
      <c r="D606">
        <f t="shared" si="27"/>
        <v>27.6</v>
      </c>
      <c r="E606">
        <f t="shared" si="28"/>
        <v>5</v>
      </c>
      <c r="F606">
        <f t="shared" si="29"/>
        <v>7.9999999999999946E-2</v>
      </c>
    </row>
    <row r="607" spans="1:6" x14ac:dyDescent="0.25">
      <c r="A607" t="s">
        <v>63</v>
      </c>
      <c r="B607" s="1">
        <v>46076</v>
      </c>
      <c r="C607">
        <v>27</v>
      </c>
      <c r="D607">
        <f t="shared" si="27"/>
        <v>27.8</v>
      </c>
      <c r="E607">
        <f t="shared" si="28"/>
        <v>5</v>
      </c>
      <c r="F607">
        <f t="shared" si="29"/>
        <v>2.9629629629629655E-2</v>
      </c>
    </row>
    <row r="608" spans="1:6" x14ac:dyDescent="0.25">
      <c r="A608" t="s">
        <v>63</v>
      </c>
      <c r="B608" s="1">
        <v>46083</v>
      </c>
      <c r="C608">
        <v>29</v>
      </c>
      <c r="D608">
        <f t="shared" si="27"/>
        <v>28</v>
      </c>
      <c r="E608">
        <f t="shared" si="28"/>
        <v>5</v>
      </c>
      <c r="F608">
        <f t="shared" si="29"/>
        <v>3.4482758620689655E-2</v>
      </c>
    </row>
    <row r="609" spans="1:6" x14ac:dyDescent="0.25">
      <c r="A609" t="s">
        <v>63</v>
      </c>
      <c r="B609" s="1">
        <v>46090</v>
      </c>
      <c r="C609">
        <v>25</v>
      </c>
      <c r="D609">
        <f t="shared" si="27"/>
        <v>27.6</v>
      </c>
      <c r="E609">
        <f t="shared" si="28"/>
        <v>5</v>
      </c>
      <c r="F609">
        <f t="shared" si="29"/>
        <v>0.10400000000000005</v>
      </c>
    </row>
    <row r="610" spans="1:6" x14ac:dyDescent="0.25">
      <c r="A610" t="s">
        <v>63</v>
      </c>
      <c r="B610" s="1">
        <v>46097</v>
      </c>
      <c r="C610">
        <v>32</v>
      </c>
      <c r="D610">
        <f t="shared" si="27"/>
        <v>28</v>
      </c>
      <c r="E610">
        <f t="shared" si="28"/>
        <v>5</v>
      </c>
      <c r="F610">
        <f t="shared" si="29"/>
        <v>0.125</v>
      </c>
    </row>
    <row r="611" spans="1:6" x14ac:dyDescent="0.25">
      <c r="A611" t="s">
        <v>63</v>
      </c>
      <c r="B611" s="1">
        <v>46104</v>
      </c>
      <c r="C611">
        <v>34</v>
      </c>
      <c r="D611">
        <f t="shared" si="27"/>
        <v>28.6</v>
      </c>
      <c r="E611">
        <f t="shared" si="28"/>
        <v>5</v>
      </c>
      <c r="F611">
        <f t="shared" si="29"/>
        <v>0.15882352941176467</v>
      </c>
    </row>
    <row r="612" spans="1:6" x14ac:dyDescent="0.25">
      <c r="A612" t="s">
        <v>63</v>
      </c>
      <c r="B612" s="1">
        <v>46111</v>
      </c>
      <c r="C612">
        <v>29</v>
      </c>
      <c r="D612">
        <f t="shared" si="27"/>
        <v>29.4</v>
      </c>
      <c r="E612">
        <f t="shared" si="28"/>
        <v>5</v>
      </c>
      <c r="F612">
        <f t="shared" si="29"/>
        <v>1.3793103448275813E-2</v>
      </c>
    </row>
    <row r="613" spans="1:6" x14ac:dyDescent="0.25">
      <c r="A613" t="s">
        <v>63</v>
      </c>
      <c r="B613" s="1">
        <v>46118</v>
      </c>
      <c r="C613">
        <v>34</v>
      </c>
      <c r="D613">
        <f t="shared" si="27"/>
        <v>29.8</v>
      </c>
      <c r="E613">
        <f t="shared" si="28"/>
        <v>5</v>
      </c>
      <c r="F613">
        <f t="shared" si="29"/>
        <v>0.12352941176470586</v>
      </c>
    </row>
    <row r="614" spans="1:6" x14ac:dyDescent="0.25">
      <c r="A614" t="s">
        <v>63</v>
      </c>
      <c r="B614" s="1">
        <v>46125</v>
      </c>
      <c r="C614">
        <v>27</v>
      </c>
      <c r="D614">
        <f t="shared" si="27"/>
        <v>30.8</v>
      </c>
      <c r="E614">
        <f t="shared" si="28"/>
        <v>5</v>
      </c>
      <c r="F614">
        <f t="shared" si="29"/>
        <v>0.14074074074074078</v>
      </c>
    </row>
    <row r="615" spans="1:6" x14ac:dyDescent="0.25">
      <c r="A615" t="s">
        <v>63</v>
      </c>
      <c r="B615" s="1">
        <v>46132</v>
      </c>
      <c r="C615">
        <v>31</v>
      </c>
      <c r="D615">
        <f t="shared" si="27"/>
        <v>31.2</v>
      </c>
      <c r="E615">
        <f t="shared" si="28"/>
        <v>5</v>
      </c>
      <c r="F615">
        <f t="shared" si="29"/>
        <v>6.4516129032257839E-3</v>
      </c>
    </row>
    <row r="616" spans="1:6" x14ac:dyDescent="0.25">
      <c r="A616" t="s">
        <v>63</v>
      </c>
      <c r="B616" s="1">
        <v>46139</v>
      </c>
      <c r="C616">
        <v>36</v>
      </c>
      <c r="D616">
        <f t="shared" si="27"/>
        <v>31</v>
      </c>
      <c r="E616">
        <f t="shared" si="28"/>
        <v>5</v>
      </c>
      <c r="F616">
        <f t="shared" si="29"/>
        <v>0.1388888888888889</v>
      </c>
    </row>
    <row r="617" spans="1:6" x14ac:dyDescent="0.25">
      <c r="A617" t="s">
        <v>63</v>
      </c>
      <c r="B617" s="1">
        <v>46146</v>
      </c>
      <c r="C617">
        <v>28</v>
      </c>
      <c r="D617">
        <f t="shared" si="27"/>
        <v>31.4</v>
      </c>
      <c r="E617">
        <f t="shared" si="28"/>
        <v>5</v>
      </c>
      <c r="F617">
        <f t="shared" si="29"/>
        <v>0.12142857142857137</v>
      </c>
    </row>
    <row r="618" spans="1:6" x14ac:dyDescent="0.25">
      <c r="A618" t="s">
        <v>63</v>
      </c>
      <c r="B618" s="1">
        <v>46153</v>
      </c>
      <c r="C618">
        <v>33</v>
      </c>
      <c r="D618">
        <f t="shared" si="27"/>
        <v>31.2</v>
      </c>
      <c r="E618">
        <f t="shared" si="28"/>
        <v>5</v>
      </c>
      <c r="F618">
        <f t="shared" si="29"/>
        <v>5.4545454545454564E-2</v>
      </c>
    </row>
    <row r="619" spans="1:6" x14ac:dyDescent="0.25">
      <c r="A619" t="s">
        <v>63</v>
      </c>
      <c r="B619" s="1">
        <v>46160</v>
      </c>
      <c r="C619">
        <v>33</v>
      </c>
      <c r="D619">
        <f t="shared" si="27"/>
        <v>31</v>
      </c>
      <c r="E619">
        <f t="shared" si="28"/>
        <v>5</v>
      </c>
      <c r="F619">
        <f t="shared" si="29"/>
        <v>6.0606060606060608E-2</v>
      </c>
    </row>
    <row r="620" spans="1:6" x14ac:dyDescent="0.25">
      <c r="A620" t="s">
        <v>63</v>
      </c>
      <c r="B620" s="1">
        <v>46167</v>
      </c>
      <c r="C620">
        <v>38</v>
      </c>
      <c r="D620">
        <f t="shared" si="27"/>
        <v>32.200000000000003</v>
      </c>
      <c r="E620">
        <f t="shared" si="28"/>
        <v>5</v>
      </c>
      <c r="F620">
        <f t="shared" si="29"/>
        <v>0.15263157894736834</v>
      </c>
    </row>
    <row r="621" spans="1:6" x14ac:dyDescent="0.25">
      <c r="A621" t="s">
        <v>63</v>
      </c>
      <c r="B621" s="1">
        <v>46174</v>
      </c>
      <c r="C621">
        <v>35</v>
      </c>
      <c r="D621">
        <f t="shared" si="27"/>
        <v>33.6</v>
      </c>
      <c r="E621">
        <f t="shared" si="28"/>
        <v>5</v>
      </c>
      <c r="F621">
        <f t="shared" si="29"/>
        <v>3.9999999999999959E-2</v>
      </c>
    </row>
    <row r="622" spans="1:6" x14ac:dyDescent="0.25">
      <c r="A622" t="s">
        <v>63</v>
      </c>
      <c r="B622" s="1">
        <v>46181</v>
      </c>
      <c r="C622">
        <v>32</v>
      </c>
      <c r="D622">
        <f t="shared" si="27"/>
        <v>33.4</v>
      </c>
      <c r="E622">
        <f t="shared" si="28"/>
        <v>5</v>
      </c>
      <c r="F622">
        <f t="shared" si="29"/>
        <v>4.3749999999999956E-2</v>
      </c>
    </row>
    <row r="623" spans="1:6" x14ac:dyDescent="0.25">
      <c r="A623" t="s">
        <v>63</v>
      </c>
      <c r="B623" s="1">
        <v>46188</v>
      </c>
      <c r="C623">
        <v>31</v>
      </c>
      <c r="D623">
        <f t="shared" si="27"/>
        <v>34.200000000000003</v>
      </c>
      <c r="E623">
        <f t="shared" si="28"/>
        <v>5</v>
      </c>
      <c r="F623">
        <f t="shared" si="29"/>
        <v>0.103225806451613</v>
      </c>
    </row>
    <row r="624" spans="1:6" x14ac:dyDescent="0.25">
      <c r="A624" t="s">
        <v>63</v>
      </c>
      <c r="B624" s="1">
        <v>46195</v>
      </c>
      <c r="C624">
        <v>33</v>
      </c>
      <c r="D624">
        <f t="shared" si="27"/>
        <v>33.799999999999997</v>
      </c>
      <c r="E624">
        <f t="shared" si="28"/>
        <v>5</v>
      </c>
      <c r="F624">
        <f t="shared" si="29"/>
        <v>2.4242424242424156E-2</v>
      </c>
    </row>
    <row r="625" spans="1:6" x14ac:dyDescent="0.25">
      <c r="A625" t="s">
        <v>63</v>
      </c>
      <c r="B625" s="1">
        <v>46202</v>
      </c>
      <c r="C625">
        <v>36</v>
      </c>
      <c r="D625">
        <f t="shared" si="27"/>
        <v>33.799999999999997</v>
      </c>
      <c r="E625">
        <f t="shared" si="28"/>
        <v>5</v>
      </c>
      <c r="F625">
        <f t="shared" si="29"/>
        <v>6.1111111111111192E-2</v>
      </c>
    </row>
    <row r="626" spans="1:6" x14ac:dyDescent="0.25">
      <c r="A626" t="s">
        <v>65</v>
      </c>
      <c r="B626" s="1">
        <v>46027</v>
      </c>
      <c r="C626">
        <v>117</v>
      </c>
      <c r="D626" t="str">
        <f t="shared" si="27"/>
        <v/>
      </c>
      <c r="E626">
        <f t="shared" si="28"/>
        <v>0</v>
      </c>
      <c r="F626" t="str">
        <f t="shared" si="29"/>
        <v/>
      </c>
    </row>
    <row r="627" spans="1:6" x14ac:dyDescent="0.25">
      <c r="A627" t="s">
        <v>65</v>
      </c>
      <c r="B627" s="1">
        <v>46034</v>
      </c>
      <c r="C627">
        <v>61</v>
      </c>
      <c r="D627" t="str">
        <f t="shared" si="27"/>
        <v/>
      </c>
      <c r="E627">
        <f t="shared" si="28"/>
        <v>1</v>
      </c>
      <c r="F627" t="str">
        <f t="shared" si="29"/>
        <v/>
      </c>
    </row>
    <row r="628" spans="1:6" x14ac:dyDescent="0.25">
      <c r="A628" t="s">
        <v>65</v>
      </c>
      <c r="B628" s="1">
        <v>46041</v>
      </c>
      <c r="C628">
        <v>125</v>
      </c>
      <c r="D628" t="str">
        <f t="shared" si="27"/>
        <v/>
      </c>
      <c r="E628">
        <f t="shared" si="28"/>
        <v>2</v>
      </c>
      <c r="F628" t="str">
        <f t="shared" si="29"/>
        <v/>
      </c>
    </row>
    <row r="629" spans="1:6" x14ac:dyDescent="0.25">
      <c r="A629" t="s">
        <v>65</v>
      </c>
      <c r="B629" s="1">
        <v>46048</v>
      </c>
      <c r="C629">
        <v>107</v>
      </c>
      <c r="D629" t="str">
        <f t="shared" si="27"/>
        <v/>
      </c>
      <c r="E629">
        <f t="shared" si="28"/>
        <v>3</v>
      </c>
      <c r="F629" t="str">
        <f t="shared" si="29"/>
        <v/>
      </c>
    </row>
    <row r="630" spans="1:6" x14ac:dyDescent="0.25">
      <c r="A630" t="s">
        <v>65</v>
      </c>
      <c r="B630" s="1">
        <v>46055</v>
      </c>
      <c r="C630">
        <v>63</v>
      </c>
      <c r="D630" t="str">
        <f t="shared" si="27"/>
        <v/>
      </c>
      <c r="E630">
        <f t="shared" si="28"/>
        <v>4</v>
      </c>
      <c r="F630" t="str">
        <f t="shared" si="29"/>
        <v/>
      </c>
    </row>
    <row r="631" spans="1:6" x14ac:dyDescent="0.25">
      <c r="A631" t="s">
        <v>65</v>
      </c>
      <c r="B631" s="1">
        <v>46062</v>
      </c>
      <c r="C631">
        <v>80</v>
      </c>
      <c r="D631">
        <f t="shared" si="27"/>
        <v>94.6</v>
      </c>
      <c r="E631">
        <f t="shared" si="28"/>
        <v>5</v>
      </c>
      <c r="F631">
        <f t="shared" si="29"/>
        <v>0.18249999999999994</v>
      </c>
    </row>
    <row r="632" spans="1:6" x14ac:dyDescent="0.25">
      <c r="A632" t="s">
        <v>65</v>
      </c>
      <c r="B632" s="1">
        <v>46069</v>
      </c>
      <c r="C632">
        <v>90</v>
      </c>
      <c r="D632">
        <f t="shared" si="27"/>
        <v>87.2</v>
      </c>
      <c r="E632">
        <f t="shared" si="28"/>
        <v>5</v>
      </c>
      <c r="F632">
        <f t="shared" si="29"/>
        <v>3.1111111111111079E-2</v>
      </c>
    </row>
    <row r="633" spans="1:6" x14ac:dyDescent="0.25">
      <c r="A633" t="s">
        <v>65</v>
      </c>
      <c r="B633" s="1">
        <v>46076</v>
      </c>
      <c r="C633">
        <v>82</v>
      </c>
      <c r="D633">
        <f t="shared" si="27"/>
        <v>93</v>
      </c>
      <c r="E633">
        <f t="shared" si="28"/>
        <v>5</v>
      </c>
      <c r="F633">
        <f t="shared" si="29"/>
        <v>0.13414634146341464</v>
      </c>
    </row>
    <row r="634" spans="1:6" x14ac:dyDescent="0.25">
      <c r="A634" t="s">
        <v>65</v>
      </c>
      <c r="B634" s="1">
        <v>46083</v>
      </c>
      <c r="C634">
        <v>111</v>
      </c>
      <c r="D634">
        <f t="shared" si="27"/>
        <v>84.4</v>
      </c>
      <c r="E634">
        <f t="shared" si="28"/>
        <v>5</v>
      </c>
      <c r="F634">
        <f t="shared" si="29"/>
        <v>0.23963963963963958</v>
      </c>
    </row>
    <row r="635" spans="1:6" x14ac:dyDescent="0.25">
      <c r="A635" t="s">
        <v>65</v>
      </c>
      <c r="B635" s="1">
        <v>46090</v>
      </c>
      <c r="C635">
        <v>70</v>
      </c>
      <c r="D635">
        <f t="shared" si="27"/>
        <v>85.2</v>
      </c>
      <c r="E635">
        <f t="shared" si="28"/>
        <v>5</v>
      </c>
      <c r="F635">
        <f t="shared" si="29"/>
        <v>0.21714285714285719</v>
      </c>
    </row>
    <row r="636" spans="1:6" x14ac:dyDescent="0.25">
      <c r="A636" t="s">
        <v>65</v>
      </c>
      <c r="B636" s="1">
        <v>46097</v>
      </c>
      <c r="C636">
        <v>73</v>
      </c>
      <c r="D636">
        <f t="shared" si="27"/>
        <v>86.6</v>
      </c>
      <c r="E636">
        <f t="shared" si="28"/>
        <v>5</v>
      </c>
      <c r="F636">
        <f t="shared" si="29"/>
        <v>0.18630136986301363</v>
      </c>
    </row>
    <row r="637" spans="1:6" x14ac:dyDescent="0.25">
      <c r="A637" t="s">
        <v>65</v>
      </c>
      <c r="B637" s="1">
        <v>46104</v>
      </c>
      <c r="C637">
        <v>66</v>
      </c>
      <c r="D637">
        <f t="shared" si="27"/>
        <v>85.2</v>
      </c>
      <c r="E637">
        <f t="shared" si="28"/>
        <v>5</v>
      </c>
      <c r="F637">
        <f t="shared" si="29"/>
        <v>0.29090909090909095</v>
      </c>
    </row>
    <row r="638" spans="1:6" x14ac:dyDescent="0.25">
      <c r="A638" t="s">
        <v>65</v>
      </c>
      <c r="B638" s="1">
        <v>46111</v>
      </c>
      <c r="C638">
        <v>76</v>
      </c>
      <c r="D638">
        <f t="shared" si="27"/>
        <v>80.400000000000006</v>
      </c>
      <c r="E638">
        <f t="shared" si="28"/>
        <v>5</v>
      </c>
      <c r="F638">
        <f t="shared" si="29"/>
        <v>5.7894736842105339E-2</v>
      </c>
    </row>
    <row r="639" spans="1:6" x14ac:dyDescent="0.25">
      <c r="A639" t="s">
        <v>65</v>
      </c>
      <c r="B639" s="1">
        <v>46118</v>
      </c>
      <c r="C639">
        <v>124</v>
      </c>
      <c r="D639">
        <f t="shared" si="27"/>
        <v>79.2</v>
      </c>
      <c r="E639">
        <f t="shared" si="28"/>
        <v>5</v>
      </c>
      <c r="F639">
        <f t="shared" si="29"/>
        <v>0.36129032258064514</v>
      </c>
    </row>
    <row r="640" spans="1:6" x14ac:dyDescent="0.25">
      <c r="A640" t="s">
        <v>65</v>
      </c>
      <c r="B640" s="1">
        <v>46125</v>
      </c>
      <c r="C640">
        <v>127</v>
      </c>
      <c r="D640">
        <f t="shared" si="27"/>
        <v>81.8</v>
      </c>
      <c r="E640">
        <f t="shared" si="28"/>
        <v>5</v>
      </c>
      <c r="F640">
        <f t="shared" si="29"/>
        <v>0.35590551181102364</v>
      </c>
    </row>
    <row r="641" spans="1:6" x14ac:dyDescent="0.25">
      <c r="A641" t="s">
        <v>65</v>
      </c>
      <c r="B641" s="1">
        <v>46132</v>
      </c>
      <c r="C641">
        <v>28</v>
      </c>
      <c r="D641">
        <f t="shared" si="27"/>
        <v>93.2</v>
      </c>
      <c r="E641">
        <f t="shared" si="28"/>
        <v>5</v>
      </c>
      <c r="F641">
        <f t="shared" si="29"/>
        <v>2.3285714285714287</v>
      </c>
    </row>
    <row r="642" spans="1:6" x14ac:dyDescent="0.25">
      <c r="A642" t="s">
        <v>65</v>
      </c>
      <c r="B642" s="1">
        <v>46139</v>
      </c>
      <c r="C642">
        <v>120</v>
      </c>
      <c r="D642">
        <f t="shared" ref="D642:D705" si="30">IF(E642 &lt; 5, "", AVERAGEIFS(C:C, A:A, A642, B:B, "&gt;=" &amp; (B642-35), B:B, "&lt;=" &amp; (B642-7)))</f>
        <v>84.2</v>
      </c>
      <c r="E642">
        <f t="shared" ref="E642:E705" si="31">COUNTIFS(A:A, A642, B:B, "&gt;=" &amp; (B642-35), B:B, "&lt;=" &amp; (B642-7))</f>
        <v>5</v>
      </c>
      <c r="F642">
        <f t="shared" ref="F642:F705" si="32">IF(OR(C642=0, D642=""), "", ABS(C642 - D642) / C642)</f>
        <v>0.29833333333333328</v>
      </c>
    </row>
    <row r="643" spans="1:6" x14ac:dyDescent="0.25">
      <c r="A643" t="s">
        <v>65</v>
      </c>
      <c r="B643" s="1">
        <v>46146</v>
      </c>
      <c r="C643">
        <v>68</v>
      </c>
      <c r="D643">
        <f t="shared" si="30"/>
        <v>95</v>
      </c>
      <c r="E643">
        <f t="shared" si="31"/>
        <v>5</v>
      </c>
      <c r="F643">
        <f t="shared" si="32"/>
        <v>0.39705882352941174</v>
      </c>
    </row>
    <row r="644" spans="1:6" x14ac:dyDescent="0.25">
      <c r="A644" t="s">
        <v>65</v>
      </c>
      <c r="B644" s="1">
        <v>46153</v>
      </c>
      <c r="C644">
        <v>110</v>
      </c>
      <c r="D644">
        <f t="shared" si="30"/>
        <v>93.4</v>
      </c>
      <c r="E644">
        <f t="shared" si="31"/>
        <v>5</v>
      </c>
      <c r="F644">
        <f t="shared" si="32"/>
        <v>0.15090909090909085</v>
      </c>
    </row>
    <row r="645" spans="1:6" x14ac:dyDescent="0.25">
      <c r="A645" t="s">
        <v>65</v>
      </c>
      <c r="B645" s="1">
        <v>46160</v>
      </c>
      <c r="C645">
        <v>126</v>
      </c>
      <c r="D645">
        <f t="shared" si="30"/>
        <v>90.6</v>
      </c>
      <c r="E645">
        <f t="shared" si="31"/>
        <v>5</v>
      </c>
      <c r="F645">
        <f t="shared" si="32"/>
        <v>0.28095238095238101</v>
      </c>
    </row>
    <row r="646" spans="1:6" x14ac:dyDescent="0.25">
      <c r="A646" t="s">
        <v>65</v>
      </c>
      <c r="B646" s="1">
        <v>46167</v>
      </c>
      <c r="C646">
        <v>169</v>
      </c>
      <c r="D646">
        <f t="shared" si="30"/>
        <v>90.4</v>
      </c>
      <c r="E646">
        <f t="shared" si="31"/>
        <v>5</v>
      </c>
      <c r="F646">
        <f t="shared" si="32"/>
        <v>0.46508875739644967</v>
      </c>
    </row>
    <row r="647" spans="1:6" x14ac:dyDescent="0.25">
      <c r="A647" t="s">
        <v>65</v>
      </c>
      <c r="B647" s="1">
        <v>46174</v>
      </c>
      <c r="C647">
        <v>108</v>
      </c>
      <c r="D647">
        <f t="shared" si="30"/>
        <v>118.6</v>
      </c>
      <c r="E647">
        <f t="shared" si="31"/>
        <v>5</v>
      </c>
      <c r="F647">
        <f t="shared" si="32"/>
        <v>9.8148148148148096E-2</v>
      </c>
    </row>
    <row r="648" spans="1:6" x14ac:dyDescent="0.25">
      <c r="A648" t="s">
        <v>65</v>
      </c>
      <c r="B648" s="1">
        <v>46181</v>
      </c>
      <c r="C648">
        <v>133</v>
      </c>
      <c r="D648">
        <f t="shared" si="30"/>
        <v>116.2</v>
      </c>
      <c r="E648">
        <f t="shared" si="31"/>
        <v>5</v>
      </c>
      <c r="F648">
        <f t="shared" si="32"/>
        <v>0.12631578947368419</v>
      </c>
    </row>
    <row r="649" spans="1:6" x14ac:dyDescent="0.25">
      <c r="A649" t="s">
        <v>65</v>
      </c>
      <c r="B649" s="1">
        <v>46188</v>
      </c>
      <c r="C649">
        <v>91</v>
      </c>
      <c r="D649">
        <f t="shared" si="30"/>
        <v>129.19999999999999</v>
      </c>
      <c r="E649">
        <f t="shared" si="31"/>
        <v>5</v>
      </c>
      <c r="F649">
        <f t="shared" si="32"/>
        <v>0.41978021978021968</v>
      </c>
    </row>
    <row r="650" spans="1:6" x14ac:dyDescent="0.25">
      <c r="A650" t="s">
        <v>65</v>
      </c>
      <c r="B650" s="1">
        <v>46195</v>
      </c>
      <c r="C650">
        <v>45</v>
      </c>
      <c r="D650">
        <f t="shared" si="30"/>
        <v>125.4</v>
      </c>
      <c r="E650">
        <f t="shared" si="31"/>
        <v>5</v>
      </c>
      <c r="F650">
        <f t="shared" si="32"/>
        <v>1.7866666666666668</v>
      </c>
    </row>
    <row r="651" spans="1:6" x14ac:dyDescent="0.25">
      <c r="A651" t="s">
        <v>65</v>
      </c>
      <c r="B651" s="1">
        <v>46202</v>
      </c>
      <c r="C651">
        <v>62</v>
      </c>
      <c r="D651">
        <f t="shared" si="30"/>
        <v>109.2</v>
      </c>
      <c r="E651">
        <f t="shared" si="31"/>
        <v>5</v>
      </c>
      <c r="F651">
        <f t="shared" si="32"/>
        <v>0.76129032258064522</v>
      </c>
    </row>
    <row r="652" spans="1:6" x14ac:dyDescent="0.25">
      <c r="A652" t="s">
        <v>67</v>
      </c>
      <c r="B652" s="1">
        <v>46027</v>
      </c>
      <c r="C652">
        <v>32</v>
      </c>
      <c r="D652" t="str">
        <f t="shared" si="30"/>
        <v/>
      </c>
      <c r="E652">
        <f t="shared" si="31"/>
        <v>0</v>
      </c>
      <c r="F652" t="str">
        <f t="shared" si="32"/>
        <v/>
      </c>
    </row>
    <row r="653" spans="1:6" x14ac:dyDescent="0.25">
      <c r="A653" t="s">
        <v>67</v>
      </c>
      <c r="B653" s="1">
        <v>46034</v>
      </c>
      <c r="C653">
        <v>40</v>
      </c>
      <c r="D653" t="str">
        <f t="shared" si="30"/>
        <v/>
      </c>
      <c r="E653">
        <f t="shared" si="31"/>
        <v>1</v>
      </c>
      <c r="F653" t="str">
        <f t="shared" si="32"/>
        <v/>
      </c>
    </row>
    <row r="654" spans="1:6" x14ac:dyDescent="0.25">
      <c r="A654" t="s">
        <v>67</v>
      </c>
      <c r="B654" s="1">
        <v>46041</v>
      </c>
      <c r="C654">
        <v>39</v>
      </c>
      <c r="D654" t="str">
        <f t="shared" si="30"/>
        <v/>
      </c>
      <c r="E654">
        <f t="shared" si="31"/>
        <v>2</v>
      </c>
      <c r="F654" t="str">
        <f t="shared" si="32"/>
        <v/>
      </c>
    </row>
    <row r="655" spans="1:6" x14ac:dyDescent="0.25">
      <c r="A655" t="s">
        <v>67</v>
      </c>
      <c r="B655" s="1">
        <v>46048</v>
      </c>
      <c r="C655">
        <v>32</v>
      </c>
      <c r="D655" t="str">
        <f t="shared" si="30"/>
        <v/>
      </c>
      <c r="E655">
        <f t="shared" si="31"/>
        <v>3</v>
      </c>
      <c r="F655" t="str">
        <f t="shared" si="32"/>
        <v/>
      </c>
    </row>
    <row r="656" spans="1:6" x14ac:dyDescent="0.25">
      <c r="A656" t="s">
        <v>67</v>
      </c>
      <c r="B656" s="1">
        <v>46055</v>
      </c>
      <c r="C656">
        <v>33</v>
      </c>
      <c r="D656" t="str">
        <f t="shared" si="30"/>
        <v/>
      </c>
      <c r="E656">
        <f t="shared" si="31"/>
        <v>4</v>
      </c>
      <c r="F656" t="str">
        <f t="shared" si="32"/>
        <v/>
      </c>
    </row>
    <row r="657" spans="1:6" x14ac:dyDescent="0.25">
      <c r="A657" t="s">
        <v>67</v>
      </c>
      <c r="B657" s="1">
        <v>46062</v>
      </c>
      <c r="C657">
        <v>30</v>
      </c>
      <c r="D657">
        <f t="shared" si="30"/>
        <v>35.200000000000003</v>
      </c>
      <c r="E657">
        <f t="shared" si="31"/>
        <v>5</v>
      </c>
      <c r="F657">
        <f t="shared" si="32"/>
        <v>0.17333333333333342</v>
      </c>
    </row>
    <row r="658" spans="1:6" x14ac:dyDescent="0.25">
      <c r="A658" t="s">
        <v>67</v>
      </c>
      <c r="B658" s="1">
        <v>46069</v>
      </c>
      <c r="C658">
        <v>44</v>
      </c>
      <c r="D658">
        <f t="shared" si="30"/>
        <v>34.799999999999997</v>
      </c>
      <c r="E658">
        <f t="shared" si="31"/>
        <v>5</v>
      </c>
      <c r="F658">
        <f t="shared" si="32"/>
        <v>0.20909090909090916</v>
      </c>
    </row>
    <row r="659" spans="1:6" x14ac:dyDescent="0.25">
      <c r="A659" t="s">
        <v>67</v>
      </c>
      <c r="B659" s="1">
        <v>46076</v>
      </c>
      <c r="C659">
        <v>32</v>
      </c>
      <c r="D659">
        <f t="shared" si="30"/>
        <v>35.6</v>
      </c>
      <c r="E659">
        <f t="shared" si="31"/>
        <v>5</v>
      </c>
      <c r="F659">
        <f t="shared" si="32"/>
        <v>0.11250000000000004</v>
      </c>
    </row>
    <row r="660" spans="1:6" x14ac:dyDescent="0.25">
      <c r="A660" t="s">
        <v>67</v>
      </c>
      <c r="B660" s="1">
        <v>46083</v>
      </c>
      <c r="C660">
        <v>38</v>
      </c>
      <c r="D660">
        <f t="shared" si="30"/>
        <v>34.200000000000003</v>
      </c>
      <c r="E660">
        <f t="shared" si="31"/>
        <v>5</v>
      </c>
      <c r="F660">
        <f t="shared" si="32"/>
        <v>9.9999999999999922E-2</v>
      </c>
    </row>
    <row r="661" spans="1:6" x14ac:dyDescent="0.25">
      <c r="A661" t="s">
        <v>67</v>
      </c>
      <c r="B661" s="1">
        <v>46090</v>
      </c>
      <c r="C661">
        <v>38</v>
      </c>
      <c r="D661">
        <f t="shared" si="30"/>
        <v>35.4</v>
      </c>
      <c r="E661">
        <f t="shared" si="31"/>
        <v>5</v>
      </c>
      <c r="F661">
        <f t="shared" si="32"/>
        <v>6.842105263157898E-2</v>
      </c>
    </row>
    <row r="662" spans="1:6" x14ac:dyDescent="0.25">
      <c r="A662" t="s">
        <v>67</v>
      </c>
      <c r="B662" s="1">
        <v>46097</v>
      </c>
      <c r="C662">
        <v>38</v>
      </c>
      <c r="D662">
        <f t="shared" si="30"/>
        <v>36.4</v>
      </c>
      <c r="E662">
        <f t="shared" si="31"/>
        <v>5</v>
      </c>
      <c r="F662">
        <f t="shared" si="32"/>
        <v>4.2105263157894778E-2</v>
      </c>
    </row>
    <row r="663" spans="1:6" x14ac:dyDescent="0.25">
      <c r="A663" t="s">
        <v>67</v>
      </c>
      <c r="B663" s="1">
        <v>46104</v>
      </c>
      <c r="C663">
        <v>44</v>
      </c>
      <c r="D663">
        <f t="shared" si="30"/>
        <v>38</v>
      </c>
      <c r="E663">
        <f t="shared" si="31"/>
        <v>5</v>
      </c>
      <c r="F663">
        <f t="shared" si="32"/>
        <v>0.13636363636363635</v>
      </c>
    </row>
    <row r="664" spans="1:6" x14ac:dyDescent="0.25">
      <c r="A664" t="s">
        <v>67</v>
      </c>
      <c r="B664" s="1">
        <v>46111</v>
      </c>
      <c r="C664">
        <v>31</v>
      </c>
      <c r="D664">
        <f t="shared" si="30"/>
        <v>38</v>
      </c>
      <c r="E664">
        <f t="shared" si="31"/>
        <v>5</v>
      </c>
      <c r="F664">
        <f t="shared" si="32"/>
        <v>0.22580645161290322</v>
      </c>
    </row>
    <row r="665" spans="1:6" x14ac:dyDescent="0.25">
      <c r="A665" t="s">
        <v>67</v>
      </c>
      <c r="B665" s="1">
        <v>46118</v>
      </c>
      <c r="C665">
        <v>35</v>
      </c>
      <c r="D665">
        <f t="shared" si="30"/>
        <v>37.799999999999997</v>
      </c>
      <c r="E665">
        <f t="shared" si="31"/>
        <v>5</v>
      </c>
      <c r="F665">
        <f t="shared" si="32"/>
        <v>7.9999999999999918E-2</v>
      </c>
    </row>
    <row r="666" spans="1:6" x14ac:dyDescent="0.25">
      <c r="A666" t="s">
        <v>67</v>
      </c>
      <c r="B666" s="1">
        <v>46125</v>
      </c>
      <c r="C666">
        <v>42</v>
      </c>
      <c r="D666">
        <f t="shared" si="30"/>
        <v>37.200000000000003</v>
      </c>
      <c r="E666">
        <f t="shared" si="31"/>
        <v>5</v>
      </c>
      <c r="F666">
        <f t="shared" si="32"/>
        <v>0.11428571428571421</v>
      </c>
    </row>
    <row r="667" spans="1:6" x14ac:dyDescent="0.25">
      <c r="A667" t="s">
        <v>67</v>
      </c>
      <c r="B667" s="1">
        <v>46132</v>
      </c>
      <c r="C667">
        <v>40</v>
      </c>
      <c r="D667">
        <f t="shared" si="30"/>
        <v>38</v>
      </c>
      <c r="E667">
        <f t="shared" si="31"/>
        <v>5</v>
      </c>
      <c r="F667">
        <f t="shared" si="32"/>
        <v>0.05</v>
      </c>
    </row>
    <row r="668" spans="1:6" x14ac:dyDescent="0.25">
      <c r="A668" t="s">
        <v>67</v>
      </c>
      <c r="B668" s="1">
        <v>46139</v>
      </c>
      <c r="C668">
        <v>46</v>
      </c>
      <c r="D668">
        <f t="shared" si="30"/>
        <v>38.4</v>
      </c>
      <c r="E668">
        <f t="shared" si="31"/>
        <v>5</v>
      </c>
      <c r="F668">
        <f t="shared" si="32"/>
        <v>0.16521739130434784</v>
      </c>
    </row>
    <row r="669" spans="1:6" x14ac:dyDescent="0.25">
      <c r="A669" t="s">
        <v>67</v>
      </c>
      <c r="B669" s="1">
        <v>46146</v>
      </c>
      <c r="C669">
        <v>34</v>
      </c>
      <c r="D669">
        <f t="shared" si="30"/>
        <v>38.799999999999997</v>
      </c>
      <c r="E669">
        <f t="shared" si="31"/>
        <v>5</v>
      </c>
      <c r="F669">
        <f t="shared" si="32"/>
        <v>0.14117647058823521</v>
      </c>
    </row>
    <row r="670" spans="1:6" x14ac:dyDescent="0.25">
      <c r="A670" t="s">
        <v>67</v>
      </c>
      <c r="B670" s="1">
        <v>46153</v>
      </c>
      <c r="C670">
        <v>47</v>
      </c>
      <c r="D670">
        <f t="shared" si="30"/>
        <v>39.4</v>
      </c>
      <c r="E670">
        <f t="shared" si="31"/>
        <v>5</v>
      </c>
      <c r="F670">
        <f t="shared" si="32"/>
        <v>0.16170212765957451</v>
      </c>
    </row>
    <row r="671" spans="1:6" x14ac:dyDescent="0.25">
      <c r="A671" t="s">
        <v>67</v>
      </c>
      <c r="B671" s="1">
        <v>46160</v>
      </c>
      <c r="C671">
        <v>38</v>
      </c>
      <c r="D671">
        <f t="shared" si="30"/>
        <v>41.8</v>
      </c>
      <c r="E671">
        <f t="shared" si="31"/>
        <v>5</v>
      </c>
      <c r="F671">
        <f t="shared" si="32"/>
        <v>9.9999999999999922E-2</v>
      </c>
    </row>
    <row r="672" spans="1:6" x14ac:dyDescent="0.25">
      <c r="A672" t="s">
        <v>67</v>
      </c>
      <c r="B672" s="1">
        <v>46167</v>
      </c>
      <c r="C672">
        <v>42</v>
      </c>
      <c r="D672">
        <f t="shared" si="30"/>
        <v>41</v>
      </c>
      <c r="E672">
        <f t="shared" si="31"/>
        <v>5</v>
      </c>
      <c r="F672">
        <f t="shared" si="32"/>
        <v>2.3809523809523808E-2</v>
      </c>
    </row>
    <row r="673" spans="1:6" x14ac:dyDescent="0.25">
      <c r="A673" t="s">
        <v>67</v>
      </c>
      <c r="B673" s="1">
        <v>46174</v>
      </c>
      <c r="C673">
        <v>54</v>
      </c>
      <c r="D673">
        <f t="shared" si="30"/>
        <v>41.4</v>
      </c>
      <c r="E673">
        <f t="shared" si="31"/>
        <v>5</v>
      </c>
      <c r="F673">
        <f t="shared" si="32"/>
        <v>0.23333333333333336</v>
      </c>
    </row>
    <row r="674" spans="1:6" x14ac:dyDescent="0.25">
      <c r="A674" t="s">
        <v>67</v>
      </c>
      <c r="B674" s="1">
        <v>46181</v>
      </c>
      <c r="C674">
        <v>47</v>
      </c>
      <c r="D674">
        <f t="shared" si="30"/>
        <v>43</v>
      </c>
      <c r="E674">
        <f t="shared" si="31"/>
        <v>5</v>
      </c>
      <c r="F674">
        <f t="shared" si="32"/>
        <v>8.5106382978723402E-2</v>
      </c>
    </row>
    <row r="675" spans="1:6" x14ac:dyDescent="0.25">
      <c r="A675" t="s">
        <v>67</v>
      </c>
      <c r="B675" s="1">
        <v>46188</v>
      </c>
      <c r="C675">
        <v>37</v>
      </c>
      <c r="D675">
        <f t="shared" si="30"/>
        <v>45.6</v>
      </c>
      <c r="E675">
        <f t="shared" si="31"/>
        <v>5</v>
      </c>
      <c r="F675">
        <f t="shared" si="32"/>
        <v>0.23243243243243247</v>
      </c>
    </row>
    <row r="676" spans="1:6" x14ac:dyDescent="0.25">
      <c r="A676" t="s">
        <v>67</v>
      </c>
      <c r="B676" s="1">
        <v>46195</v>
      </c>
      <c r="C676">
        <v>49</v>
      </c>
      <c r="D676">
        <f t="shared" si="30"/>
        <v>43.6</v>
      </c>
      <c r="E676">
        <f t="shared" si="31"/>
        <v>5</v>
      </c>
      <c r="F676">
        <f t="shared" si="32"/>
        <v>0.11020408163265304</v>
      </c>
    </row>
    <row r="677" spans="1:6" x14ac:dyDescent="0.25">
      <c r="A677" t="s">
        <v>67</v>
      </c>
      <c r="B677" s="1">
        <v>46202</v>
      </c>
      <c r="C677">
        <v>43</v>
      </c>
      <c r="D677">
        <f t="shared" si="30"/>
        <v>45.8</v>
      </c>
      <c r="E677">
        <f t="shared" si="31"/>
        <v>5</v>
      </c>
      <c r="F677">
        <f t="shared" si="32"/>
        <v>6.5116279069767372E-2</v>
      </c>
    </row>
    <row r="678" spans="1:6" x14ac:dyDescent="0.25">
      <c r="A678" t="s">
        <v>69</v>
      </c>
      <c r="B678" s="1">
        <v>46027</v>
      </c>
      <c r="C678">
        <v>21</v>
      </c>
      <c r="D678" t="str">
        <f t="shared" si="30"/>
        <v/>
      </c>
      <c r="E678">
        <f t="shared" si="31"/>
        <v>0</v>
      </c>
      <c r="F678" t="str">
        <f t="shared" si="32"/>
        <v/>
      </c>
    </row>
    <row r="679" spans="1:6" x14ac:dyDescent="0.25">
      <c r="A679" t="s">
        <v>69</v>
      </c>
      <c r="B679" s="1">
        <v>46034</v>
      </c>
      <c r="C679">
        <v>26</v>
      </c>
      <c r="D679" t="str">
        <f t="shared" si="30"/>
        <v/>
      </c>
      <c r="E679">
        <f t="shared" si="31"/>
        <v>1</v>
      </c>
      <c r="F679" t="str">
        <f t="shared" si="32"/>
        <v/>
      </c>
    </row>
    <row r="680" spans="1:6" x14ac:dyDescent="0.25">
      <c r="A680" t="s">
        <v>69</v>
      </c>
      <c r="B680" s="1">
        <v>46041</v>
      </c>
      <c r="C680">
        <v>27</v>
      </c>
      <c r="D680" t="str">
        <f t="shared" si="30"/>
        <v/>
      </c>
      <c r="E680">
        <f t="shared" si="31"/>
        <v>2</v>
      </c>
      <c r="F680" t="str">
        <f t="shared" si="32"/>
        <v/>
      </c>
    </row>
    <row r="681" spans="1:6" x14ac:dyDescent="0.25">
      <c r="A681" t="s">
        <v>69</v>
      </c>
      <c r="B681" s="1">
        <v>46048</v>
      </c>
      <c r="C681">
        <v>20</v>
      </c>
      <c r="D681" t="str">
        <f t="shared" si="30"/>
        <v/>
      </c>
      <c r="E681">
        <f t="shared" si="31"/>
        <v>3</v>
      </c>
      <c r="F681" t="str">
        <f t="shared" si="32"/>
        <v/>
      </c>
    </row>
    <row r="682" spans="1:6" x14ac:dyDescent="0.25">
      <c r="A682" t="s">
        <v>69</v>
      </c>
      <c r="B682" s="1">
        <v>46055</v>
      </c>
      <c r="C682">
        <v>29</v>
      </c>
      <c r="D682" t="str">
        <f t="shared" si="30"/>
        <v/>
      </c>
      <c r="E682">
        <f t="shared" si="31"/>
        <v>4</v>
      </c>
      <c r="F682" t="str">
        <f t="shared" si="32"/>
        <v/>
      </c>
    </row>
    <row r="683" spans="1:6" x14ac:dyDescent="0.25">
      <c r="A683" t="s">
        <v>69</v>
      </c>
      <c r="B683" s="1">
        <v>46062</v>
      </c>
      <c r="C683">
        <v>26</v>
      </c>
      <c r="D683">
        <f t="shared" si="30"/>
        <v>24.6</v>
      </c>
      <c r="E683">
        <f t="shared" si="31"/>
        <v>5</v>
      </c>
      <c r="F683">
        <f t="shared" si="32"/>
        <v>5.3846153846153794E-2</v>
      </c>
    </row>
    <row r="684" spans="1:6" x14ac:dyDescent="0.25">
      <c r="A684" t="s">
        <v>69</v>
      </c>
      <c r="B684" s="1">
        <v>46069</v>
      </c>
      <c r="C684">
        <v>30</v>
      </c>
      <c r="D684">
        <f t="shared" si="30"/>
        <v>25.6</v>
      </c>
      <c r="E684">
        <f t="shared" si="31"/>
        <v>5</v>
      </c>
      <c r="F684">
        <f t="shared" si="32"/>
        <v>0.14666666666666661</v>
      </c>
    </row>
    <row r="685" spans="1:6" x14ac:dyDescent="0.25">
      <c r="A685" t="s">
        <v>69</v>
      </c>
      <c r="B685" s="1">
        <v>46076</v>
      </c>
      <c r="C685">
        <v>29</v>
      </c>
      <c r="D685">
        <f t="shared" si="30"/>
        <v>26.4</v>
      </c>
      <c r="E685">
        <f t="shared" si="31"/>
        <v>5</v>
      </c>
      <c r="F685">
        <f t="shared" si="32"/>
        <v>8.9655172413793158E-2</v>
      </c>
    </row>
    <row r="686" spans="1:6" x14ac:dyDescent="0.25">
      <c r="A686" t="s">
        <v>69</v>
      </c>
      <c r="B686" s="1">
        <v>46083</v>
      </c>
      <c r="C686">
        <v>26</v>
      </c>
      <c r="D686">
        <f t="shared" si="30"/>
        <v>26.8</v>
      </c>
      <c r="E686">
        <f t="shared" si="31"/>
        <v>5</v>
      </c>
      <c r="F686">
        <f t="shared" si="32"/>
        <v>3.0769230769230795E-2</v>
      </c>
    </row>
    <row r="687" spans="1:6" x14ac:dyDescent="0.25">
      <c r="A687" t="s">
        <v>69</v>
      </c>
      <c r="B687" s="1">
        <v>46090</v>
      </c>
      <c r="C687">
        <v>20</v>
      </c>
      <c r="D687">
        <f t="shared" si="30"/>
        <v>28</v>
      </c>
      <c r="E687">
        <f t="shared" si="31"/>
        <v>5</v>
      </c>
      <c r="F687">
        <f t="shared" si="32"/>
        <v>0.4</v>
      </c>
    </row>
    <row r="688" spans="1:6" x14ac:dyDescent="0.25">
      <c r="A688" t="s">
        <v>69</v>
      </c>
      <c r="B688" s="1">
        <v>46097</v>
      </c>
      <c r="C688">
        <v>28</v>
      </c>
      <c r="D688">
        <f t="shared" si="30"/>
        <v>26.2</v>
      </c>
      <c r="E688">
        <f t="shared" si="31"/>
        <v>5</v>
      </c>
      <c r="F688">
        <f t="shared" si="32"/>
        <v>6.4285714285714307E-2</v>
      </c>
    </row>
    <row r="689" spans="1:6" x14ac:dyDescent="0.25">
      <c r="A689" t="s">
        <v>69</v>
      </c>
      <c r="B689" s="1">
        <v>46104</v>
      </c>
      <c r="C689">
        <v>28</v>
      </c>
      <c r="D689">
        <f t="shared" si="30"/>
        <v>26.6</v>
      </c>
      <c r="E689">
        <f t="shared" si="31"/>
        <v>5</v>
      </c>
      <c r="F689">
        <f t="shared" si="32"/>
        <v>4.9999999999999947E-2</v>
      </c>
    </row>
    <row r="690" spans="1:6" x14ac:dyDescent="0.25">
      <c r="A690" t="s">
        <v>69</v>
      </c>
      <c r="B690" s="1">
        <v>46111</v>
      </c>
      <c r="C690">
        <v>26</v>
      </c>
      <c r="D690">
        <f t="shared" si="30"/>
        <v>26.2</v>
      </c>
      <c r="E690">
        <f t="shared" si="31"/>
        <v>5</v>
      </c>
      <c r="F690">
        <f t="shared" si="32"/>
        <v>7.692307692307665E-3</v>
      </c>
    </row>
    <row r="691" spans="1:6" x14ac:dyDescent="0.25">
      <c r="A691" t="s">
        <v>69</v>
      </c>
      <c r="B691" s="1">
        <v>46118</v>
      </c>
      <c r="C691">
        <v>32</v>
      </c>
      <c r="D691">
        <f t="shared" si="30"/>
        <v>25.6</v>
      </c>
      <c r="E691">
        <f t="shared" si="31"/>
        <v>5</v>
      </c>
      <c r="F691">
        <f t="shared" si="32"/>
        <v>0.19999999999999996</v>
      </c>
    </row>
    <row r="692" spans="1:6" x14ac:dyDescent="0.25">
      <c r="A692" t="s">
        <v>69</v>
      </c>
      <c r="B692" s="1">
        <v>46125</v>
      </c>
      <c r="C692">
        <v>26</v>
      </c>
      <c r="D692">
        <f t="shared" si="30"/>
        <v>26.8</v>
      </c>
      <c r="E692">
        <f t="shared" si="31"/>
        <v>5</v>
      </c>
      <c r="F692">
        <f t="shared" si="32"/>
        <v>3.0769230769230795E-2</v>
      </c>
    </row>
    <row r="693" spans="1:6" x14ac:dyDescent="0.25">
      <c r="A693" t="s">
        <v>69</v>
      </c>
      <c r="B693" s="1">
        <v>46132</v>
      </c>
      <c r="C693">
        <v>29</v>
      </c>
      <c r="D693">
        <f t="shared" si="30"/>
        <v>28</v>
      </c>
      <c r="E693">
        <f t="shared" si="31"/>
        <v>5</v>
      </c>
      <c r="F693">
        <f t="shared" si="32"/>
        <v>3.4482758620689655E-2</v>
      </c>
    </row>
    <row r="694" spans="1:6" x14ac:dyDescent="0.25">
      <c r="A694" t="s">
        <v>69</v>
      </c>
      <c r="B694" s="1">
        <v>46139</v>
      </c>
      <c r="C694">
        <v>34</v>
      </c>
      <c r="D694">
        <f t="shared" si="30"/>
        <v>28.2</v>
      </c>
      <c r="E694">
        <f t="shared" si="31"/>
        <v>5</v>
      </c>
      <c r="F694">
        <f t="shared" si="32"/>
        <v>0.17058823529411768</v>
      </c>
    </row>
    <row r="695" spans="1:6" x14ac:dyDescent="0.25">
      <c r="A695" t="s">
        <v>69</v>
      </c>
      <c r="B695" s="1">
        <v>46146</v>
      </c>
      <c r="C695">
        <v>32</v>
      </c>
      <c r="D695">
        <f t="shared" si="30"/>
        <v>29.4</v>
      </c>
      <c r="E695">
        <f t="shared" si="31"/>
        <v>5</v>
      </c>
      <c r="F695">
        <f t="shared" si="32"/>
        <v>8.1250000000000044E-2</v>
      </c>
    </row>
    <row r="696" spans="1:6" x14ac:dyDescent="0.25">
      <c r="A696" t="s">
        <v>69</v>
      </c>
      <c r="B696" s="1">
        <v>46153</v>
      </c>
      <c r="C696">
        <v>28</v>
      </c>
      <c r="D696">
        <f t="shared" si="30"/>
        <v>30.6</v>
      </c>
      <c r="E696">
        <f t="shared" si="31"/>
        <v>5</v>
      </c>
      <c r="F696">
        <f t="shared" si="32"/>
        <v>9.2857142857142902E-2</v>
      </c>
    </row>
    <row r="697" spans="1:6" x14ac:dyDescent="0.25">
      <c r="A697" t="s">
        <v>69</v>
      </c>
      <c r="B697" s="1">
        <v>46160</v>
      </c>
      <c r="C697">
        <v>31</v>
      </c>
      <c r="D697">
        <f t="shared" si="30"/>
        <v>29.8</v>
      </c>
      <c r="E697">
        <f t="shared" si="31"/>
        <v>5</v>
      </c>
      <c r="F697">
        <f t="shared" si="32"/>
        <v>3.8709677419354813E-2</v>
      </c>
    </row>
    <row r="698" spans="1:6" x14ac:dyDescent="0.25">
      <c r="A698" t="s">
        <v>69</v>
      </c>
      <c r="B698" s="1">
        <v>46167</v>
      </c>
      <c r="C698">
        <v>33</v>
      </c>
      <c r="D698">
        <f t="shared" si="30"/>
        <v>30.8</v>
      </c>
      <c r="E698">
        <f t="shared" si="31"/>
        <v>5</v>
      </c>
      <c r="F698">
        <f t="shared" si="32"/>
        <v>6.6666666666666652E-2</v>
      </c>
    </row>
    <row r="699" spans="1:6" x14ac:dyDescent="0.25">
      <c r="A699" t="s">
        <v>69</v>
      </c>
      <c r="B699" s="1">
        <v>46174</v>
      </c>
      <c r="C699">
        <v>29</v>
      </c>
      <c r="D699">
        <f t="shared" si="30"/>
        <v>31.6</v>
      </c>
      <c r="E699">
        <f t="shared" si="31"/>
        <v>5</v>
      </c>
      <c r="F699">
        <f t="shared" si="32"/>
        <v>8.9655172413793158E-2</v>
      </c>
    </row>
    <row r="700" spans="1:6" x14ac:dyDescent="0.25">
      <c r="A700" t="s">
        <v>69</v>
      </c>
      <c r="B700" s="1">
        <v>46181</v>
      </c>
      <c r="C700">
        <v>30</v>
      </c>
      <c r="D700">
        <f t="shared" si="30"/>
        <v>30.6</v>
      </c>
      <c r="E700">
        <f t="shared" si="31"/>
        <v>5</v>
      </c>
      <c r="F700">
        <f t="shared" si="32"/>
        <v>2.0000000000000049E-2</v>
      </c>
    </row>
    <row r="701" spans="1:6" x14ac:dyDescent="0.25">
      <c r="A701" t="s">
        <v>69</v>
      </c>
      <c r="B701" s="1">
        <v>46188</v>
      </c>
      <c r="C701">
        <v>33</v>
      </c>
      <c r="D701">
        <f t="shared" si="30"/>
        <v>30.2</v>
      </c>
      <c r="E701">
        <f t="shared" si="31"/>
        <v>5</v>
      </c>
      <c r="F701">
        <f t="shared" si="32"/>
        <v>8.4848484848484867E-2</v>
      </c>
    </row>
    <row r="702" spans="1:6" x14ac:dyDescent="0.25">
      <c r="A702" t="s">
        <v>69</v>
      </c>
      <c r="B702" s="1">
        <v>46195</v>
      </c>
      <c r="C702">
        <v>33</v>
      </c>
      <c r="D702">
        <f t="shared" si="30"/>
        <v>31.2</v>
      </c>
      <c r="E702">
        <f t="shared" si="31"/>
        <v>5</v>
      </c>
      <c r="F702">
        <f t="shared" si="32"/>
        <v>5.4545454545454564E-2</v>
      </c>
    </row>
    <row r="703" spans="1:6" x14ac:dyDescent="0.25">
      <c r="A703" t="s">
        <v>69</v>
      </c>
      <c r="B703" s="1">
        <v>46202</v>
      </c>
      <c r="C703">
        <v>35</v>
      </c>
      <c r="D703">
        <f t="shared" si="30"/>
        <v>31.6</v>
      </c>
      <c r="E703">
        <f t="shared" si="31"/>
        <v>5</v>
      </c>
      <c r="F703">
        <f t="shared" si="32"/>
        <v>9.71428571428571E-2</v>
      </c>
    </row>
    <row r="704" spans="1:6" x14ac:dyDescent="0.25">
      <c r="A704" t="s">
        <v>71</v>
      </c>
      <c r="B704" s="1">
        <v>46027</v>
      </c>
      <c r="C704">
        <v>102</v>
      </c>
      <c r="D704" t="str">
        <f t="shared" si="30"/>
        <v/>
      </c>
      <c r="E704">
        <f t="shared" si="31"/>
        <v>0</v>
      </c>
      <c r="F704" t="str">
        <f t="shared" si="32"/>
        <v/>
      </c>
    </row>
    <row r="705" spans="1:6" x14ac:dyDescent="0.25">
      <c r="A705" t="s">
        <v>71</v>
      </c>
      <c r="B705" s="1">
        <v>46034</v>
      </c>
      <c r="C705">
        <v>139</v>
      </c>
      <c r="D705" t="str">
        <f t="shared" si="30"/>
        <v/>
      </c>
      <c r="E705">
        <f t="shared" si="31"/>
        <v>1</v>
      </c>
      <c r="F705" t="str">
        <f t="shared" si="32"/>
        <v/>
      </c>
    </row>
    <row r="706" spans="1:6" x14ac:dyDescent="0.25">
      <c r="A706" t="s">
        <v>71</v>
      </c>
      <c r="B706" s="1">
        <v>46041</v>
      </c>
      <c r="C706">
        <v>102</v>
      </c>
      <c r="D706" t="str">
        <f t="shared" ref="D706:D769" si="33">IF(E706 &lt; 5, "", AVERAGEIFS(C:C, A:A, A706, B:B, "&gt;=" &amp; (B706-35), B:B, "&lt;=" &amp; (B706-7)))</f>
        <v/>
      </c>
      <c r="E706">
        <f t="shared" ref="E706:E769" si="34">COUNTIFS(A:A, A706, B:B, "&gt;=" &amp; (B706-35), B:B, "&lt;=" &amp; (B706-7))</f>
        <v>2</v>
      </c>
      <c r="F706" t="str">
        <f t="shared" ref="F706:F769" si="35">IF(OR(C706=0, D706=""), "", ABS(C706 - D706) / C706)</f>
        <v/>
      </c>
    </row>
    <row r="707" spans="1:6" x14ac:dyDescent="0.25">
      <c r="A707" t="s">
        <v>71</v>
      </c>
      <c r="B707" s="1">
        <v>46048</v>
      </c>
      <c r="C707">
        <v>136</v>
      </c>
      <c r="D707" t="str">
        <f t="shared" si="33"/>
        <v/>
      </c>
      <c r="E707">
        <f t="shared" si="34"/>
        <v>3</v>
      </c>
      <c r="F707" t="str">
        <f t="shared" si="35"/>
        <v/>
      </c>
    </row>
    <row r="708" spans="1:6" x14ac:dyDescent="0.25">
      <c r="A708" t="s">
        <v>71</v>
      </c>
      <c r="B708" s="1">
        <v>46055</v>
      </c>
      <c r="C708">
        <v>128</v>
      </c>
      <c r="D708" t="str">
        <f t="shared" si="33"/>
        <v/>
      </c>
      <c r="E708">
        <f t="shared" si="34"/>
        <v>4</v>
      </c>
      <c r="F708" t="str">
        <f t="shared" si="35"/>
        <v/>
      </c>
    </row>
    <row r="709" spans="1:6" x14ac:dyDescent="0.25">
      <c r="A709" t="s">
        <v>71</v>
      </c>
      <c r="B709" s="1">
        <v>46062</v>
      </c>
      <c r="C709">
        <v>131</v>
      </c>
      <c r="D709">
        <f t="shared" si="33"/>
        <v>121.4</v>
      </c>
      <c r="E709">
        <f t="shared" si="34"/>
        <v>5</v>
      </c>
      <c r="F709">
        <f t="shared" si="35"/>
        <v>7.3282442748091564E-2</v>
      </c>
    </row>
    <row r="710" spans="1:6" x14ac:dyDescent="0.25">
      <c r="A710" t="s">
        <v>71</v>
      </c>
      <c r="B710" s="1">
        <v>46069</v>
      </c>
      <c r="C710">
        <v>146</v>
      </c>
      <c r="D710">
        <f t="shared" si="33"/>
        <v>127.2</v>
      </c>
      <c r="E710">
        <f t="shared" si="34"/>
        <v>5</v>
      </c>
      <c r="F710">
        <f t="shared" si="35"/>
        <v>0.1287671232876712</v>
      </c>
    </row>
    <row r="711" spans="1:6" x14ac:dyDescent="0.25">
      <c r="A711" t="s">
        <v>71</v>
      </c>
      <c r="B711" s="1">
        <v>46076</v>
      </c>
      <c r="C711">
        <v>129</v>
      </c>
      <c r="D711">
        <f t="shared" si="33"/>
        <v>128.6</v>
      </c>
      <c r="E711">
        <f t="shared" si="34"/>
        <v>5</v>
      </c>
      <c r="F711">
        <f t="shared" si="35"/>
        <v>3.1007751937984938E-3</v>
      </c>
    </row>
    <row r="712" spans="1:6" x14ac:dyDescent="0.25">
      <c r="A712" t="s">
        <v>71</v>
      </c>
      <c r="B712" s="1">
        <v>46083</v>
      </c>
      <c r="C712">
        <v>152</v>
      </c>
      <c r="D712">
        <f t="shared" si="33"/>
        <v>134</v>
      </c>
      <c r="E712">
        <f t="shared" si="34"/>
        <v>5</v>
      </c>
      <c r="F712">
        <f t="shared" si="35"/>
        <v>0.11842105263157894</v>
      </c>
    </row>
    <row r="713" spans="1:6" x14ac:dyDescent="0.25">
      <c r="A713" t="s">
        <v>71</v>
      </c>
      <c r="B713" s="1">
        <v>46090</v>
      </c>
      <c r="C713">
        <v>149</v>
      </c>
      <c r="D713">
        <f t="shared" si="33"/>
        <v>137.19999999999999</v>
      </c>
      <c r="E713">
        <f t="shared" si="34"/>
        <v>5</v>
      </c>
      <c r="F713">
        <f t="shared" si="35"/>
        <v>7.9194630872483296E-2</v>
      </c>
    </row>
    <row r="714" spans="1:6" x14ac:dyDescent="0.25">
      <c r="A714" t="s">
        <v>71</v>
      </c>
      <c r="B714" s="1">
        <v>46097</v>
      </c>
      <c r="C714">
        <v>137</v>
      </c>
      <c r="D714">
        <f t="shared" si="33"/>
        <v>141.4</v>
      </c>
      <c r="E714">
        <f t="shared" si="34"/>
        <v>5</v>
      </c>
      <c r="F714">
        <f t="shared" si="35"/>
        <v>3.2116788321167926E-2</v>
      </c>
    </row>
    <row r="715" spans="1:6" x14ac:dyDescent="0.25">
      <c r="A715" t="s">
        <v>71</v>
      </c>
      <c r="B715" s="1">
        <v>46104</v>
      </c>
      <c r="C715">
        <v>124</v>
      </c>
      <c r="D715">
        <f t="shared" si="33"/>
        <v>142.6</v>
      </c>
      <c r="E715">
        <f t="shared" si="34"/>
        <v>5</v>
      </c>
      <c r="F715">
        <f t="shared" si="35"/>
        <v>0.14999999999999997</v>
      </c>
    </row>
    <row r="716" spans="1:6" x14ac:dyDescent="0.25">
      <c r="A716" t="s">
        <v>71</v>
      </c>
      <c r="B716" s="1">
        <v>46111</v>
      </c>
      <c r="C716">
        <v>122</v>
      </c>
      <c r="D716">
        <f t="shared" si="33"/>
        <v>138.19999999999999</v>
      </c>
      <c r="E716">
        <f t="shared" si="34"/>
        <v>5</v>
      </c>
      <c r="F716">
        <f t="shared" si="35"/>
        <v>0.13278688524590154</v>
      </c>
    </row>
    <row r="717" spans="1:6" x14ac:dyDescent="0.25">
      <c r="A717" t="s">
        <v>71</v>
      </c>
      <c r="B717" s="1">
        <v>46118</v>
      </c>
      <c r="C717">
        <v>128</v>
      </c>
      <c r="D717">
        <f t="shared" si="33"/>
        <v>136.80000000000001</v>
      </c>
      <c r="E717">
        <f t="shared" si="34"/>
        <v>5</v>
      </c>
      <c r="F717">
        <f t="shared" si="35"/>
        <v>6.8750000000000089E-2</v>
      </c>
    </row>
    <row r="718" spans="1:6" x14ac:dyDescent="0.25">
      <c r="A718" t="s">
        <v>71</v>
      </c>
      <c r="B718" s="1">
        <v>46125</v>
      </c>
      <c r="C718">
        <v>136</v>
      </c>
      <c r="D718">
        <f t="shared" si="33"/>
        <v>132</v>
      </c>
      <c r="E718">
        <f t="shared" si="34"/>
        <v>5</v>
      </c>
      <c r="F718">
        <f t="shared" si="35"/>
        <v>2.9411764705882353E-2</v>
      </c>
    </row>
    <row r="719" spans="1:6" x14ac:dyDescent="0.25">
      <c r="A719" t="s">
        <v>71</v>
      </c>
      <c r="B719" s="1">
        <v>46132</v>
      </c>
      <c r="C719">
        <v>141</v>
      </c>
      <c r="D719">
        <f t="shared" si="33"/>
        <v>129.4</v>
      </c>
      <c r="E719">
        <f t="shared" si="34"/>
        <v>5</v>
      </c>
      <c r="F719">
        <f t="shared" si="35"/>
        <v>8.2269503546099257E-2</v>
      </c>
    </row>
    <row r="720" spans="1:6" x14ac:dyDescent="0.25">
      <c r="A720" t="s">
        <v>71</v>
      </c>
      <c r="B720" s="1">
        <v>46139</v>
      </c>
      <c r="C720">
        <v>201</v>
      </c>
      <c r="D720">
        <f t="shared" si="33"/>
        <v>130.19999999999999</v>
      </c>
      <c r="E720">
        <f t="shared" si="34"/>
        <v>5</v>
      </c>
      <c r="F720">
        <f t="shared" si="35"/>
        <v>0.35223880597014934</v>
      </c>
    </row>
    <row r="721" spans="1:6" x14ac:dyDescent="0.25">
      <c r="A721" t="s">
        <v>71</v>
      </c>
      <c r="B721" s="1">
        <v>46146</v>
      </c>
      <c r="C721">
        <v>157</v>
      </c>
      <c r="D721">
        <f t="shared" si="33"/>
        <v>145.6</v>
      </c>
      <c r="E721">
        <f t="shared" si="34"/>
        <v>5</v>
      </c>
      <c r="F721">
        <f t="shared" si="35"/>
        <v>7.2611464968152906E-2</v>
      </c>
    </row>
    <row r="722" spans="1:6" x14ac:dyDescent="0.25">
      <c r="A722" t="s">
        <v>71</v>
      </c>
      <c r="B722" s="1">
        <v>46153</v>
      </c>
      <c r="C722">
        <v>161</v>
      </c>
      <c r="D722">
        <f t="shared" si="33"/>
        <v>152.6</v>
      </c>
      <c r="E722">
        <f t="shared" si="34"/>
        <v>5</v>
      </c>
      <c r="F722">
        <f t="shared" si="35"/>
        <v>5.2173913043478293E-2</v>
      </c>
    </row>
    <row r="723" spans="1:6" x14ac:dyDescent="0.25">
      <c r="A723" t="s">
        <v>71</v>
      </c>
      <c r="B723" s="1">
        <v>46160</v>
      </c>
      <c r="C723">
        <v>132</v>
      </c>
      <c r="D723">
        <f t="shared" si="33"/>
        <v>159.19999999999999</v>
      </c>
      <c r="E723">
        <f t="shared" si="34"/>
        <v>5</v>
      </c>
      <c r="F723">
        <f t="shared" si="35"/>
        <v>0.20606060606060597</v>
      </c>
    </row>
    <row r="724" spans="1:6" x14ac:dyDescent="0.25">
      <c r="A724" t="s">
        <v>71</v>
      </c>
      <c r="B724" s="1">
        <v>46167</v>
      </c>
      <c r="C724">
        <v>136</v>
      </c>
      <c r="D724">
        <f t="shared" si="33"/>
        <v>158.4</v>
      </c>
      <c r="E724">
        <f t="shared" si="34"/>
        <v>5</v>
      </c>
      <c r="F724">
        <f t="shared" si="35"/>
        <v>0.16470588235294123</v>
      </c>
    </row>
    <row r="725" spans="1:6" x14ac:dyDescent="0.25">
      <c r="A725" t="s">
        <v>71</v>
      </c>
      <c r="B725" s="1">
        <v>46174</v>
      </c>
      <c r="C725">
        <v>145</v>
      </c>
      <c r="D725">
        <f t="shared" si="33"/>
        <v>157.4</v>
      </c>
      <c r="E725">
        <f t="shared" si="34"/>
        <v>5</v>
      </c>
      <c r="F725">
        <f t="shared" si="35"/>
        <v>8.5517241379310382E-2</v>
      </c>
    </row>
    <row r="726" spans="1:6" x14ac:dyDescent="0.25">
      <c r="A726" t="s">
        <v>71</v>
      </c>
      <c r="B726" s="1">
        <v>46181</v>
      </c>
      <c r="C726">
        <v>157</v>
      </c>
      <c r="D726">
        <f t="shared" si="33"/>
        <v>146.19999999999999</v>
      </c>
      <c r="E726">
        <f t="shared" si="34"/>
        <v>5</v>
      </c>
      <c r="F726">
        <f t="shared" si="35"/>
        <v>6.878980891719752E-2</v>
      </c>
    </row>
    <row r="727" spans="1:6" x14ac:dyDescent="0.25">
      <c r="A727" t="s">
        <v>71</v>
      </c>
      <c r="B727" s="1">
        <v>46188</v>
      </c>
      <c r="C727">
        <v>134</v>
      </c>
      <c r="D727">
        <f t="shared" si="33"/>
        <v>146.19999999999999</v>
      </c>
      <c r="E727">
        <f t="shared" si="34"/>
        <v>5</v>
      </c>
      <c r="F727">
        <f t="shared" si="35"/>
        <v>9.1044776119402898E-2</v>
      </c>
    </row>
    <row r="728" spans="1:6" x14ac:dyDescent="0.25">
      <c r="A728" t="s">
        <v>71</v>
      </c>
      <c r="B728" s="1">
        <v>46195</v>
      </c>
      <c r="C728">
        <v>187</v>
      </c>
      <c r="D728">
        <f t="shared" si="33"/>
        <v>140.80000000000001</v>
      </c>
      <c r="E728">
        <f t="shared" si="34"/>
        <v>5</v>
      </c>
      <c r="F728">
        <f t="shared" si="35"/>
        <v>0.24705882352941169</v>
      </c>
    </row>
    <row r="729" spans="1:6" x14ac:dyDescent="0.25">
      <c r="A729" t="s">
        <v>71</v>
      </c>
      <c r="B729" s="1">
        <v>46202</v>
      </c>
      <c r="C729">
        <v>147</v>
      </c>
      <c r="D729">
        <f t="shared" si="33"/>
        <v>151.80000000000001</v>
      </c>
      <c r="E729">
        <f t="shared" si="34"/>
        <v>5</v>
      </c>
      <c r="F729">
        <f t="shared" si="35"/>
        <v>3.2653061224489875E-2</v>
      </c>
    </row>
    <row r="730" spans="1:6" x14ac:dyDescent="0.25">
      <c r="A730" t="s">
        <v>73</v>
      </c>
      <c r="B730" s="1">
        <v>46027</v>
      </c>
      <c r="C730">
        <v>143</v>
      </c>
      <c r="D730" t="str">
        <f t="shared" si="33"/>
        <v/>
      </c>
      <c r="E730">
        <f t="shared" si="34"/>
        <v>0</v>
      </c>
      <c r="F730" t="str">
        <f t="shared" si="35"/>
        <v/>
      </c>
    </row>
    <row r="731" spans="1:6" x14ac:dyDescent="0.25">
      <c r="A731" t="s">
        <v>73</v>
      </c>
      <c r="B731" s="1">
        <v>46034</v>
      </c>
      <c r="C731">
        <v>146</v>
      </c>
      <c r="D731" t="str">
        <f t="shared" si="33"/>
        <v/>
      </c>
      <c r="E731">
        <f t="shared" si="34"/>
        <v>1</v>
      </c>
      <c r="F731" t="str">
        <f t="shared" si="35"/>
        <v/>
      </c>
    </row>
    <row r="732" spans="1:6" x14ac:dyDescent="0.25">
      <c r="A732" t="s">
        <v>73</v>
      </c>
      <c r="B732" s="1">
        <v>46041</v>
      </c>
      <c r="C732">
        <v>91</v>
      </c>
      <c r="D732" t="str">
        <f t="shared" si="33"/>
        <v/>
      </c>
      <c r="E732">
        <f t="shared" si="34"/>
        <v>2</v>
      </c>
      <c r="F732" t="str">
        <f t="shared" si="35"/>
        <v/>
      </c>
    </row>
    <row r="733" spans="1:6" x14ac:dyDescent="0.25">
      <c r="A733" t="s">
        <v>73</v>
      </c>
      <c r="B733" s="1">
        <v>46048</v>
      </c>
      <c r="C733">
        <v>174</v>
      </c>
      <c r="D733" t="str">
        <f t="shared" si="33"/>
        <v/>
      </c>
      <c r="E733">
        <f t="shared" si="34"/>
        <v>3</v>
      </c>
      <c r="F733" t="str">
        <f t="shared" si="35"/>
        <v/>
      </c>
    </row>
    <row r="734" spans="1:6" x14ac:dyDescent="0.25">
      <c r="A734" t="s">
        <v>73</v>
      </c>
      <c r="B734" s="1">
        <v>46055</v>
      </c>
      <c r="C734">
        <v>122</v>
      </c>
      <c r="D734" t="str">
        <f t="shared" si="33"/>
        <v/>
      </c>
      <c r="E734">
        <f t="shared" si="34"/>
        <v>4</v>
      </c>
      <c r="F734" t="str">
        <f t="shared" si="35"/>
        <v/>
      </c>
    </row>
    <row r="735" spans="1:6" x14ac:dyDescent="0.25">
      <c r="A735" t="s">
        <v>73</v>
      </c>
      <c r="B735" s="1">
        <v>46062</v>
      </c>
      <c r="C735">
        <v>130</v>
      </c>
      <c r="D735">
        <f t="shared" si="33"/>
        <v>135.19999999999999</v>
      </c>
      <c r="E735">
        <f t="shared" si="34"/>
        <v>5</v>
      </c>
      <c r="F735">
        <f t="shared" si="35"/>
        <v>3.9999999999999911E-2</v>
      </c>
    </row>
    <row r="736" spans="1:6" x14ac:dyDescent="0.25">
      <c r="A736" t="s">
        <v>73</v>
      </c>
      <c r="B736" s="1">
        <v>46069</v>
      </c>
      <c r="C736">
        <v>146</v>
      </c>
      <c r="D736">
        <f t="shared" si="33"/>
        <v>132.6</v>
      </c>
      <c r="E736">
        <f t="shared" si="34"/>
        <v>5</v>
      </c>
      <c r="F736">
        <f t="shared" si="35"/>
        <v>9.1780821917808258E-2</v>
      </c>
    </row>
    <row r="737" spans="1:6" x14ac:dyDescent="0.25">
      <c r="A737" t="s">
        <v>73</v>
      </c>
      <c r="B737" s="1">
        <v>46076</v>
      </c>
      <c r="C737">
        <v>134</v>
      </c>
      <c r="D737">
        <f t="shared" si="33"/>
        <v>132.6</v>
      </c>
      <c r="E737">
        <f t="shared" si="34"/>
        <v>5</v>
      </c>
      <c r="F737">
        <f t="shared" si="35"/>
        <v>1.0447761194029893E-2</v>
      </c>
    </row>
    <row r="738" spans="1:6" x14ac:dyDescent="0.25">
      <c r="A738" t="s">
        <v>73</v>
      </c>
      <c r="B738" s="1">
        <v>46083</v>
      </c>
      <c r="C738">
        <v>126</v>
      </c>
      <c r="D738">
        <f t="shared" si="33"/>
        <v>141.19999999999999</v>
      </c>
      <c r="E738">
        <f t="shared" si="34"/>
        <v>5</v>
      </c>
      <c r="F738">
        <f t="shared" si="35"/>
        <v>0.12063492063492054</v>
      </c>
    </row>
    <row r="739" spans="1:6" x14ac:dyDescent="0.25">
      <c r="A739" t="s">
        <v>73</v>
      </c>
      <c r="B739" s="1">
        <v>46090</v>
      </c>
      <c r="C739">
        <v>113</v>
      </c>
      <c r="D739">
        <f t="shared" si="33"/>
        <v>131.6</v>
      </c>
      <c r="E739">
        <f t="shared" si="34"/>
        <v>5</v>
      </c>
      <c r="F739">
        <f t="shared" si="35"/>
        <v>0.16460176991150438</v>
      </c>
    </row>
    <row r="740" spans="1:6" x14ac:dyDescent="0.25">
      <c r="A740" t="s">
        <v>73</v>
      </c>
      <c r="B740" s="1">
        <v>46097</v>
      </c>
      <c r="C740">
        <v>157</v>
      </c>
      <c r="D740">
        <f t="shared" si="33"/>
        <v>129.80000000000001</v>
      </c>
      <c r="E740">
        <f t="shared" si="34"/>
        <v>5</v>
      </c>
      <c r="F740">
        <f t="shared" si="35"/>
        <v>0.17324840764331204</v>
      </c>
    </row>
    <row r="741" spans="1:6" x14ac:dyDescent="0.25">
      <c r="A741" t="s">
        <v>73</v>
      </c>
      <c r="B741" s="1">
        <v>46104</v>
      </c>
      <c r="C741">
        <v>105</v>
      </c>
      <c r="D741">
        <f t="shared" si="33"/>
        <v>135.19999999999999</v>
      </c>
      <c r="E741">
        <f t="shared" si="34"/>
        <v>5</v>
      </c>
      <c r="F741">
        <f t="shared" si="35"/>
        <v>0.2876190476190475</v>
      </c>
    </row>
    <row r="742" spans="1:6" x14ac:dyDescent="0.25">
      <c r="A742" t="s">
        <v>73</v>
      </c>
      <c r="B742" s="1">
        <v>46111</v>
      </c>
      <c r="C742">
        <v>155</v>
      </c>
      <c r="D742">
        <f t="shared" si="33"/>
        <v>127</v>
      </c>
      <c r="E742">
        <f t="shared" si="34"/>
        <v>5</v>
      </c>
      <c r="F742">
        <f t="shared" si="35"/>
        <v>0.18064516129032257</v>
      </c>
    </row>
    <row r="743" spans="1:6" x14ac:dyDescent="0.25">
      <c r="A743" t="s">
        <v>73</v>
      </c>
      <c r="B743" s="1">
        <v>46118</v>
      </c>
      <c r="C743">
        <v>120</v>
      </c>
      <c r="D743">
        <f t="shared" si="33"/>
        <v>131.19999999999999</v>
      </c>
      <c r="E743">
        <f t="shared" si="34"/>
        <v>5</v>
      </c>
      <c r="F743">
        <f t="shared" si="35"/>
        <v>9.333333333333324E-2</v>
      </c>
    </row>
    <row r="744" spans="1:6" x14ac:dyDescent="0.25">
      <c r="A744" t="s">
        <v>73</v>
      </c>
      <c r="B744" s="1">
        <v>46125</v>
      </c>
      <c r="C744">
        <v>167</v>
      </c>
      <c r="D744">
        <f t="shared" si="33"/>
        <v>130</v>
      </c>
      <c r="E744">
        <f t="shared" si="34"/>
        <v>5</v>
      </c>
      <c r="F744">
        <f t="shared" si="35"/>
        <v>0.22155688622754491</v>
      </c>
    </row>
    <row r="745" spans="1:6" x14ac:dyDescent="0.25">
      <c r="A745" t="s">
        <v>73</v>
      </c>
      <c r="B745" s="1">
        <v>46132</v>
      </c>
      <c r="C745">
        <v>130</v>
      </c>
      <c r="D745">
        <f t="shared" si="33"/>
        <v>140.80000000000001</v>
      </c>
      <c r="E745">
        <f t="shared" si="34"/>
        <v>5</v>
      </c>
      <c r="F745">
        <f t="shared" si="35"/>
        <v>8.3076923076923159E-2</v>
      </c>
    </row>
    <row r="746" spans="1:6" x14ac:dyDescent="0.25">
      <c r="A746" t="s">
        <v>73</v>
      </c>
      <c r="B746" s="1">
        <v>46139</v>
      </c>
      <c r="C746">
        <v>158</v>
      </c>
      <c r="D746">
        <f t="shared" si="33"/>
        <v>135.4</v>
      </c>
      <c r="E746">
        <f t="shared" si="34"/>
        <v>5</v>
      </c>
      <c r="F746">
        <f t="shared" si="35"/>
        <v>0.14303797468354426</v>
      </c>
    </row>
    <row r="747" spans="1:6" x14ac:dyDescent="0.25">
      <c r="A747" t="s">
        <v>73</v>
      </c>
      <c r="B747" s="1">
        <v>46146</v>
      </c>
      <c r="C747">
        <v>155</v>
      </c>
      <c r="D747">
        <f t="shared" si="33"/>
        <v>146</v>
      </c>
      <c r="E747">
        <f t="shared" si="34"/>
        <v>5</v>
      </c>
      <c r="F747">
        <f t="shared" si="35"/>
        <v>5.8064516129032261E-2</v>
      </c>
    </row>
    <row r="748" spans="1:6" x14ac:dyDescent="0.25">
      <c r="A748" t="s">
        <v>73</v>
      </c>
      <c r="B748" s="1">
        <v>46153</v>
      </c>
      <c r="C748">
        <v>149</v>
      </c>
      <c r="D748">
        <f t="shared" si="33"/>
        <v>146</v>
      </c>
      <c r="E748">
        <f t="shared" si="34"/>
        <v>5</v>
      </c>
      <c r="F748">
        <f t="shared" si="35"/>
        <v>2.0134228187919462E-2</v>
      </c>
    </row>
    <row r="749" spans="1:6" x14ac:dyDescent="0.25">
      <c r="A749" t="s">
        <v>73</v>
      </c>
      <c r="B749" s="1">
        <v>46160</v>
      </c>
      <c r="C749">
        <v>157</v>
      </c>
      <c r="D749">
        <f t="shared" si="33"/>
        <v>151.80000000000001</v>
      </c>
      <c r="E749">
        <f t="shared" si="34"/>
        <v>5</v>
      </c>
      <c r="F749">
        <f t="shared" si="35"/>
        <v>3.3121019108280185E-2</v>
      </c>
    </row>
    <row r="750" spans="1:6" x14ac:dyDescent="0.25">
      <c r="A750" t="s">
        <v>73</v>
      </c>
      <c r="B750" s="1">
        <v>46167</v>
      </c>
      <c r="C750">
        <v>170</v>
      </c>
      <c r="D750">
        <f t="shared" si="33"/>
        <v>149.80000000000001</v>
      </c>
      <c r="E750">
        <f t="shared" si="34"/>
        <v>5</v>
      </c>
      <c r="F750">
        <f t="shared" si="35"/>
        <v>0.11882352941176463</v>
      </c>
    </row>
    <row r="751" spans="1:6" x14ac:dyDescent="0.25">
      <c r="A751" t="s">
        <v>73</v>
      </c>
      <c r="B751" s="1">
        <v>46174</v>
      </c>
      <c r="C751">
        <v>142</v>
      </c>
      <c r="D751">
        <f t="shared" si="33"/>
        <v>157.80000000000001</v>
      </c>
      <c r="E751">
        <f t="shared" si="34"/>
        <v>5</v>
      </c>
      <c r="F751">
        <f t="shared" si="35"/>
        <v>0.11126760563380289</v>
      </c>
    </row>
    <row r="752" spans="1:6" x14ac:dyDescent="0.25">
      <c r="A752" t="s">
        <v>73</v>
      </c>
      <c r="B752" s="1">
        <v>46181</v>
      </c>
      <c r="C752">
        <v>169</v>
      </c>
      <c r="D752">
        <f t="shared" si="33"/>
        <v>154.6</v>
      </c>
      <c r="E752">
        <f t="shared" si="34"/>
        <v>5</v>
      </c>
      <c r="F752">
        <f t="shared" si="35"/>
        <v>8.5207100591716003E-2</v>
      </c>
    </row>
    <row r="753" spans="1:6" x14ac:dyDescent="0.25">
      <c r="A753" t="s">
        <v>73</v>
      </c>
      <c r="B753" s="1">
        <v>46188</v>
      </c>
      <c r="C753">
        <v>188</v>
      </c>
      <c r="D753">
        <f t="shared" si="33"/>
        <v>157.4</v>
      </c>
      <c r="E753">
        <f t="shared" si="34"/>
        <v>5</v>
      </c>
      <c r="F753">
        <f t="shared" si="35"/>
        <v>0.16276595744680847</v>
      </c>
    </row>
    <row r="754" spans="1:6" x14ac:dyDescent="0.25">
      <c r="A754" t="s">
        <v>73</v>
      </c>
      <c r="B754" s="1">
        <v>46195</v>
      </c>
      <c r="C754">
        <v>148</v>
      </c>
      <c r="D754">
        <f t="shared" si="33"/>
        <v>165.2</v>
      </c>
      <c r="E754">
        <f t="shared" si="34"/>
        <v>5</v>
      </c>
      <c r="F754">
        <f t="shared" si="35"/>
        <v>0.11621621621621614</v>
      </c>
    </row>
    <row r="755" spans="1:6" x14ac:dyDescent="0.25">
      <c r="A755" t="s">
        <v>73</v>
      </c>
      <c r="B755" s="1">
        <v>46202</v>
      </c>
      <c r="C755">
        <v>169</v>
      </c>
      <c r="D755">
        <f t="shared" si="33"/>
        <v>163.4</v>
      </c>
      <c r="E755">
        <f t="shared" si="34"/>
        <v>5</v>
      </c>
      <c r="F755">
        <f t="shared" si="35"/>
        <v>3.313609467455618E-2</v>
      </c>
    </row>
    <row r="756" spans="1:6" x14ac:dyDescent="0.25">
      <c r="A756" t="s">
        <v>75</v>
      </c>
      <c r="B756" s="1">
        <v>46027</v>
      </c>
      <c r="C756">
        <v>116</v>
      </c>
      <c r="D756" t="str">
        <f t="shared" si="33"/>
        <v/>
      </c>
      <c r="E756">
        <f t="shared" si="34"/>
        <v>0</v>
      </c>
      <c r="F756" t="str">
        <f t="shared" si="35"/>
        <v/>
      </c>
    </row>
    <row r="757" spans="1:6" x14ac:dyDescent="0.25">
      <c r="A757" t="s">
        <v>75</v>
      </c>
      <c r="B757" s="1">
        <v>46034</v>
      </c>
      <c r="C757">
        <v>111</v>
      </c>
      <c r="D757" t="str">
        <f t="shared" si="33"/>
        <v/>
      </c>
      <c r="E757">
        <f t="shared" si="34"/>
        <v>1</v>
      </c>
      <c r="F757" t="str">
        <f t="shared" si="35"/>
        <v/>
      </c>
    </row>
    <row r="758" spans="1:6" x14ac:dyDescent="0.25">
      <c r="A758" t="s">
        <v>75</v>
      </c>
      <c r="B758" s="1">
        <v>46041</v>
      </c>
      <c r="C758">
        <v>95</v>
      </c>
      <c r="D758" t="str">
        <f t="shared" si="33"/>
        <v/>
      </c>
      <c r="E758">
        <f t="shared" si="34"/>
        <v>2</v>
      </c>
      <c r="F758" t="str">
        <f t="shared" si="35"/>
        <v/>
      </c>
    </row>
    <row r="759" spans="1:6" x14ac:dyDescent="0.25">
      <c r="A759" t="s">
        <v>75</v>
      </c>
      <c r="B759" s="1">
        <v>46048</v>
      </c>
      <c r="C759">
        <v>131</v>
      </c>
      <c r="D759" t="str">
        <f t="shared" si="33"/>
        <v/>
      </c>
      <c r="E759">
        <f t="shared" si="34"/>
        <v>3</v>
      </c>
      <c r="F759" t="str">
        <f t="shared" si="35"/>
        <v/>
      </c>
    </row>
    <row r="760" spans="1:6" x14ac:dyDescent="0.25">
      <c r="A760" t="s">
        <v>75</v>
      </c>
      <c r="B760" s="1">
        <v>46055</v>
      </c>
      <c r="C760">
        <v>131</v>
      </c>
      <c r="D760" t="str">
        <f t="shared" si="33"/>
        <v/>
      </c>
      <c r="E760">
        <f t="shared" si="34"/>
        <v>4</v>
      </c>
      <c r="F760" t="str">
        <f t="shared" si="35"/>
        <v/>
      </c>
    </row>
    <row r="761" spans="1:6" x14ac:dyDescent="0.25">
      <c r="A761" t="s">
        <v>75</v>
      </c>
      <c r="B761" s="1">
        <v>46062</v>
      </c>
      <c r="C761">
        <v>102</v>
      </c>
      <c r="D761">
        <f t="shared" si="33"/>
        <v>116.8</v>
      </c>
      <c r="E761">
        <f t="shared" si="34"/>
        <v>5</v>
      </c>
      <c r="F761">
        <f t="shared" si="35"/>
        <v>0.14509803921568626</v>
      </c>
    </row>
    <row r="762" spans="1:6" x14ac:dyDescent="0.25">
      <c r="A762" t="s">
        <v>75</v>
      </c>
      <c r="B762" s="1">
        <v>46069</v>
      </c>
      <c r="C762">
        <v>135</v>
      </c>
      <c r="D762">
        <f t="shared" si="33"/>
        <v>114</v>
      </c>
      <c r="E762">
        <f t="shared" si="34"/>
        <v>5</v>
      </c>
      <c r="F762">
        <f t="shared" si="35"/>
        <v>0.15555555555555556</v>
      </c>
    </row>
    <row r="763" spans="1:6" x14ac:dyDescent="0.25">
      <c r="A763" t="s">
        <v>75</v>
      </c>
      <c r="B763" s="1">
        <v>46076</v>
      </c>
      <c r="C763">
        <v>123</v>
      </c>
      <c r="D763">
        <f t="shared" si="33"/>
        <v>118.8</v>
      </c>
      <c r="E763">
        <f t="shared" si="34"/>
        <v>5</v>
      </c>
      <c r="F763">
        <f t="shared" si="35"/>
        <v>3.4146341463414658E-2</v>
      </c>
    </row>
    <row r="764" spans="1:6" x14ac:dyDescent="0.25">
      <c r="A764" t="s">
        <v>75</v>
      </c>
      <c r="B764" s="1">
        <v>46083</v>
      </c>
      <c r="C764">
        <v>114</v>
      </c>
      <c r="D764">
        <f t="shared" si="33"/>
        <v>124.4</v>
      </c>
      <c r="E764">
        <f t="shared" si="34"/>
        <v>5</v>
      </c>
      <c r="F764">
        <f t="shared" si="35"/>
        <v>9.1228070175438644E-2</v>
      </c>
    </row>
    <row r="765" spans="1:6" x14ac:dyDescent="0.25">
      <c r="A765" t="s">
        <v>75</v>
      </c>
      <c r="B765" s="1">
        <v>46090</v>
      </c>
      <c r="C765">
        <v>104</v>
      </c>
      <c r="D765">
        <f t="shared" si="33"/>
        <v>121</v>
      </c>
      <c r="E765">
        <f t="shared" si="34"/>
        <v>5</v>
      </c>
      <c r="F765">
        <f t="shared" si="35"/>
        <v>0.16346153846153846</v>
      </c>
    </row>
    <row r="766" spans="1:6" x14ac:dyDescent="0.25">
      <c r="A766" t="s">
        <v>75</v>
      </c>
      <c r="B766" s="1">
        <v>46097</v>
      </c>
      <c r="C766">
        <v>125</v>
      </c>
      <c r="D766">
        <f t="shared" si="33"/>
        <v>115.6</v>
      </c>
      <c r="E766">
        <f t="shared" si="34"/>
        <v>5</v>
      </c>
      <c r="F766">
        <f t="shared" si="35"/>
        <v>7.5200000000000045E-2</v>
      </c>
    </row>
    <row r="767" spans="1:6" x14ac:dyDescent="0.25">
      <c r="A767" t="s">
        <v>75</v>
      </c>
      <c r="B767" s="1">
        <v>46104</v>
      </c>
      <c r="C767">
        <v>122</v>
      </c>
      <c r="D767">
        <f t="shared" si="33"/>
        <v>120.2</v>
      </c>
      <c r="E767">
        <f t="shared" si="34"/>
        <v>5</v>
      </c>
      <c r="F767">
        <f t="shared" si="35"/>
        <v>1.4754098360655714E-2</v>
      </c>
    </row>
    <row r="768" spans="1:6" x14ac:dyDescent="0.25">
      <c r="A768" t="s">
        <v>75</v>
      </c>
      <c r="B768" s="1">
        <v>46111</v>
      </c>
      <c r="C768">
        <v>136</v>
      </c>
      <c r="D768">
        <f t="shared" si="33"/>
        <v>117.6</v>
      </c>
      <c r="E768">
        <f t="shared" si="34"/>
        <v>5</v>
      </c>
      <c r="F768">
        <f t="shared" si="35"/>
        <v>0.13529411764705887</v>
      </c>
    </row>
    <row r="769" spans="1:6" x14ac:dyDescent="0.25">
      <c r="A769" t="s">
        <v>75</v>
      </c>
      <c r="B769" s="1">
        <v>46118</v>
      </c>
      <c r="C769">
        <v>141</v>
      </c>
      <c r="D769">
        <f t="shared" si="33"/>
        <v>120.2</v>
      </c>
      <c r="E769">
        <f t="shared" si="34"/>
        <v>5</v>
      </c>
      <c r="F769">
        <f t="shared" si="35"/>
        <v>0.14751773049645389</v>
      </c>
    </row>
    <row r="770" spans="1:6" x14ac:dyDescent="0.25">
      <c r="A770" t="s">
        <v>75</v>
      </c>
      <c r="B770" s="1">
        <v>46125</v>
      </c>
      <c r="C770">
        <v>143</v>
      </c>
      <c r="D770">
        <f t="shared" ref="D770:D833" si="36">IF(E770 &lt; 5, "", AVERAGEIFS(C:C, A:A, A770, B:B, "&gt;=" &amp; (B770-35), B:B, "&lt;=" &amp; (B770-7)))</f>
        <v>125.6</v>
      </c>
      <c r="E770">
        <f t="shared" ref="E770:E833" si="37">COUNTIFS(A:A, A770, B:B, "&gt;=" &amp; (B770-35), B:B, "&lt;=" &amp; (B770-7))</f>
        <v>5</v>
      </c>
      <c r="F770">
        <f t="shared" ref="F770:F833" si="38">IF(OR(C770=0, D770=""), "", ABS(C770 - D770) / C770)</f>
        <v>0.12167832167832172</v>
      </c>
    </row>
    <row r="771" spans="1:6" x14ac:dyDescent="0.25">
      <c r="A771" t="s">
        <v>75</v>
      </c>
      <c r="B771" s="1">
        <v>46132</v>
      </c>
      <c r="C771">
        <v>122</v>
      </c>
      <c r="D771">
        <f t="shared" si="36"/>
        <v>133.4</v>
      </c>
      <c r="E771">
        <f t="shared" si="37"/>
        <v>5</v>
      </c>
      <c r="F771">
        <f t="shared" si="38"/>
        <v>9.3442622950819718E-2</v>
      </c>
    </row>
    <row r="772" spans="1:6" x14ac:dyDescent="0.25">
      <c r="A772" t="s">
        <v>75</v>
      </c>
      <c r="B772" s="1">
        <v>46139</v>
      </c>
      <c r="C772">
        <v>125</v>
      </c>
      <c r="D772">
        <f t="shared" si="36"/>
        <v>132.80000000000001</v>
      </c>
      <c r="E772">
        <f t="shared" si="37"/>
        <v>5</v>
      </c>
      <c r="F772">
        <f t="shared" si="38"/>
        <v>6.2400000000000094E-2</v>
      </c>
    </row>
    <row r="773" spans="1:6" x14ac:dyDescent="0.25">
      <c r="A773" t="s">
        <v>75</v>
      </c>
      <c r="B773" s="1">
        <v>46146</v>
      </c>
      <c r="C773">
        <v>146</v>
      </c>
      <c r="D773">
        <f t="shared" si="36"/>
        <v>133.4</v>
      </c>
      <c r="E773">
        <f t="shared" si="37"/>
        <v>5</v>
      </c>
      <c r="F773">
        <f t="shared" si="38"/>
        <v>8.6301369863013663E-2</v>
      </c>
    </row>
    <row r="774" spans="1:6" x14ac:dyDescent="0.25">
      <c r="A774" t="s">
        <v>75</v>
      </c>
      <c r="B774" s="1">
        <v>46153</v>
      </c>
      <c r="C774">
        <v>133</v>
      </c>
      <c r="D774">
        <f t="shared" si="36"/>
        <v>135.4</v>
      </c>
      <c r="E774">
        <f t="shared" si="37"/>
        <v>5</v>
      </c>
      <c r="F774">
        <f t="shared" si="38"/>
        <v>1.804511278195493E-2</v>
      </c>
    </row>
    <row r="775" spans="1:6" x14ac:dyDescent="0.25">
      <c r="A775" t="s">
        <v>75</v>
      </c>
      <c r="B775" s="1">
        <v>46160</v>
      </c>
      <c r="C775">
        <v>129</v>
      </c>
      <c r="D775">
        <f t="shared" si="36"/>
        <v>133.80000000000001</v>
      </c>
      <c r="E775">
        <f t="shared" si="37"/>
        <v>5</v>
      </c>
      <c r="F775">
        <f t="shared" si="38"/>
        <v>3.7209302325581485E-2</v>
      </c>
    </row>
    <row r="776" spans="1:6" x14ac:dyDescent="0.25">
      <c r="A776" t="s">
        <v>75</v>
      </c>
      <c r="B776" s="1">
        <v>46167</v>
      </c>
      <c r="C776">
        <v>132</v>
      </c>
      <c r="D776">
        <f t="shared" si="36"/>
        <v>131</v>
      </c>
      <c r="E776">
        <f t="shared" si="37"/>
        <v>5</v>
      </c>
      <c r="F776">
        <f t="shared" si="38"/>
        <v>7.575757575757576E-3</v>
      </c>
    </row>
    <row r="777" spans="1:6" x14ac:dyDescent="0.25">
      <c r="A777" t="s">
        <v>75</v>
      </c>
      <c r="B777" s="1">
        <v>46174</v>
      </c>
      <c r="C777">
        <v>145</v>
      </c>
      <c r="D777">
        <f t="shared" si="36"/>
        <v>133</v>
      </c>
      <c r="E777">
        <f t="shared" si="37"/>
        <v>5</v>
      </c>
      <c r="F777">
        <f t="shared" si="38"/>
        <v>8.2758620689655171E-2</v>
      </c>
    </row>
    <row r="778" spans="1:6" x14ac:dyDescent="0.25">
      <c r="A778" t="s">
        <v>75</v>
      </c>
      <c r="B778" s="1">
        <v>46181</v>
      </c>
      <c r="C778">
        <v>148</v>
      </c>
      <c r="D778">
        <f t="shared" si="36"/>
        <v>137</v>
      </c>
      <c r="E778">
        <f t="shared" si="37"/>
        <v>5</v>
      </c>
      <c r="F778">
        <f t="shared" si="38"/>
        <v>7.4324324324324328E-2</v>
      </c>
    </row>
    <row r="779" spans="1:6" x14ac:dyDescent="0.25">
      <c r="A779" t="s">
        <v>75</v>
      </c>
      <c r="B779" s="1">
        <v>46188</v>
      </c>
      <c r="C779">
        <v>149</v>
      </c>
      <c r="D779">
        <f t="shared" si="36"/>
        <v>137.4</v>
      </c>
      <c r="E779">
        <f t="shared" si="37"/>
        <v>5</v>
      </c>
      <c r="F779">
        <f t="shared" si="38"/>
        <v>7.785234899328855E-2</v>
      </c>
    </row>
    <row r="780" spans="1:6" x14ac:dyDescent="0.25">
      <c r="A780" t="s">
        <v>75</v>
      </c>
      <c r="B780" s="1">
        <v>46195</v>
      </c>
      <c r="C780">
        <v>146</v>
      </c>
      <c r="D780">
        <f t="shared" si="36"/>
        <v>140.6</v>
      </c>
      <c r="E780">
        <f t="shared" si="37"/>
        <v>5</v>
      </c>
      <c r="F780">
        <f t="shared" si="38"/>
        <v>3.6986301369863056E-2</v>
      </c>
    </row>
    <row r="781" spans="1:6" x14ac:dyDescent="0.25">
      <c r="A781" t="s">
        <v>75</v>
      </c>
      <c r="B781" s="1">
        <v>46202</v>
      </c>
      <c r="C781">
        <v>150</v>
      </c>
      <c r="D781">
        <f t="shared" si="36"/>
        <v>144</v>
      </c>
      <c r="E781">
        <f t="shared" si="37"/>
        <v>5</v>
      </c>
      <c r="F781">
        <f t="shared" si="38"/>
        <v>0.04</v>
      </c>
    </row>
    <row r="782" spans="1:6" x14ac:dyDescent="0.25">
      <c r="A782" t="s">
        <v>77</v>
      </c>
      <c r="B782" s="1">
        <v>46027</v>
      </c>
      <c r="C782">
        <v>38</v>
      </c>
      <c r="D782" t="str">
        <f t="shared" si="36"/>
        <v/>
      </c>
      <c r="E782">
        <f t="shared" si="37"/>
        <v>0</v>
      </c>
      <c r="F782" t="str">
        <f t="shared" si="38"/>
        <v/>
      </c>
    </row>
    <row r="783" spans="1:6" x14ac:dyDescent="0.25">
      <c r="A783" t="s">
        <v>77</v>
      </c>
      <c r="B783" s="1">
        <v>46034</v>
      </c>
      <c r="C783">
        <v>29</v>
      </c>
      <c r="D783" t="str">
        <f t="shared" si="36"/>
        <v/>
      </c>
      <c r="E783">
        <f t="shared" si="37"/>
        <v>1</v>
      </c>
      <c r="F783" t="str">
        <f t="shared" si="38"/>
        <v/>
      </c>
    </row>
    <row r="784" spans="1:6" x14ac:dyDescent="0.25">
      <c r="A784" t="s">
        <v>77</v>
      </c>
      <c r="B784" s="1">
        <v>46041</v>
      </c>
      <c r="C784">
        <v>43</v>
      </c>
      <c r="D784" t="str">
        <f t="shared" si="36"/>
        <v/>
      </c>
      <c r="E784">
        <f t="shared" si="37"/>
        <v>2</v>
      </c>
      <c r="F784" t="str">
        <f t="shared" si="38"/>
        <v/>
      </c>
    </row>
    <row r="785" spans="1:6" x14ac:dyDescent="0.25">
      <c r="A785" t="s">
        <v>77</v>
      </c>
      <c r="B785" s="1">
        <v>46048</v>
      </c>
      <c r="C785">
        <v>28</v>
      </c>
      <c r="D785" t="str">
        <f t="shared" si="36"/>
        <v/>
      </c>
      <c r="E785">
        <f t="shared" si="37"/>
        <v>3</v>
      </c>
      <c r="F785" t="str">
        <f t="shared" si="38"/>
        <v/>
      </c>
    </row>
    <row r="786" spans="1:6" x14ac:dyDescent="0.25">
      <c r="A786" t="s">
        <v>77</v>
      </c>
      <c r="B786" s="1">
        <v>46055</v>
      </c>
      <c r="C786">
        <v>41</v>
      </c>
      <c r="D786" t="str">
        <f t="shared" si="36"/>
        <v/>
      </c>
      <c r="E786">
        <f t="shared" si="37"/>
        <v>4</v>
      </c>
      <c r="F786" t="str">
        <f t="shared" si="38"/>
        <v/>
      </c>
    </row>
    <row r="787" spans="1:6" x14ac:dyDescent="0.25">
      <c r="A787" t="s">
        <v>77</v>
      </c>
      <c r="B787" s="1">
        <v>46062</v>
      </c>
      <c r="C787">
        <v>45</v>
      </c>
      <c r="D787">
        <f t="shared" si="36"/>
        <v>35.799999999999997</v>
      </c>
      <c r="E787">
        <f t="shared" si="37"/>
        <v>5</v>
      </c>
      <c r="F787">
        <f t="shared" si="38"/>
        <v>0.20444444444444451</v>
      </c>
    </row>
    <row r="788" spans="1:6" x14ac:dyDescent="0.25">
      <c r="A788" t="s">
        <v>77</v>
      </c>
      <c r="B788" s="1">
        <v>46069</v>
      </c>
      <c r="C788">
        <v>43</v>
      </c>
      <c r="D788">
        <f t="shared" si="36"/>
        <v>37.200000000000003</v>
      </c>
      <c r="E788">
        <f t="shared" si="37"/>
        <v>5</v>
      </c>
      <c r="F788">
        <f t="shared" si="38"/>
        <v>0.13488372093023249</v>
      </c>
    </row>
    <row r="789" spans="1:6" x14ac:dyDescent="0.25">
      <c r="A789" t="s">
        <v>77</v>
      </c>
      <c r="B789" s="1">
        <v>46076</v>
      </c>
      <c r="C789">
        <v>40</v>
      </c>
      <c r="D789">
        <f t="shared" si="36"/>
        <v>40</v>
      </c>
      <c r="E789">
        <f t="shared" si="37"/>
        <v>5</v>
      </c>
      <c r="F789">
        <f t="shared" si="38"/>
        <v>0</v>
      </c>
    </row>
    <row r="790" spans="1:6" x14ac:dyDescent="0.25">
      <c r="A790" t="s">
        <v>77</v>
      </c>
      <c r="B790" s="1">
        <v>46083</v>
      </c>
      <c r="C790">
        <v>29</v>
      </c>
      <c r="D790">
        <f t="shared" si="36"/>
        <v>39.4</v>
      </c>
      <c r="E790">
        <f t="shared" si="37"/>
        <v>5</v>
      </c>
      <c r="F790">
        <f t="shared" si="38"/>
        <v>0.35862068965517235</v>
      </c>
    </row>
    <row r="791" spans="1:6" x14ac:dyDescent="0.25">
      <c r="A791" t="s">
        <v>77</v>
      </c>
      <c r="B791" s="1">
        <v>46090</v>
      </c>
      <c r="C791">
        <v>44</v>
      </c>
      <c r="D791">
        <f t="shared" si="36"/>
        <v>39.6</v>
      </c>
      <c r="E791">
        <f t="shared" si="37"/>
        <v>5</v>
      </c>
      <c r="F791">
        <f t="shared" si="38"/>
        <v>9.9999999999999964E-2</v>
      </c>
    </row>
    <row r="792" spans="1:6" x14ac:dyDescent="0.25">
      <c r="A792" t="s">
        <v>77</v>
      </c>
      <c r="B792" s="1">
        <v>46097</v>
      </c>
      <c r="C792">
        <v>40</v>
      </c>
      <c r="D792">
        <f t="shared" si="36"/>
        <v>40.200000000000003</v>
      </c>
      <c r="E792">
        <f t="shared" si="37"/>
        <v>5</v>
      </c>
      <c r="F792">
        <f t="shared" si="38"/>
        <v>5.0000000000000712E-3</v>
      </c>
    </row>
    <row r="793" spans="1:6" x14ac:dyDescent="0.25">
      <c r="A793" t="s">
        <v>77</v>
      </c>
      <c r="B793" s="1">
        <v>46104</v>
      </c>
      <c r="C793">
        <v>22</v>
      </c>
      <c r="D793">
        <f t="shared" si="36"/>
        <v>39.200000000000003</v>
      </c>
      <c r="E793">
        <f t="shared" si="37"/>
        <v>5</v>
      </c>
      <c r="F793">
        <f t="shared" si="38"/>
        <v>0.78181818181818197</v>
      </c>
    </row>
    <row r="794" spans="1:6" x14ac:dyDescent="0.25">
      <c r="A794" t="s">
        <v>77</v>
      </c>
      <c r="B794" s="1">
        <v>46111</v>
      </c>
      <c r="C794">
        <v>44</v>
      </c>
      <c r="D794">
        <f t="shared" si="36"/>
        <v>35</v>
      </c>
      <c r="E794">
        <f t="shared" si="37"/>
        <v>5</v>
      </c>
      <c r="F794">
        <f t="shared" si="38"/>
        <v>0.20454545454545456</v>
      </c>
    </row>
    <row r="795" spans="1:6" x14ac:dyDescent="0.25">
      <c r="A795" t="s">
        <v>77</v>
      </c>
      <c r="B795" s="1">
        <v>46118</v>
      </c>
      <c r="C795">
        <v>36</v>
      </c>
      <c r="D795">
        <f t="shared" si="36"/>
        <v>35.799999999999997</v>
      </c>
      <c r="E795">
        <f t="shared" si="37"/>
        <v>5</v>
      </c>
      <c r="F795">
        <f t="shared" si="38"/>
        <v>5.5555555555556347E-3</v>
      </c>
    </row>
    <row r="796" spans="1:6" x14ac:dyDescent="0.25">
      <c r="A796" t="s">
        <v>77</v>
      </c>
      <c r="B796" s="1">
        <v>46125</v>
      </c>
      <c r="C796">
        <v>42</v>
      </c>
      <c r="D796">
        <f t="shared" si="36"/>
        <v>37.200000000000003</v>
      </c>
      <c r="E796">
        <f t="shared" si="37"/>
        <v>5</v>
      </c>
      <c r="F796">
        <f t="shared" si="38"/>
        <v>0.11428571428571421</v>
      </c>
    </row>
    <row r="797" spans="1:6" x14ac:dyDescent="0.25">
      <c r="A797" t="s">
        <v>77</v>
      </c>
      <c r="B797" s="1">
        <v>46132</v>
      </c>
      <c r="C797">
        <v>40</v>
      </c>
      <c r="D797">
        <f t="shared" si="36"/>
        <v>36.799999999999997</v>
      </c>
      <c r="E797">
        <f t="shared" si="37"/>
        <v>5</v>
      </c>
      <c r="F797">
        <f t="shared" si="38"/>
        <v>8.0000000000000071E-2</v>
      </c>
    </row>
    <row r="798" spans="1:6" x14ac:dyDescent="0.25">
      <c r="A798" t="s">
        <v>77</v>
      </c>
      <c r="B798" s="1">
        <v>46139</v>
      </c>
      <c r="C798">
        <v>46</v>
      </c>
      <c r="D798">
        <f t="shared" si="36"/>
        <v>36.799999999999997</v>
      </c>
      <c r="E798">
        <f t="shared" si="37"/>
        <v>5</v>
      </c>
      <c r="F798">
        <f t="shared" si="38"/>
        <v>0.20000000000000007</v>
      </c>
    </row>
    <row r="799" spans="1:6" x14ac:dyDescent="0.25">
      <c r="A799" t="s">
        <v>77</v>
      </c>
      <c r="B799" s="1">
        <v>46146</v>
      </c>
      <c r="C799">
        <v>40</v>
      </c>
      <c r="D799">
        <f t="shared" si="36"/>
        <v>41.6</v>
      </c>
      <c r="E799">
        <f t="shared" si="37"/>
        <v>5</v>
      </c>
      <c r="F799">
        <f t="shared" si="38"/>
        <v>4.0000000000000036E-2</v>
      </c>
    </row>
    <row r="800" spans="1:6" x14ac:dyDescent="0.25">
      <c r="A800" t="s">
        <v>77</v>
      </c>
      <c r="B800" s="1">
        <v>46153</v>
      </c>
      <c r="C800">
        <v>41</v>
      </c>
      <c r="D800">
        <f t="shared" si="36"/>
        <v>40.799999999999997</v>
      </c>
      <c r="E800">
        <f t="shared" si="37"/>
        <v>5</v>
      </c>
      <c r="F800">
        <f t="shared" si="38"/>
        <v>4.8780487804878743E-3</v>
      </c>
    </row>
    <row r="801" spans="1:6" x14ac:dyDescent="0.25">
      <c r="A801" t="s">
        <v>77</v>
      </c>
      <c r="B801" s="1">
        <v>46160</v>
      </c>
      <c r="C801">
        <v>45</v>
      </c>
      <c r="D801">
        <f t="shared" si="36"/>
        <v>41.8</v>
      </c>
      <c r="E801">
        <f t="shared" si="37"/>
        <v>5</v>
      </c>
      <c r="F801">
        <f t="shared" si="38"/>
        <v>7.111111111111118E-2</v>
      </c>
    </row>
    <row r="802" spans="1:6" x14ac:dyDescent="0.25">
      <c r="A802" t="s">
        <v>77</v>
      </c>
      <c r="B802" s="1">
        <v>46167</v>
      </c>
      <c r="C802">
        <v>38</v>
      </c>
      <c r="D802">
        <f t="shared" si="36"/>
        <v>42.4</v>
      </c>
      <c r="E802">
        <f t="shared" si="37"/>
        <v>5</v>
      </c>
      <c r="F802">
        <f t="shared" si="38"/>
        <v>0.11578947368421048</v>
      </c>
    </row>
    <row r="803" spans="1:6" x14ac:dyDescent="0.25">
      <c r="A803" t="s">
        <v>77</v>
      </c>
      <c r="B803" s="1">
        <v>46174</v>
      </c>
      <c r="C803">
        <v>47</v>
      </c>
      <c r="D803">
        <f t="shared" si="36"/>
        <v>42</v>
      </c>
      <c r="E803">
        <f t="shared" si="37"/>
        <v>5</v>
      </c>
      <c r="F803">
        <f t="shared" si="38"/>
        <v>0.10638297872340426</v>
      </c>
    </row>
    <row r="804" spans="1:6" x14ac:dyDescent="0.25">
      <c r="A804" t="s">
        <v>77</v>
      </c>
      <c r="B804" s="1">
        <v>46181</v>
      </c>
      <c r="C804">
        <v>42</v>
      </c>
      <c r="D804">
        <f t="shared" si="36"/>
        <v>42.2</v>
      </c>
      <c r="E804">
        <f t="shared" si="37"/>
        <v>5</v>
      </c>
      <c r="F804">
        <f t="shared" si="38"/>
        <v>4.76190476190483E-3</v>
      </c>
    </row>
    <row r="805" spans="1:6" x14ac:dyDescent="0.25">
      <c r="A805" t="s">
        <v>77</v>
      </c>
      <c r="B805" s="1">
        <v>46188</v>
      </c>
      <c r="C805">
        <v>39</v>
      </c>
      <c r="D805">
        <f t="shared" si="36"/>
        <v>42.6</v>
      </c>
      <c r="E805">
        <f t="shared" si="37"/>
        <v>5</v>
      </c>
      <c r="F805">
        <f t="shared" si="38"/>
        <v>9.2307692307692341E-2</v>
      </c>
    </row>
    <row r="806" spans="1:6" x14ac:dyDescent="0.25">
      <c r="A806" t="s">
        <v>77</v>
      </c>
      <c r="B806" s="1">
        <v>46195</v>
      </c>
      <c r="C806">
        <v>31</v>
      </c>
      <c r="D806">
        <f t="shared" si="36"/>
        <v>42.2</v>
      </c>
      <c r="E806">
        <f t="shared" si="37"/>
        <v>5</v>
      </c>
      <c r="F806">
        <f t="shared" si="38"/>
        <v>0.36129032258064525</v>
      </c>
    </row>
    <row r="807" spans="1:6" x14ac:dyDescent="0.25">
      <c r="A807" t="s">
        <v>77</v>
      </c>
      <c r="B807" s="1">
        <v>46202</v>
      </c>
      <c r="C807">
        <v>48</v>
      </c>
      <c r="D807">
        <f t="shared" si="36"/>
        <v>39.4</v>
      </c>
      <c r="E807">
        <f t="shared" si="37"/>
        <v>5</v>
      </c>
      <c r="F807">
        <f t="shared" si="38"/>
        <v>0.1791666666666667</v>
      </c>
    </row>
    <row r="808" spans="1:6" x14ac:dyDescent="0.25">
      <c r="A808" t="s">
        <v>79</v>
      </c>
      <c r="B808" s="1">
        <v>46027</v>
      </c>
      <c r="C808">
        <v>70</v>
      </c>
      <c r="D808" t="str">
        <f t="shared" si="36"/>
        <v/>
      </c>
      <c r="E808">
        <f t="shared" si="37"/>
        <v>0</v>
      </c>
      <c r="F808" t="str">
        <f t="shared" si="38"/>
        <v/>
      </c>
    </row>
    <row r="809" spans="1:6" x14ac:dyDescent="0.25">
      <c r="A809" t="s">
        <v>79</v>
      </c>
      <c r="B809" s="1">
        <v>46034</v>
      </c>
      <c r="C809">
        <v>85</v>
      </c>
      <c r="D809" t="str">
        <f t="shared" si="36"/>
        <v/>
      </c>
      <c r="E809">
        <f t="shared" si="37"/>
        <v>1</v>
      </c>
      <c r="F809" t="str">
        <f t="shared" si="38"/>
        <v/>
      </c>
    </row>
    <row r="810" spans="1:6" x14ac:dyDescent="0.25">
      <c r="A810" t="s">
        <v>79</v>
      </c>
      <c r="B810" s="1">
        <v>46041</v>
      </c>
      <c r="C810">
        <v>79</v>
      </c>
      <c r="D810" t="str">
        <f t="shared" si="36"/>
        <v/>
      </c>
      <c r="E810">
        <f t="shared" si="37"/>
        <v>2</v>
      </c>
      <c r="F810" t="str">
        <f t="shared" si="38"/>
        <v/>
      </c>
    </row>
    <row r="811" spans="1:6" x14ac:dyDescent="0.25">
      <c r="A811" t="s">
        <v>79</v>
      </c>
      <c r="B811" s="1">
        <v>46048</v>
      </c>
      <c r="C811">
        <v>83</v>
      </c>
      <c r="D811" t="str">
        <f t="shared" si="36"/>
        <v/>
      </c>
      <c r="E811">
        <f t="shared" si="37"/>
        <v>3</v>
      </c>
      <c r="F811" t="str">
        <f t="shared" si="38"/>
        <v/>
      </c>
    </row>
    <row r="812" spans="1:6" x14ac:dyDescent="0.25">
      <c r="A812" t="s">
        <v>79</v>
      </c>
      <c r="B812" s="1">
        <v>46055</v>
      </c>
      <c r="C812">
        <v>81</v>
      </c>
      <c r="D812" t="str">
        <f t="shared" si="36"/>
        <v/>
      </c>
      <c r="E812">
        <f t="shared" si="37"/>
        <v>4</v>
      </c>
      <c r="F812" t="str">
        <f t="shared" si="38"/>
        <v/>
      </c>
    </row>
    <row r="813" spans="1:6" x14ac:dyDescent="0.25">
      <c r="A813" t="s">
        <v>79</v>
      </c>
      <c r="B813" s="1">
        <v>46062</v>
      </c>
      <c r="C813">
        <v>66</v>
      </c>
      <c r="D813">
        <f t="shared" si="36"/>
        <v>79.599999999999994</v>
      </c>
      <c r="E813">
        <f t="shared" si="37"/>
        <v>5</v>
      </c>
      <c r="F813">
        <f t="shared" si="38"/>
        <v>0.20606060606060597</v>
      </c>
    </row>
    <row r="814" spans="1:6" x14ac:dyDescent="0.25">
      <c r="A814" t="s">
        <v>79</v>
      </c>
      <c r="B814" s="1">
        <v>46069</v>
      </c>
      <c r="C814">
        <v>84</v>
      </c>
      <c r="D814">
        <f t="shared" si="36"/>
        <v>78.8</v>
      </c>
      <c r="E814">
        <f t="shared" si="37"/>
        <v>5</v>
      </c>
      <c r="F814">
        <f t="shared" si="38"/>
        <v>6.1904761904761942E-2</v>
      </c>
    </row>
    <row r="815" spans="1:6" x14ac:dyDescent="0.25">
      <c r="A815" t="s">
        <v>79</v>
      </c>
      <c r="B815" s="1">
        <v>46076</v>
      </c>
      <c r="C815">
        <v>91</v>
      </c>
      <c r="D815">
        <f t="shared" si="36"/>
        <v>78.599999999999994</v>
      </c>
      <c r="E815">
        <f t="shared" si="37"/>
        <v>5</v>
      </c>
      <c r="F815">
        <f t="shared" si="38"/>
        <v>0.13626373626373633</v>
      </c>
    </row>
    <row r="816" spans="1:6" x14ac:dyDescent="0.25">
      <c r="A816" t="s">
        <v>79</v>
      </c>
      <c r="B816" s="1">
        <v>46083</v>
      </c>
      <c r="C816">
        <v>67</v>
      </c>
      <c r="D816">
        <f t="shared" si="36"/>
        <v>81</v>
      </c>
      <c r="E816">
        <f t="shared" si="37"/>
        <v>5</v>
      </c>
      <c r="F816">
        <f t="shared" si="38"/>
        <v>0.20895522388059701</v>
      </c>
    </row>
    <row r="817" spans="1:6" x14ac:dyDescent="0.25">
      <c r="A817" t="s">
        <v>79</v>
      </c>
      <c r="B817" s="1">
        <v>46090</v>
      </c>
      <c r="C817">
        <v>105</v>
      </c>
      <c r="D817">
        <f t="shared" si="36"/>
        <v>77.8</v>
      </c>
      <c r="E817">
        <f t="shared" si="37"/>
        <v>5</v>
      </c>
      <c r="F817">
        <f t="shared" si="38"/>
        <v>0.25904761904761908</v>
      </c>
    </row>
    <row r="818" spans="1:6" x14ac:dyDescent="0.25">
      <c r="A818" t="s">
        <v>79</v>
      </c>
      <c r="B818" s="1">
        <v>46097</v>
      </c>
      <c r="C818">
        <v>108</v>
      </c>
      <c r="D818">
        <f t="shared" si="36"/>
        <v>82.6</v>
      </c>
      <c r="E818">
        <f t="shared" si="37"/>
        <v>5</v>
      </c>
      <c r="F818">
        <f t="shared" si="38"/>
        <v>0.23518518518518525</v>
      </c>
    </row>
    <row r="819" spans="1:6" x14ac:dyDescent="0.25">
      <c r="A819" t="s">
        <v>79</v>
      </c>
      <c r="B819" s="1">
        <v>46104</v>
      </c>
      <c r="C819">
        <v>105</v>
      </c>
      <c r="D819">
        <f t="shared" si="36"/>
        <v>91</v>
      </c>
      <c r="E819">
        <f t="shared" si="37"/>
        <v>5</v>
      </c>
      <c r="F819">
        <f t="shared" si="38"/>
        <v>0.13333333333333333</v>
      </c>
    </row>
    <row r="820" spans="1:6" x14ac:dyDescent="0.25">
      <c r="A820" t="s">
        <v>79</v>
      </c>
      <c r="B820" s="1">
        <v>46111</v>
      </c>
      <c r="C820">
        <v>109</v>
      </c>
      <c r="D820">
        <f t="shared" si="36"/>
        <v>95.2</v>
      </c>
      <c r="E820">
        <f t="shared" si="37"/>
        <v>5</v>
      </c>
      <c r="F820">
        <f t="shared" si="38"/>
        <v>0.12660550458715594</v>
      </c>
    </row>
    <row r="821" spans="1:6" x14ac:dyDescent="0.25">
      <c r="A821" t="s">
        <v>79</v>
      </c>
      <c r="B821" s="1">
        <v>46118</v>
      </c>
      <c r="C821">
        <v>93</v>
      </c>
      <c r="D821">
        <f t="shared" si="36"/>
        <v>98.8</v>
      </c>
      <c r="E821">
        <f t="shared" si="37"/>
        <v>5</v>
      </c>
      <c r="F821">
        <f t="shared" si="38"/>
        <v>6.2365591397849432E-2</v>
      </c>
    </row>
    <row r="822" spans="1:6" x14ac:dyDescent="0.25">
      <c r="A822" t="s">
        <v>79</v>
      </c>
      <c r="B822" s="1">
        <v>46125</v>
      </c>
      <c r="C822">
        <v>80</v>
      </c>
      <c r="D822">
        <f t="shared" si="36"/>
        <v>104</v>
      </c>
      <c r="E822">
        <f t="shared" si="37"/>
        <v>5</v>
      </c>
      <c r="F822">
        <f t="shared" si="38"/>
        <v>0.3</v>
      </c>
    </row>
    <row r="823" spans="1:6" x14ac:dyDescent="0.25">
      <c r="A823" t="s">
        <v>79</v>
      </c>
      <c r="B823" s="1">
        <v>46132</v>
      </c>
      <c r="C823">
        <v>77</v>
      </c>
      <c r="D823">
        <f t="shared" si="36"/>
        <v>99</v>
      </c>
      <c r="E823">
        <f t="shared" si="37"/>
        <v>5</v>
      </c>
      <c r="F823">
        <f t="shared" si="38"/>
        <v>0.2857142857142857</v>
      </c>
    </row>
    <row r="824" spans="1:6" x14ac:dyDescent="0.25">
      <c r="A824" t="s">
        <v>79</v>
      </c>
      <c r="B824" s="1">
        <v>46139</v>
      </c>
      <c r="C824">
        <v>76</v>
      </c>
      <c r="D824">
        <f t="shared" si="36"/>
        <v>92.8</v>
      </c>
      <c r="E824">
        <f t="shared" si="37"/>
        <v>5</v>
      </c>
      <c r="F824">
        <f t="shared" si="38"/>
        <v>0.22105263157894733</v>
      </c>
    </row>
    <row r="825" spans="1:6" x14ac:dyDescent="0.25">
      <c r="A825" t="s">
        <v>79</v>
      </c>
      <c r="B825" s="1">
        <v>46146</v>
      </c>
      <c r="C825">
        <v>89</v>
      </c>
      <c r="D825">
        <f t="shared" si="36"/>
        <v>87</v>
      </c>
      <c r="E825">
        <f t="shared" si="37"/>
        <v>5</v>
      </c>
      <c r="F825">
        <f t="shared" si="38"/>
        <v>2.247191011235955E-2</v>
      </c>
    </row>
    <row r="826" spans="1:6" x14ac:dyDescent="0.25">
      <c r="A826" t="s">
        <v>79</v>
      </c>
      <c r="B826" s="1">
        <v>46153</v>
      </c>
      <c r="C826">
        <v>88</v>
      </c>
      <c r="D826">
        <f t="shared" si="36"/>
        <v>83</v>
      </c>
      <c r="E826">
        <f t="shared" si="37"/>
        <v>5</v>
      </c>
      <c r="F826">
        <f t="shared" si="38"/>
        <v>5.6818181818181816E-2</v>
      </c>
    </row>
    <row r="827" spans="1:6" x14ac:dyDescent="0.25">
      <c r="A827" t="s">
        <v>79</v>
      </c>
      <c r="B827" s="1">
        <v>46160</v>
      </c>
      <c r="C827">
        <v>98</v>
      </c>
      <c r="D827">
        <f t="shared" si="36"/>
        <v>82</v>
      </c>
      <c r="E827">
        <f t="shared" si="37"/>
        <v>5</v>
      </c>
      <c r="F827">
        <f t="shared" si="38"/>
        <v>0.16326530612244897</v>
      </c>
    </row>
    <row r="828" spans="1:6" x14ac:dyDescent="0.25">
      <c r="A828" t="s">
        <v>79</v>
      </c>
      <c r="B828" s="1">
        <v>46167</v>
      </c>
      <c r="C828">
        <v>64</v>
      </c>
      <c r="D828">
        <f t="shared" si="36"/>
        <v>85.6</v>
      </c>
      <c r="E828">
        <f t="shared" si="37"/>
        <v>5</v>
      </c>
      <c r="F828">
        <f t="shared" si="38"/>
        <v>0.33749999999999991</v>
      </c>
    </row>
    <row r="829" spans="1:6" x14ac:dyDescent="0.25">
      <c r="A829" t="s">
        <v>79</v>
      </c>
      <c r="B829" s="1">
        <v>46174</v>
      </c>
      <c r="C829">
        <v>121</v>
      </c>
      <c r="D829">
        <f t="shared" si="36"/>
        <v>83</v>
      </c>
      <c r="E829">
        <f t="shared" si="37"/>
        <v>5</v>
      </c>
      <c r="F829">
        <f t="shared" si="38"/>
        <v>0.31404958677685951</v>
      </c>
    </row>
    <row r="830" spans="1:6" x14ac:dyDescent="0.25">
      <c r="A830" t="s">
        <v>79</v>
      </c>
      <c r="B830" s="1">
        <v>46181</v>
      </c>
      <c r="C830">
        <v>122</v>
      </c>
      <c r="D830">
        <f t="shared" si="36"/>
        <v>92</v>
      </c>
      <c r="E830">
        <f t="shared" si="37"/>
        <v>5</v>
      </c>
      <c r="F830">
        <f t="shared" si="38"/>
        <v>0.24590163934426229</v>
      </c>
    </row>
    <row r="831" spans="1:6" x14ac:dyDescent="0.25">
      <c r="A831" t="s">
        <v>79</v>
      </c>
      <c r="B831" s="1">
        <v>46188</v>
      </c>
      <c r="C831">
        <v>93</v>
      </c>
      <c r="D831">
        <f t="shared" si="36"/>
        <v>98.6</v>
      </c>
      <c r="E831">
        <f t="shared" si="37"/>
        <v>5</v>
      </c>
      <c r="F831">
        <f t="shared" si="38"/>
        <v>6.0215053763440801E-2</v>
      </c>
    </row>
    <row r="832" spans="1:6" x14ac:dyDescent="0.25">
      <c r="A832" t="s">
        <v>79</v>
      </c>
      <c r="B832" s="1">
        <v>46195</v>
      </c>
      <c r="C832">
        <v>103</v>
      </c>
      <c r="D832">
        <f t="shared" si="36"/>
        <v>99.6</v>
      </c>
      <c r="E832">
        <f t="shared" si="37"/>
        <v>5</v>
      </c>
      <c r="F832">
        <f t="shared" si="38"/>
        <v>3.300970873786413E-2</v>
      </c>
    </row>
    <row r="833" spans="1:6" x14ac:dyDescent="0.25">
      <c r="A833" t="s">
        <v>79</v>
      </c>
      <c r="B833" s="1">
        <v>46202</v>
      </c>
      <c r="C833">
        <v>101</v>
      </c>
      <c r="D833">
        <f t="shared" si="36"/>
        <v>100.6</v>
      </c>
      <c r="E833">
        <f t="shared" si="37"/>
        <v>5</v>
      </c>
      <c r="F833">
        <f t="shared" si="38"/>
        <v>3.9603960396040168E-3</v>
      </c>
    </row>
    <row r="834" spans="1:6" x14ac:dyDescent="0.25">
      <c r="A834" t="s">
        <v>81</v>
      </c>
      <c r="B834" s="1">
        <v>46027</v>
      </c>
      <c r="C834">
        <v>35</v>
      </c>
      <c r="D834" t="str">
        <f t="shared" ref="D834:D897" si="39">IF(E834 &lt; 5, "", AVERAGEIFS(C:C, A:A, A834, B:B, "&gt;=" &amp; (B834-35), B:B, "&lt;=" &amp; (B834-7)))</f>
        <v/>
      </c>
      <c r="E834">
        <f t="shared" ref="E834:E897" si="40">COUNTIFS(A:A, A834, B:B, "&gt;=" &amp; (B834-35), B:B, "&lt;=" &amp; (B834-7))</f>
        <v>0</v>
      </c>
      <c r="F834" t="str">
        <f t="shared" ref="F834:F897" si="41">IF(OR(C834=0, D834=""), "", ABS(C834 - D834) / C834)</f>
        <v/>
      </c>
    </row>
    <row r="835" spans="1:6" x14ac:dyDescent="0.25">
      <c r="A835" t="s">
        <v>81</v>
      </c>
      <c r="B835" s="1">
        <v>46034</v>
      </c>
      <c r="C835">
        <v>33</v>
      </c>
      <c r="D835" t="str">
        <f t="shared" si="39"/>
        <v/>
      </c>
      <c r="E835">
        <f t="shared" si="40"/>
        <v>1</v>
      </c>
      <c r="F835" t="str">
        <f t="shared" si="41"/>
        <v/>
      </c>
    </row>
    <row r="836" spans="1:6" x14ac:dyDescent="0.25">
      <c r="A836" t="s">
        <v>81</v>
      </c>
      <c r="B836" s="1">
        <v>46041</v>
      </c>
      <c r="C836">
        <v>36</v>
      </c>
      <c r="D836" t="str">
        <f t="shared" si="39"/>
        <v/>
      </c>
      <c r="E836">
        <f t="shared" si="40"/>
        <v>2</v>
      </c>
      <c r="F836" t="str">
        <f t="shared" si="41"/>
        <v/>
      </c>
    </row>
    <row r="837" spans="1:6" x14ac:dyDescent="0.25">
      <c r="A837" t="s">
        <v>81</v>
      </c>
      <c r="B837" s="1">
        <v>46048</v>
      </c>
      <c r="C837">
        <v>36</v>
      </c>
      <c r="D837" t="str">
        <f t="shared" si="39"/>
        <v/>
      </c>
      <c r="E837">
        <f t="shared" si="40"/>
        <v>3</v>
      </c>
      <c r="F837" t="str">
        <f t="shared" si="41"/>
        <v/>
      </c>
    </row>
    <row r="838" spans="1:6" x14ac:dyDescent="0.25">
      <c r="A838" t="s">
        <v>81</v>
      </c>
      <c r="B838" s="1">
        <v>46055</v>
      </c>
      <c r="C838">
        <v>38</v>
      </c>
      <c r="D838" t="str">
        <f t="shared" si="39"/>
        <v/>
      </c>
      <c r="E838">
        <f t="shared" si="40"/>
        <v>4</v>
      </c>
      <c r="F838" t="str">
        <f t="shared" si="41"/>
        <v/>
      </c>
    </row>
    <row r="839" spans="1:6" x14ac:dyDescent="0.25">
      <c r="A839" t="s">
        <v>81</v>
      </c>
      <c r="B839" s="1">
        <v>46062</v>
      </c>
      <c r="C839">
        <v>35</v>
      </c>
      <c r="D839">
        <f t="shared" si="39"/>
        <v>35.6</v>
      </c>
      <c r="E839">
        <f t="shared" si="40"/>
        <v>5</v>
      </c>
      <c r="F839">
        <f t="shared" si="41"/>
        <v>1.7142857142857182E-2</v>
      </c>
    </row>
    <row r="840" spans="1:6" x14ac:dyDescent="0.25">
      <c r="A840" t="s">
        <v>81</v>
      </c>
      <c r="B840" s="1">
        <v>46069</v>
      </c>
      <c r="C840">
        <v>38</v>
      </c>
      <c r="D840">
        <f t="shared" si="39"/>
        <v>35.6</v>
      </c>
      <c r="E840">
        <f t="shared" si="40"/>
        <v>5</v>
      </c>
      <c r="F840">
        <f t="shared" si="41"/>
        <v>6.3157894736842066E-2</v>
      </c>
    </row>
    <row r="841" spans="1:6" x14ac:dyDescent="0.25">
      <c r="A841" t="s">
        <v>81</v>
      </c>
      <c r="B841" s="1">
        <v>46076</v>
      </c>
      <c r="C841">
        <v>38</v>
      </c>
      <c r="D841">
        <f t="shared" si="39"/>
        <v>36.6</v>
      </c>
      <c r="E841">
        <f t="shared" si="40"/>
        <v>5</v>
      </c>
      <c r="F841">
        <f t="shared" si="41"/>
        <v>3.6842105263157857E-2</v>
      </c>
    </row>
    <row r="842" spans="1:6" x14ac:dyDescent="0.25">
      <c r="A842" t="s">
        <v>81</v>
      </c>
      <c r="B842" s="1">
        <v>46083</v>
      </c>
      <c r="C842">
        <v>41</v>
      </c>
      <c r="D842">
        <f t="shared" si="39"/>
        <v>37</v>
      </c>
      <c r="E842">
        <f t="shared" si="40"/>
        <v>5</v>
      </c>
      <c r="F842">
        <f t="shared" si="41"/>
        <v>9.7560975609756101E-2</v>
      </c>
    </row>
    <row r="843" spans="1:6" x14ac:dyDescent="0.25">
      <c r="A843" t="s">
        <v>81</v>
      </c>
      <c r="B843" s="1">
        <v>46090</v>
      </c>
      <c r="C843">
        <v>36</v>
      </c>
      <c r="D843">
        <f t="shared" si="39"/>
        <v>38</v>
      </c>
      <c r="E843">
        <f t="shared" si="40"/>
        <v>5</v>
      </c>
      <c r="F843">
        <f t="shared" si="41"/>
        <v>5.5555555555555552E-2</v>
      </c>
    </row>
    <row r="844" spans="1:6" x14ac:dyDescent="0.25">
      <c r="A844" t="s">
        <v>81</v>
      </c>
      <c r="B844" s="1">
        <v>46097</v>
      </c>
      <c r="C844">
        <v>41</v>
      </c>
      <c r="D844">
        <f t="shared" si="39"/>
        <v>37.6</v>
      </c>
      <c r="E844">
        <f t="shared" si="40"/>
        <v>5</v>
      </c>
      <c r="F844">
        <f t="shared" si="41"/>
        <v>8.2926829268292646E-2</v>
      </c>
    </row>
    <row r="845" spans="1:6" x14ac:dyDescent="0.25">
      <c r="A845" t="s">
        <v>81</v>
      </c>
      <c r="B845" s="1">
        <v>46104</v>
      </c>
      <c r="C845">
        <v>43</v>
      </c>
      <c r="D845">
        <f t="shared" si="39"/>
        <v>38.799999999999997</v>
      </c>
      <c r="E845">
        <f t="shared" si="40"/>
        <v>5</v>
      </c>
      <c r="F845">
        <f t="shared" si="41"/>
        <v>9.7674418604651231E-2</v>
      </c>
    </row>
    <row r="846" spans="1:6" x14ac:dyDescent="0.25">
      <c r="A846" t="s">
        <v>81</v>
      </c>
      <c r="B846" s="1">
        <v>46111</v>
      </c>
      <c r="C846">
        <v>42</v>
      </c>
      <c r="D846">
        <f t="shared" si="39"/>
        <v>39.799999999999997</v>
      </c>
      <c r="E846">
        <f t="shared" si="40"/>
        <v>5</v>
      </c>
      <c r="F846">
        <f t="shared" si="41"/>
        <v>5.2380952380952452E-2</v>
      </c>
    </row>
    <row r="847" spans="1:6" x14ac:dyDescent="0.25">
      <c r="A847" t="s">
        <v>81</v>
      </c>
      <c r="B847" s="1">
        <v>46118</v>
      </c>
      <c r="C847">
        <v>40</v>
      </c>
      <c r="D847">
        <f t="shared" si="39"/>
        <v>40.6</v>
      </c>
      <c r="E847">
        <f t="shared" si="40"/>
        <v>5</v>
      </c>
      <c r="F847">
        <f t="shared" si="41"/>
        <v>1.5000000000000036E-2</v>
      </c>
    </row>
    <row r="848" spans="1:6" x14ac:dyDescent="0.25">
      <c r="A848" t="s">
        <v>81</v>
      </c>
      <c r="B848" s="1">
        <v>46125</v>
      </c>
      <c r="C848">
        <v>40</v>
      </c>
      <c r="D848">
        <f t="shared" si="39"/>
        <v>40.4</v>
      </c>
      <c r="E848">
        <f t="shared" si="40"/>
        <v>5</v>
      </c>
      <c r="F848">
        <f t="shared" si="41"/>
        <v>9.9999999999999638E-3</v>
      </c>
    </row>
    <row r="849" spans="1:6" x14ac:dyDescent="0.25">
      <c r="A849" t="s">
        <v>81</v>
      </c>
      <c r="B849" s="1">
        <v>46132</v>
      </c>
      <c r="C849">
        <v>41</v>
      </c>
      <c r="D849">
        <f t="shared" si="39"/>
        <v>41.2</v>
      </c>
      <c r="E849">
        <f t="shared" si="40"/>
        <v>5</v>
      </c>
      <c r="F849">
        <f t="shared" si="41"/>
        <v>4.8780487804878743E-3</v>
      </c>
    </row>
    <row r="850" spans="1:6" x14ac:dyDescent="0.25">
      <c r="A850" t="s">
        <v>81</v>
      </c>
      <c r="B850" s="1">
        <v>46139</v>
      </c>
      <c r="C850">
        <v>45</v>
      </c>
      <c r="D850">
        <f t="shared" si="39"/>
        <v>41.2</v>
      </c>
      <c r="E850">
        <f t="shared" si="40"/>
        <v>5</v>
      </c>
      <c r="F850">
        <f t="shared" si="41"/>
        <v>8.4444444444444378E-2</v>
      </c>
    </row>
    <row r="851" spans="1:6" x14ac:dyDescent="0.25">
      <c r="A851" t="s">
        <v>81</v>
      </c>
      <c r="B851" s="1">
        <v>46146</v>
      </c>
      <c r="C851">
        <v>48</v>
      </c>
      <c r="D851">
        <f t="shared" si="39"/>
        <v>41.6</v>
      </c>
      <c r="E851">
        <f t="shared" si="40"/>
        <v>5</v>
      </c>
      <c r="F851">
        <f t="shared" si="41"/>
        <v>0.1333333333333333</v>
      </c>
    </row>
    <row r="852" spans="1:6" x14ac:dyDescent="0.25">
      <c r="A852" t="s">
        <v>81</v>
      </c>
      <c r="B852" s="1">
        <v>46153</v>
      </c>
      <c r="C852">
        <v>43</v>
      </c>
      <c r="D852">
        <f t="shared" si="39"/>
        <v>42.8</v>
      </c>
      <c r="E852">
        <f t="shared" si="40"/>
        <v>5</v>
      </c>
      <c r="F852">
        <f t="shared" si="41"/>
        <v>4.6511627906977403E-3</v>
      </c>
    </row>
    <row r="853" spans="1:6" x14ac:dyDescent="0.25">
      <c r="A853" t="s">
        <v>81</v>
      </c>
      <c r="B853" s="1">
        <v>46160</v>
      </c>
      <c r="C853">
        <v>42</v>
      </c>
      <c r="D853">
        <f t="shared" si="39"/>
        <v>43.4</v>
      </c>
      <c r="E853">
        <f t="shared" si="40"/>
        <v>5</v>
      </c>
      <c r="F853">
        <f t="shared" si="41"/>
        <v>3.3333333333333298E-2</v>
      </c>
    </row>
    <row r="854" spans="1:6" x14ac:dyDescent="0.25">
      <c r="A854" t="s">
        <v>81</v>
      </c>
      <c r="B854" s="1">
        <v>46167</v>
      </c>
      <c r="C854">
        <v>46</v>
      </c>
      <c r="D854">
        <f t="shared" si="39"/>
        <v>43.8</v>
      </c>
      <c r="E854">
        <f t="shared" si="40"/>
        <v>5</v>
      </c>
      <c r="F854">
        <f t="shared" si="41"/>
        <v>4.7826086956521803E-2</v>
      </c>
    </row>
    <row r="855" spans="1:6" x14ac:dyDescent="0.25">
      <c r="A855" t="s">
        <v>81</v>
      </c>
      <c r="B855" s="1">
        <v>46174</v>
      </c>
      <c r="C855">
        <v>46</v>
      </c>
      <c r="D855">
        <f t="shared" si="39"/>
        <v>44.8</v>
      </c>
      <c r="E855">
        <f t="shared" si="40"/>
        <v>5</v>
      </c>
      <c r="F855">
        <f t="shared" si="41"/>
        <v>2.6086956521739191E-2</v>
      </c>
    </row>
    <row r="856" spans="1:6" x14ac:dyDescent="0.25">
      <c r="A856" t="s">
        <v>81</v>
      </c>
      <c r="B856" s="1">
        <v>46181</v>
      </c>
      <c r="C856">
        <v>43</v>
      </c>
      <c r="D856">
        <f t="shared" si="39"/>
        <v>45</v>
      </c>
      <c r="E856">
        <f t="shared" si="40"/>
        <v>5</v>
      </c>
      <c r="F856">
        <f t="shared" si="41"/>
        <v>4.6511627906976744E-2</v>
      </c>
    </row>
    <row r="857" spans="1:6" x14ac:dyDescent="0.25">
      <c r="A857" t="s">
        <v>81</v>
      </c>
      <c r="B857" s="1">
        <v>46188</v>
      </c>
      <c r="C857">
        <v>44</v>
      </c>
      <c r="D857">
        <f t="shared" si="39"/>
        <v>44</v>
      </c>
      <c r="E857">
        <f t="shared" si="40"/>
        <v>5</v>
      </c>
      <c r="F857">
        <f t="shared" si="41"/>
        <v>0</v>
      </c>
    </row>
    <row r="858" spans="1:6" x14ac:dyDescent="0.25">
      <c r="A858" t="s">
        <v>81</v>
      </c>
      <c r="B858" s="1">
        <v>46195</v>
      </c>
      <c r="C858">
        <v>46</v>
      </c>
      <c r="D858">
        <f t="shared" si="39"/>
        <v>44.2</v>
      </c>
      <c r="E858">
        <f t="shared" si="40"/>
        <v>5</v>
      </c>
      <c r="F858">
        <f t="shared" si="41"/>
        <v>3.9130434782608636E-2</v>
      </c>
    </row>
    <row r="859" spans="1:6" x14ac:dyDescent="0.25">
      <c r="A859" t="s">
        <v>81</v>
      </c>
      <c r="B859" s="1">
        <v>46202</v>
      </c>
      <c r="C859">
        <v>49</v>
      </c>
      <c r="D859">
        <f t="shared" si="39"/>
        <v>45</v>
      </c>
      <c r="E859">
        <f t="shared" si="40"/>
        <v>5</v>
      </c>
      <c r="F859">
        <f t="shared" si="41"/>
        <v>8.1632653061224483E-2</v>
      </c>
    </row>
    <row r="860" spans="1:6" x14ac:dyDescent="0.25">
      <c r="A860" t="s">
        <v>83</v>
      </c>
      <c r="B860" s="1">
        <v>46027</v>
      </c>
      <c r="C860">
        <v>86</v>
      </c>
      <c r="D860" t="str">
        <f t="shared" si="39"/>
        <v/>
      </c>
      <c r="E860">
        <f t="shared" si="40"/>
        <v>0</v>
      </c>
      <c r="F860" t="str">
        <f t="shared" si="41"/>
        <v/>
      </c>
    </row>
    <row r="861" spans="1:6" x14ac:dyDescent="0.25">
      <c r="A861" t="s">
        <v>83</v>
      </c>
      <c r="B861" s="1">
        <v>46034</v>
      </c>
      <c r="C861">
        <v>87</v>
      </c>
      <c r="D861" t="str">
        <f t="shared" si="39"/>
        <v/>
      </c>
      <c r="E861">
        <f t="shared" si="40"/>
        <v>1</v>
      </c>
      <c r="F861" t="str">
        <f t="shared" si="41"/>
        <v/>
      </c>
    </row>
    <row r="862" spans="1:6" x14ac:dyDescent="0.25">
      <c r="A862" t="s">
        <v>83</v>
      </c>
      <c r="B862" s="1">
        <v>46041</v>
      </c>
      <c r="C862">
        <v>95</v>
      </c>
      <c r="D862" t="str">
        <f t="shared" si="39"/>
        <v/>
      </c>
      <c r="E862">
        <f t="shared" si="40"/>
        <v>2</v>
      </c>
      <c r="F862" t="str">
        <f t="shared" si="41"/>
        <v/>
      </c>
    </row>
    <row r="863" spans="1:6" x14ac:dyDescent="0.25">
      <c r="A863" t="s">
        <v>83</v>
      </c>
      <c r="B863" s="1">
        <v>46048</v>
      </c>
      <c r="C863">
        <v>99</v>
      </c>
      <c r="D863" t="str">
        <f t="shared" si="39"/>
        <v/>
      </c>
      <c r="E863">
        <f t="shared" si="40"/>
        <v>3</v>
      </c>
      <c r="F863" t="str">
        <f t="shared" si="41"/>
        <v/>
      </c>
    </row>
    <row r="864" spans="1:6" x14ac:dyDescent="0.25">
      <c r="A864" t="s">
        <v>83</v>
      </c>
      <c r="B864" s="1">
        <v>46055</v>
      </c>
      <c r="C864">
        <v>92</v>
      </c>
      <c r="D864" t="str">
        <f t="shared" si="39"/>
        <v/>
      </c>
      <c r="E864">
        <f t="shared" si="40"/>
        <v>4</v>
      </c>
      <c r="F864" t="str">
        <f t="shared" si="41"/>
        <v/>
      </c>
    </row>
    <row r="865" spans="1:6" x14ac:dyDescent="0.25">
      <c r="A865" t="s">
        <v>83</v>
      </c>
      <c r="B865" s="1">
        <v>46062</v>
      </c>
      <c r="C865">
        <v>82</v>
      </c>
      <c r="D865">
        <f t="shared" si="39"/>
        <v>91.8</v>
      </c>
      <c r="E865">
        <f t="shared" si="40"/>
        <v>5</v>
      </c>
      <c r="F865">
        <f t="shared" si="41"/>
        <v>0.11951219512195119</v>
      </c>
    </row>
    <row r="866" spans="1:6" x14ac:dyDescent="0.25">
      <c r="A866" t="s">
        <v>83</v>
      </c>
      <c r="B866" s="1">
        <v>46069</v>
      </c>
      <c r="C866">
        <v>118</v>
      </c>
      <c r="D866">
        <f t="shared" si="39"/>
        <v>91</v>
      </c>
      <c r="E866">
        <f t="shared" si="40"/>
        <v>5</v>
      </c>
      <c r="F866">
        <f t="shared" si="41"/>
        <v>0.2288135593220339</v>
      </c>
    </row>
    <row r="867" spans="1:6" x14ac:dyDescent="0.25">
      <c r="A867" t="s">
        <v>83</v>
      </c>
      <c r="B867" s="1">
        <v>46076</v>
      </c>
      <c r="C867">
        <v>74</v>
      </c>
      <c r="D867">
        <f t="shared" si="39"/>
        <v>97.2</v>
      </c>
      <c r="E867">
        <f t="shared" si="40"/>
        <v>5</v>
      </c>
      <c r="F867">
        <f t="shared" si="41"/>
        <v>0.31351351351351353</v>
      </c>
    </row>
    <row r="868" spans="1:6" x14ac:dyDescent="0.25">
      <c r="A868" t="s">
        <v>83</v>
      </c>
      <c r="B868" s="1">
        <v>46083</v>
      </c>
      <c r="C868">
        <v>89</v>
      </c>
      <c r="D868">
        <f t="shared" si="39"/>
        <v>93</v>
      </c>
      <c r="E868">
        <f t="shared" si="40"/>
        <v>5</v>
      </c>
      <c r="F868">
        <f t="shared" si="41"/>
        <v>4.49438202247191E-2</v>
      </c>
    </row>
    <row r="869" spans="1:6" x14ac:dyDescent="0.25">
      <c r="A869" t="s">
        <v>83</v>
      </c>
      <c r="B869" s="1">
        <v>46090</v>
      </c>
      <c r="C869">
        <v>103</v>
      </c>
      <c r="D869">
        <f t="shared" si="39"/>
        <v>91</v>
      </c>
      <c r="E869">
        <f t="shared" si="40"/>
        <v>5</v>
      </c>
      <c r="F869">
        <f t="shared" si="41"/>
        <v>0.11650485436893204</v>
      </c>
    </row>
    <row r="870" spans="1:6" x14ac:dyDescent="0.25">
      <c r="A870" t="s">
        <v>83</v>
      </c>
      <c r="B870" s="1">
        <v>46097</v>
      </c>
      <c r="C870">
        <v>101</v>
      </c>
      <c r="D870">
        <f t="shared" si="39"/>
        <v>93.2</v>
      </c>
      <c r="E870">
        <f t="shared" si="40"/>
        <v>5</v>
      </c>
      <c r="F870">
        <f t="shared" si="41"/>
        <v>7.7227722772277199E-2</v>
      </c>
    </row>
    <row r="871" spans="1:6" x14ac:dyDescent="0.25">
      <c r="A871" t="s">
        <v>83</v>
      </c>
      <c r="B871" s="1">
        <v>46104</v>
      </c>
      <c r="C871">
        <v>128</v>
      </c>
      <c r="D871">
        <f t="shared" si="39"/>
        <v>97</v>
      </c>
      <c r="E871">
        <f t="shared" si="40"/>
        <v>5</v>
      </c>
      <c r="F871">
        <f t="shared" si="41"/>
        <v>0.2421875</v>
      </c>
    </row>
    <row r="872" spans="1:6" x14ac:dyDescent="0.25">
      <c r="A872" t="s">
        <v>83</v>
      </c>
      <c r="B872" s="1">
        <v>46111</v>
      </c>
      <c r="C872">
        <v>114</v>
      </c>
      <c r="D872">
        <f t="shared" si="39"/>
        <v>99</v>
      </c>
      <c r="E872">
        <f t="shared" si="40"/>
        <v>5</v>
      </c>
      <c r="F872">
        <f t="shared" si="41"/>
        <v>0.13157894736842105</v>
      </c>
    </row>
    <row r="873" spans="1:6" x14ac:dyDescent="0.25">
      <c r="A873" t="s">
        <v>83</v>
      </c>
      <c r="B873" s="1">
        <v>46118</v>
      </c>
      <c r="C873">
        <v>107</v>
      </c>
      <c r="D873">
        <f t="shared" si="39"/>
        <v>107</v>
      </c>
      <c r="E873">
        <f t="shared" si="40"/>
        <v>5</v>
      </c>
      <c r="F873">
        <f t="shared" si="41"/>
        <v>0</v>
      </c>
    </row>
    <row r="874" spans="1:6" x14ac:dyDescent="0.25">
      <c r="A874" t="s">
        <v>83</v>
      </c>
      <c r="B874" s="1">
        <v>46125</v>
      </c>
      <c r="C874">
        <v>89</v>
      </c>
      <c r="D874">
        <f t="shared" si="39"/>
        <v>110.6</v>
      </c>
      <c r="E874">
        <f t="shared" si="40"/>
        <v>5</v>
      </c>
      <c r="F874">
        <f t="shared" si="41"/>
        <v>0.24269662921348309</v>
      </c>
    </row>
    <row r="875" spans="1:6" x14ac:dyDescent="0.25">
      <c r="A875" t="s">
        <v>83</v>
      </c>
      <c r="B875" s="1">
        <v>46132</v>
      </c>
      <c r="C875">
        <v>125</v>
      </c>
      <c r="D875">
        <f t="shared" si="39"/>
        <v>107.8</v>
      </c>
      <c r="E875">
        <f t="shared" si="40"/>
        <v>5</v>
      </c>
      <c r="F875">
        <f t="shared" si="41"/>
        <v>0.13760000000000003</v>
      </c>
    </row>
    <row r="876" spans="1:6" x14ac:dyDescent="0.25">
      <c r="A876" t="s">
        <v>83</v>
      </c>
      <c r="B876" s="1">
        <v>46139</v>
      </c>
      <c r="C876">
        <v>128</v>
      </c>
      <c r="D876">
        <f t="shared" si="39"/>
        <v>112.6</v>
      </c>
      <c r="E876">
        <f t="shared" si="40"/>
        <v>5</v>
      </c>
      <c r="F876">
        <f t="shared" si="41"/>
        <v>0.12031250000000004</v>
      </c>
    </row>
    <row r="877" spans="1:6" x14ac:dyDescent="0.25">
      <c r="A877" t="s">
        <v>83</v>
      </c>
      <c r="B877" s="1">
        <v>46146</v>
      </c>
      <c r="C877">
        <v>131</v>
      </c>
      <c r="D877">
        <f t="shared" si="39"/>
        <v>112.6</v>
      </c>
      <c r="E877">
        <f t="shared" si="40"/>
        <v>5</v>
      </c>
      <c r="F877">
        <f t="shared" si="41"/>
        <v>0.14045801526717561</v>
      </c>
    </row>
    <row r="878" spans="1:6" x14ac:dyDescent="0.25">
      <c r="A878" t="s">
        <v>83</v>
      </c>
      <c r="B878" s="1">
        <v>46153</v>
      </c>
      <c r="C878">
        <v>116</v>
      </c>
      <c r="D878">
        <f t="shared" si="39"/>
        <v>116</v>
      </c>
      <c r="E878">
        <f t="shared" si="40"/>
        <v>5</v>
      </c>
      <c r="F878">
        <f t="shared" si="41"/>
        <v>0</v>
      </c>
    </row>
    <row r="879" spans="1:6" x14ac:dyDescent="0.25">
      <c r="A879" t="s">
        <v>83</v>
      </c>
      <c r="B879" s="1">
        <v>46160</v>
      </c>
      <c r="C879">
        <v>136</v>
      </c>
      <c r="D879">
        <f t="shared" si="39"/>
        <v>117.8</v>
      </c>
      <c r="E879">
        <f t="shared" si="40"/>
        <v>5</v>
      </c>
      <c r="F879">
        <f t="shared" si="41"/>
        <v>0.13382352941176473</v>
      </c>
    </row>
    <row r="880" spans="1:6" x14ac:dyDescent="0.25">
      <c r="A880" t="s">
        <v>83</v>
      </c>
      <c r="B880" s="1">
        <v>46167</v>
      </c>
      <c r="C880">
        <v>122</v>
      </c>
      <c r="D880">
        <f t="shared" si="39"/>
        <v>127.2</v>
      </c>
      <c r="E880">
        <f t="shared" si="40"/>
        <v>5</v>
      </c>
      <c r="F880">
        <f t="shared" si="41"/>
        <v>4.2622950819672156E-2</v>
      </c>
    </row>
    <row r="881" spans="1:6" x14ac:dyDescent="0.25">
      <c r="A881" t="s">
        <v>83</v>
      </c>
      <c r="B881" s="1">
        <v>46174</v>
      </c>
      <c r="C881">
        <v>119</v>
      </c>
      <c r="D881">
        <f t="shared" si="39"/>
        <v>126.6</v>
      </c>
      <c r="E881">
        <f t="shared" si="40"/>
        <v>5</v>
      </c>
      <c r="F881">
        <f t="shared" si="41"/>
        <v>6.3865546218487348E-2</v>
      </c>
    </row>
    <row r="882" spans="1:6" x14ac:dyDescent="0.25">
      <c r="A882" t="s">
        <v>83</v>
      </c>
      <c r="B882" s="1">
        <v>46181</v>
      </c>
      <c r="C882">
        <v>115</v>
      </c>
      <c r="D882">
        <f t="shared" si="39"/>
        <v>124.8</v>
      </c>
      <c r="E882">
        <f t="shared" si="40"/>
        <v>5</v>
      </c>
      <c r="F882">
        <f t="shared" si="41"/>
        <v>8.52173913043478E-2</v>
      </c>
    </row>
    <row r="883" spans="1:6" x14ac:dyDescent="0.25">
      <c r="A883" t="s">
        <v>83</v>
      </c>
      <c r="B883" s="1">
        <v>46188</v>
      </c>
      <c r="C883">
        <v>103</v>
      </c>
      <c r="D883">
        <f t="shared" si="39"/>
        <v>121.6</v>
      </c>
      <c r="E883">
        <f t="shared" si="40"/>
        <v>5</v>
      </c>
      <c r="F883">
        <f t="shared" si="41"/>
        <v>0.1805825242718446</v>
      </c>
    </row>
    <row r="884" spans="1:6" x14ac:dyDescent="0.25">
      <c r="A884" t="s">
        <v>83</v>
      </c>
      <c r="B884" s="1">
        <v>46195</v>
      </c>
      <c r="C884">
        <v>132</v>
      </c>
      <c r="D884">
        <f t="shared" si="39"/>
        <v>119</v>
      </c>
      <c r="E884">
        <f t="shared" si="40"/>
        <v>5</v>
      </c>
      <c r="F884">
        <f t="shared" si="41"/>
        <v>9.8484848484848481E-2</v>
      </c>
    </row>
    <row r="885" spans="1:6" x14ac:dyDescent="0.25">
      <c r="A885" t="s">
        <v>83</v>
      </c>
      <c r="B885" s="1">
        <v>46202</v>
      </c>
      <c r="C885">
        <v>113</v>
      </c>
      <c r="D885">
        <f t="shared" si="39"/>
        <v>118.2</v>
      </c>
      <c r="E885">
        <f t="shared" si="40"/>
        <v>5</v>
      </c>
      <c r="F885">
        <f t="shared" si="41"/>
        <v>4.6017699115044275E-2</v>
      </c>
    </row>
    <row r="886" spans="1:6" x14ac:dyDescent="0.25">
      <c r="A886" t="s">
        <v>85</v>
      </c>
      <c r="B886" s="1">
        <v>46027</v>
      </c>
      <c r="C886">
        <v>84</v>
      </c>
      <c r="D886" t="str">
        <f t="shared" si="39"/>
        <v/>
      </c>
      <c r="E886">
        <f t="shared" si="40"/>
        <v>0</v>
      </c>
      <c r="F886" t="str">
        <f t="shared" si="41"/>
        <v/>
      </c>
    </row>
    <row r="887" spans="1:6" x14ac:dyDescent="0.25">
      <c r="A887" t="s">
        <v>85</v>
      </c>
      <c r="B887" s="1">
        <v>46034</v>
      </c>
      <c r="C887">
        <v>79</v>
      </c>
      <c r="D887" t="str">
        <f t="shared" si="39"/>
        <v/>
      </c>
      <c r="E887">
        <f t="shared" si="40"/>
        <v>1</v>
      </c>
      <c r="F887" t="str">
        <f t="shared" si="41"/>
        <v/>
      </c>
    </row>
    <row r="888" spans="1:6" x14ac:dyDescent="0.25">
      <c r="A888" t="s">
        <v>85</v>
      </c>
      <c r="B888" s="1">
        <v>46041</v>
      </c>
      <c r="C888">
        <v>75</v>
      </c>
      <c r="D888" t="str">
        <f t="shared" si="39"/>
        <v/>
      </c>
      <c r="E888">
        <f t="shared" si="40"/>
        <v>2</v>
      </c>
      <c r="F888" t="str">
        <f t="shared" si="41"/>
        <v/>
      </c>
    </row>
    <row r="889" spans="1:6" x14ac:dyDescent="0.25">
      <c r="A889" t="s">
        <v>85</v>
      </c>
      <c r="B889" s="1">
        <v>46048</v>
      </c>
      <c r="C889">
        <v>101</v>
      </c>
      <c r="D889" t="str">
        <f t="shared" si="39"/>
        <v/>
      </c>
      <c r="E889">
        <f t="shared" si="40"/>
        <v>3</v>
      </c>
      <c r="F889" t="str">
        <f t="shared" si="41"/>
        <v/>
      </c>
    </row>
    <row r="890" spans="1:6" x14ac:dyDescent="0.25">
      <c r="A890" t="s">
        <v>85</v>
      </c>
      <c r="B890" s="1">
        <v>46055</v>
      </c>
      <c r="C890">
        <v>97</v>
      </c>
      <c r="D890" t="str">
        <f t="shared" si="39"/>
        <v/>
      </c>
      <c r="E890">
        <f t="shared" si="40"/>
        <v>4</v>
      </c>
      <c r="F890" t="str">
        <f t="shared" si="41"/>
        <v/>
      </c>
    </row>
    <row r="891" spans="1:6" x14ac:dyDescent="0.25">
      <c r="A891" t="s">
        <v>85</v>
      </c>
      <c r="B891" s="1">
        <v>46062</v>
      </c>
      <c r="C891">
        <v>64</v>
      </c>
      <c r="D891">
        <f t="shared" si="39"/>
        <v>87.2</v>
      </c>
      <c r="E891">
        <f t="shared" si="40"/>
        <v>5</v>
      </c>
      <c r="F891">
        <f t="shared" si="41"/>
        <v>0.36250000000000004</v>
      </c>
    </row>
    <row r="892" spans="1:6" x14ac:dyDescent="0.25">
      <c r="A892" t="s">
        <v>85</v>
      </c>
      <c r="B892" s="1">
        <v>46069</v>
      </c>
      <c r="C892">
        <v>90</v>
      </c>
      <c r="D892">
        <f t="shared" si="39"/>
        <v>83.2</v>
      </c>
      <c r="E892">
        <f t="shared" si="40"/>
        <v>5</v>
      </c>
      <c r="F892">
        <f t="shared" si="41"/>
        <v>7.5555555555555529E-2</v>
      </c>
    </row>
    <row r="893" spans="1:6" x14ac:dyDescent="0.25">
      <c r="A893" t="s">
        <v>85</v>
      </c>
      <c r="B893" s="1">
        <v>46076</v>
      </c>
      <c r="C893">
        <v>65</v>
      </c>
      <c r="D893">
        <f t="shared" si="39"/>
        <v>85.4</v>
      </c>
      <c r="E893">
        <f t="shared" si="40"/>
        <v>5</v>
      </c>
      <c r="F893">
        <f t="shared" si="41"/>
        <v>0.31384615384615394</v>
      </c>
    </row>
    <row r="894" spans="1:6" x14ac:dyDescent="0.25">
      <c r="A894" t="s">
        <v>85</v>
      </c>
      <c r="B894" s="1">
        <v>46083</v>
      </c>
      <c r="C894">
        <v>89</v>
      </c>
      <c r="D894">
        <f t="shared" si="39"/>
        <v>83.4</v>
      </c>
      <c r="E894">
        <f t="shared" si="40"/>
        <v>5</v>
      </c>
      <c r="F894">
        <f t="shared" si="41"/>
        <v>6.2921348314606676E-2</v>
      </c>
    </row>
    <row r="895" spans="1:6" x14ac:dyDescent="0.25">
      <c r="A895" t="s">
        <v>85</v>
      </c>
      <c r="B895" s="1">
        <v>46090</v>
      </c>
      <c r="C895">
        <v>74</v>
      </c>
      <c r="D895">
        <f t="shared" si="39"/>
        <v>81</v>
      </c>
      <c r="E895">
        <f t="shared" si="40"/>
        <v>5</v>
      </c>
      <c r="F895">
        <f t="shared" si="41"/>
        <v>9.45945945945946E-2</v>
      </c>
    </row>
    <row r="896" spans="1:6" x14ac:dyDescent="0.25">
      <c r="A896" t="s">
        <v>85</v>
      </c>
      <c r="B896" s="1">
        <v>46097</v>
      </c>
      <c r="C896">
        <v>100</v>
      </c>
      <c r="D896">
        <f t="shared" si="39"/>
        <v>76.400000000000006</v>
      </c>
      <c r="E896">
        <f t="shared" si="40"/>
        <v>5</v>
      </c>
      <c r="F896">
        <f t="shared" si="41"/>
        <v>0.23599999999999993</v>
      </c>
    </row>
    <row r="897" spans="1:6" x14ac:dyDescent="0.25">
      <c r="A897" t="s">
        <v>85</v>
      </c>
      <c r="B897" s="1">
        <v>46104</v>
      </c>
      <c r="C897">
        <v>97</v>
      </c>
      <c r="D897">
        <f t="shared" si="39"/>
        <v>83.6</v>
      </c>
      <c r="E897">
        <f t="shared" si="40"/>
        <v>5</v>
      </c>
      <c r="F897">
        <f t="shared" si="41"/>
        <v>0.13814432989690728</v>
      </c>
    </row>
    <row r="898" spans="1:6" x14ac:dyDescent="0.25">
      <c r="A898" t="s">
        <v>85</v>
      </c>
      <c r="B898" s="1">
        <v>46111</v>
      </c>
      <c r="C898">
        <v>81</v>
      </c>
      <c r="D898">
        <f t="shared" ref="D898:D961" si="42">IF(E898 &lt; 5, "", AVERAGEIFS(C:C, A:A, A898, B:B, "&gt;=" &amp; (B898-35), B:B, "&lt;=" &amp; (B898-7)))</f>
        <v>85</v>
      </c>
      <c r="E898">
        <f t="shared" ref="E898:E961" si="43">COUNTIFS(A:A, A898, B:B, "&gt;=" &amp; (B898-35), B:B, "&lt;=" &amp; (B898-7))</f>
        <v>5</v>
      </c>
      <c r="F898">
        <f t="shared" ref="F898:F961" si="44">IF(OR(C898=0, D898=""), "", ABS(C898 - D898) / C898)</f>
        <v>4.9382716049382713E-2</v>
      </c>
    </row>
    <row r="899" spans="1:6" x14ac:dyDescent="0.25">
      <c r="A899" t="s">
        <v>85</v>
      </c>
      <c r="B899" s="1">
        <v>46118</v>
      </c>
      <c r="C899">
        <v>86</v>
      </c>
      <c r="D899">
        <f t="shared" si="42"/>
        <v>88.2</v>
      </c>
      <c r="E899">
        <f t="shared" si="43"/>
        <v>5</v>
      </c>
      <c r="F899">
        <f t="shared" si="44"/>
        <v>2.5581395348837244E-2</v>
      </c>
    </row>
    <row r="900" spans="1:6" x14ac:dyDescent="0.25">
      <c r="A900" t="s">
        <v>85</v>
      </c>
      <c r="B900" s="1">
        <v>46125</v>
      </c>
      <c r="C900">
        <v>88</v>
      </c>
      <c r="D900">
        <f t="shared" si="42"/>
        <v>87.6</v>
      </c>
      <c r="E900">
        <f t="shared" si="43"/>
        <v>5</v>
      </c>
      <c r="F900">
        <f t="shared" si="44"/>
        <v>4.5454545454546103E-3</v>
      </c>
    </row>
    <row r="901" spans="1:6" x14ac:dyDescent="0.25">
      <c r="A901" t="s">
        <v>85</v>
      </c>
      <c r="B901" s="1">
        <v>46132</v>
      </c>
      <c r="C901">
        <v>79</v>
      </c>
      <c r="D901">
        <f t="shared" si="42"/>
        <v>90.4</v>
      </c>
      <c r="E901">
        <f t="shared" si="43"/>
        <v>5</v>
      </c>
      <c r="F901">
        <f t="shared" si="44"/>
        <v>0.14430379746835451</v>
      </c>
    </row>
    <row r="902" spans="1:6" x14ac:dyDescent="0.25">
      <c r="A902" t="s">
        <v>85</v>
      </c>
      <c r="B902" s="1">
        <v>46139</v>
      </c>
      <c r="C902">
        <v>88</v>
      </c>
      <c r="D902">
        <f t="shared" si="42"/>
        <v>86.2</v>
      </c>
      <c r="E902">
        <f t="shared" si="43"/>
        <v>5</v>
      </c>
      <c r="F902">
        <f t="shared" si="44"/>
        <v>2.0454545454545423E-2</v>
      </c>
    </row>
    <row r="903" spans="1:6" x14ac:dyDescent="0.25">
      <c r="A903" t="s">
        <v>85</v>
      </c>
      <c r="B903" s="1">
        <v>46146</v>
      </c>
      <c r="C903">
        <v>95</v>
      </c>
      <c r="D903">
        <f t="shared" si="42"/>
        <v>84.4</v>
      </c>
      <c r="E903">
        <f t="shared" si="43"/>
        <v>5</v>
      </c>
      <c r="F903">
        <f t="shared" si="44"/>
        <v>0.11157894736842099</v>
      </c>
    </row>
    <row r="904" spans="1:6" x14ac:dyDescent="0.25">
      <c r="A904" t="s">
        <v>85</v>
      </c>
      <c r="B904" s="1">
        <v>46153</v>
      </c>
      <c r="C904">
        <v>83</v>
      </c>
      <c r="D904">
        <f t="shared" si="42"/>
        <v>87.2</v>
      </c>
      <c r="E904">
        <f t="shared" si="43"/>
        <v>5</v>
      </c>
      <c r="F904">
        <f t="shared" si="44"/>
        <v>5.0602409638554252E-2</v>
      </c>
    </row>
    <row r="905" spans="1:6" x14ac:dyDescent="0.25">
      <c r="A905" t="s">
        <v>85</v>
      </c>
      <c r="B905" s="1">
        <v>46160</v>
      </c>
      <c r="C905">
        <v>85</v>
      </c>
      <c r="D905">
        <f t="shared" si="42"/>
        <v>86.6</v>
      </c>
      <c r="E905">
        <f t="shared" si="43"/>
        <v>5</v>
      </c>
      <c r="F905">
        <f t="shared" si="44"/>
        <v>1.8823529411764638E-2</v>
      </c>
    </row>
    <row r="906" spans="1:6" x14ac:dyDescent="0.25">
      <c r="A906" t="s">
        <v>85</v>
      </c>
      <c r="B906" s="1">
        <v>46167</v>
      </c>
      <c r="C906">
        <v>85</v>
      </c>
      <c r="D906">
        <f t="shared" si="42"/>
        <v>86</v>
      </c>
      <c r="E906">
        <f t="shared" si="43"/>
        <v>5</v>
      </c>
      <c r="F906">
        <f t="shared" si="44"/>
        <v>1.1764705882352941E-2</v>
      </c>
    </row>
    <row r="907" spans="1:6" x14ac:dyDescent="0.25">
      <c r="A907" t="s">
        <v>85</v>
      </c>
      <c r="B907" s="1">
        <v>46174</v>
      </c>
      <c r="C907">
        <v>109</v>
      </c>
      <c r="D907">
        <f t="shared" si="42"/>
        <v>87.2</v>
      </c>
      <c r="E907">
        <f t="shared" si="43"/>
        <v>5</v>
      </c>
      <c r="F907">
        <f t="shared" si="44"/>
        <v>0.19999999999999998</v>
      </c>
    </row>
    <row r="908" spans="1:6" x14ac:dyDescent="0.25">
      <c r="A908" t="s">
        <v>85</v>
      </c>
      <c r="B908" s="1">
        <v>46181</v>
      </c>
      <c r="C908">
        <v>96</v>
      </c>
      <c r="D908">
        <f t="shared" si="42"/>
        <v>91.4</v>
      </c>
      <c r="E908">
        <f t="shared" si="43"/>
        <v>5</v>
      </c>
      <c r="F908">
        <f t="shared" si="44"/>
        <v>4.7916666666666607E-2</v>
      </c>
    </row>
    <row r="909" spans="1:6" x14ac:dyDescent="0.25">
      <c r="A909" t="s">
        <v>85</v>
      </c>
      <c r="B909" s="1">
        <v>46188</v>
      </c>
      <c r="C909">
        <v>94</v>
      </c>
      <c r="D909">
        <f t="shared" si="42"/>
        <v>91.6</v>
      </c>
      <c r="E909">
        <f t="shared" si="43"/>
        <v>5</v>
      </c>
      <c r="F909">
        <f t="shared" si="44"/>
        <v>2.5531914893617082E-2</v>
      </c>
    </row>
    <row r="910" spans="1:6" x14ac:dyDescent="0.25">
      <c r="A910" t="s">
        <v>85</v>
      </c>
      <c r="B910" s="1">
        <v>46195</v>
      </c>
      <c r="C910">
        <v>116</v>
      </c>
      <c r="D910">
        <f t="shared" si="42"/>
        <v>93.8</v>
      </c>
      <c r="E910">
        <f t="shared" si="43"/>
        <v>5</v>
      </c>
      <c r="F910">
        <f t="shared" si="44"/>
        <v>0.19137931034482761</v>
      </c>
    </row>
    <row r="911" spans="1:6" x14ac:dyDescent="0.25">
      <c r="A911" t="s">
        <v>85</v>
      </c>
      <c r="B911" s="1">
        <v>46202</v>
      </c>
      <c r="C911">
        <v>86</v>
      </c>
      <c r="D911">
        <f t="shared" si="42"/>
        <v>100</v>
      </c>
      <c r="E911">
        <f t="shared" si="43"/>
        <v>5</v>
      </c>
      <c r="F911">
        <f t="shared" si="44"/>
        <v>0.16279069767441862</v>
      </c>
    </row>
    <row r="912" spans="1:6" x14ac:dyDescent="0.25">
      <c r="A912" t="s">
        <v>87</v>
      </c>
      <c r="B912" s="1">
        <v>46027</v>
      </c>
      <c r="C912">
        <v>44</v>
      </c>
      <c r="D912" t="str">
        <f t="shared" si="42"/>
        <v/>
      </c>
      <c r="E912">
        <f t="shared" si="43"/>
        <v>0</v>
      </c>
      <c r="F912" t="str">
        <f t="shared" si="44"/>
        <v/>
      </c>
    </row>
    <row r="913" spans="1:6" x14ac:dyDescent="0.25">
      <c r="A913" t="s">
        <v>87</v>
      </c>
      <c r="B913" s="1">
        <v>46034</v>
      </c>
      <c r="C913">
        <v>46</v>
      </c>
      <c r="D913" t="str">
        <f t="shared" si="42"/>
        <v/>
      </c>
      <c r="E913">
        <f t="shared" si="43"/>
        <v>1</v>
      </c>
      <c r="F913" t="str">
        <f t="shared" si="44"/>
        <v/>
      </c>
    </row>
    <row r="914" spans="1:6" x14ac:dyDescent="0.25">
      <c r="A914" t="s">
        <v>87</v>
      </c>
      <c r="B914" s="1">
        <v>46041</v>
      </c>
      <c r="C914">
        <v>43</v>
      </c>
      <c r="D914" t="str">
        <f t="shared" si="42"/>
        <v/>
      </c>
      <c r="E914">
        <f t="shared" si="43"/>
        <v>2</v>
      </c>
      <c r="F914" t="str">
        <f t="shared" si="44"/>
        <v/>
      </c>
    </row>
    <row r="915" spans="1:6" x14ac:dyDescent="0.25">
      <c r="A915" t="s">
        <v>87</v>
      </c>
      <c r="B915" s="1">
        <v>46048</v>
      </c>
      <c r="C915">
        <v>49</v>
      </c>
      <c r="D915" t="str">
        <f t="shared" si="42"/>
        <v/>
      </c>
      <c r="E915">
        <f t="shared" si="43"/>
        <v>3</v>
      </c>
      <c r="F915" t="str">
        <f t="shared" si="44"/>
        <v/>
      </c>
    </row>
    <row r="916" spans="1:6" x14ac:dyDescent="0.25">
      <c r="A916" t="s">
        <v>87</v>
      </c>
      <c r="B916" s="1">
        <v>46055</v>
      </c>
      <c r="C916">
        <v>57</v>
      </c>
      <c r="D916" t="str">
        <f t="shared" si="42"/>
        <v/>
      </c>
      <c r="E916">
        <f t="shared" si="43"/>
        <v>4</v>
      </c>
      <c r="F916" t="str">
        <f t="shared" si="44"/>
        <v/>
      </c>
    </row>
    <row r="917" spans="1:6" x14ac:dyDescent="0.25">
      <c r="A917" t="s">
        <v>87</v>
      </c>
      <c r="B917" s="1">
        <v>46062</v>
      </c>
      <c r="C917">
        <v>56</v>
      </c>
      <c r="D917">
        <f t="shared" si="42"/>
        <v>47.8</v>
      </c>
      <c r="E917">
        <f t="shared" si="43"/>
        <v>5</v>
      </c>
      <c r="F917">
        <f t="shared" si="44"/>
        <v>0.14642857142857149</v>
      </c>
    </row>
    <row r="918" spans="1:6" x14ac:dyDescent="0.25">
      <c r="A918" t="s">
        <v>87</v>
      </c>
      <c r="B918" s="1">
        <v>46069</v>
      </c>
      <c r="C918">
        <v>52</v>
      </c>
      <c r="D918">
        <f t="shared" si="42"/>
        <v>50.2</v>
      </c>
      <c r="E918">
        <f t="shared" si="43"/>
        <v>5</v>
      </c>
      <c r="F918">
        <f t="shared" si="44"/>
        <v>3.4615384615384562E-2</v>
      </c>
    </row>
    <row r="919" spans="1:6" x14ac:dyDescent="0.25">
      <c r="A919" t="s">
        <v>87</v>
      </c>
      <c r="B919" s="1">
        <v>46076</v>
      </c>
      <c r="C919">
        <v>51</v>
      </c>
      <c r="D919">
        <f t="shared" si="42"/>
        <v>51.4</v>
      </c>
      <c r="E919">
        <f t="shared" si="43"/>
        <v>5</v>
      </c>
      <c r="F919">
        <f t="shared" si="44"/>
        <v>7.8431372549019329E-3</v>
      </c>
    </row>
    <row r="920" spans="1:6" x14ac:dyDescent="0.25">
      <c r="A920" t="s">
        <v>87</v>
      </c>
      <c r="B920" s="1">
        <v>46083</v>
      </c>
      <c r="C920">
        <v>56</v>
      </c>
      <c r="D920">
        <f t="shared" si="42"/>
        <v>53</v>
      </c>
      <c r="E920">
        <f t="shared" si="43"/>
        <v>5</v>
      </c>
      <c r="F920">
        <f t="shared" si="44"/>
        <v>5.3571428571428568E-2</v>
      </c>
    </row>
    <row r="921" spans="1:6" x14ac:dyDescent="0.25">
      <c r="A921" t="s">
        <v>87</v>
      </c>
      <c r="B921" s="1">
        <v>46090</v>
      </c>
      <c r="C921">
        <v>57</v>
      </c>
      <c r="D921">
        <f t="shared" si="42"/>
        <v>54.4</v>
      </c>
      <c r="E921">
        <f t="shared" si="43"/>
        <v>5</v>
      </c>
      <c r="F921">
        <f t="shared" si="44"/>
        <v>4.5614035087719322E-2</v>
      </c>
    </row>
    <row r="922" spans="1:6" x14ac:dyDescent="0.25">
      <c r="A922" t="s">
        <v>87</v>
      </c>
      <c r="B922" s="1">
        <v>46097</v>
      </c>
      <c r="C922">
        <v>51</v>
      </c>
      <c r="D922">
        <f t="shared" si="42"/>
        <v>54.4</v>
      </c>
      <c r="E922">
        <f t="shared" si="43"/>
        <v>5</v>
      </c>
      <c r="F922">
        <f t="shared" si="44"/>
        <v>6.6666666666666638E-2</v>
      </c>
    </row>
    <row r="923" spans="1:6" x14ac:dyDescent="0.25">
      <c r="A923" t="s">
        <v>87</v>
      </c>
      <c r="B923" s="1">
        <v>46104</v>
      </c>
      <c r="C923">
        <v>55</v>
      </c>
      <c r="D923">
        <f t="shared" si="42"/>
        <v>53.4</v>
      </c>
      <c r="E923">
        <f t="shared" si="43"/>
        <v>5</v>
      </c>
      <c r="F923">
        <f t="shared" si="44"/>
        <v>2.9090909090909115E-2</v>
      </c>
    </row>
    <row r="924" spans="1:6" x14ac:dyDescent="0.25">
      <c r="A924" t="s">
        <v>87</v>
      </c>
      <c r="B924" s="1">
        <v>46111</v>
      </c>
      <c r="C924">
        <v>59</v>
      </c>
      <c r="D924">
        <f t="shared" si="42"/>
        <v>54</v>
      </c>
      <c r="E924">
        <f t="shared" si="43"/>
        <v>5</v>
      </c>
      <c r="F924">
        <f t="shared" si="44"/>
        <v>8.4745762711864403E-2</v>
      </c>
    </row>
    <row r="925" spans="1:6" x14ac:dyDescent="0.25">
      <c r="A925" t="s">
        <v>87</v>
      </c>
      <c r="B925" s="1">
        <v>46118</v>
      </c>
      <c r="C925">
        <v>59</v>
      </c>
      <c r="D925">
        <f t="shared" si="42"/>
        <v>55.6</v>
      </c>
      <c r="E925">
        <f t="shared" si="43"/>
        <v>5</v>
      </c>
      <c r="F925">
        <f t="shared" si="44"/>
        <v>5.7627118644067769E-2</v>
      </c>
    </row>
    <row r="926" spans="1:6" x14ac:dyDescent="0.25">
      <c r="A926" t="s">
        <v>87</v>
      </c>
      <c r="B926" s="1">
        <v>46125</v>
      </c>
      <c r="C926">
        <v>60</v>
      </c>
      <c r="D926">
        <f t="shared" si="42"/>
        <v>56.2</v>
      </c>
      <c r="E926">
        <f t="shared" si="43"/>
        <v>5</v>
      </c>
      <c r="F926">
        <f t="shared" si="44"/>
        <v>6.3333333333333283E-2</v>
      </c>
    </row>
    <row r="927" spans="1:6" x14ac:dyDescent="0.25">
      <c r="A927" t="s">
        <v>87</v>
      </c>
      <c r="B927" s="1">
        <v>46132</v>
      </c>
      <c r="C927">
        <v>62</v>
      </c>
      <c r="D927">
        <f t="shared" si="42"/>
        <v>56.8</v>
      </c>
      <c r="E927">
        <f t="shared" si="43"/>
        <v>5</v>
      </c>
      <c r="F927">
        <f t="shared" si="44"/>
        <v>8.3870967741935532E-2</v>
      </c>
    </row>
    <row r="928" spans="1:6" x14ac:dyDescent="0.25">
      <c r="A928" t="s">
        <v>87</v>
      </c>
      <c r="B928" s="1">
        <v>46139</v>
      </c>
      <c r="C928">
        <v>60</v>
      </c>
      <c r="D928">
        <f t="shared" si="42"/>
        <v>59</v>
      </c>
      <c r="E928">
        <f t="shared" si="43"/>
        <v>5</v>
      </c>
      <c r="F928">
        <f t="shared" si="44"/>
        <v>1.6666666666666666E-2</v>
      </c>
    </row>
    <row r="929" spans="1:6" x14ac:dyDescent="0.25">
      <c r="A929" t="s">
        <v>87</v>
      </c>
      <c r="B929" s="1">
        <v>46146</v>
      </c>
      <c r="C929">
        <v>57</v>
      </c>
      <c r="D929">
        <f t="shared" si="42"/>
        <v>60</v>
      </c>
      <c r="E929">
        <f t="shared" si="43"/>
        <v>5</v>
      </c>
      <c r="F929">
        <f t="shared" si="44"/>
        <v>5.2631578947368418E-2</v>
      </c>
    </row>
    <row r="930" spans="1:6" x14ac:dyDescent="0.25">
      <c r="A930" t="s">
        <v>87</v>
      </c>
      <c r="B930" s="1">
        <v>46153</v>
      </c>
      <c r="C930">
        <v>54</v>
      </c>
      <c r="D930">
        <f t="shared" si="42"/>
        <v>59.6</v>
      </c>
      <c r="E930">
        <f t="shared" si="43"/>
        <v>5</v>
      </c>
      <c r="F930">
        <f t="shared" si="44"/>
        <v>0.10370370370370373</v>
      </c>
    </row>
    <row r="931" spans="1:6" x14ac:dyDescent="0.25">
      <c r="A931" t="s">
        <v>87</v>
      </c>
      <c r="B931" s="1">
        <v>46160</v>
      </c>
      <c r="C931">
        <v>57</v>
      </c>
      <c r="D931">
        <f t="shared" si="42"/>
        <v>58.6</v>
      </c>
      <c r="E931">
        <f t="shared" si="43"/>
        <v>5</v>
      </c>
      <c r="F931">
        <f t="shared" si="44"/>
        <v>2.8070175438596516E-2</v>
      </c>
    </row>
    <row r="932" spans="1:6" x14ac:dyDescent="0.25">
      <c r="A932" t="s">
        <v>87</v>
      </c>
      <c r="B932" s="1">
        <v>46167</v>
      </c>
      <c r="C932">
        <v>65</v>
      </c>
      <c r="D932">
        <f t="shared" si="42"/>
        <v>58</v>
      </c>
      <c r="E932">
        <f t="shared" si="43"/>
        <v>5</v>
      </c>
      <c r="F932">
        <f t="shared" si="44"/>
        <v>0.1076923076923077</v>
      </c>
    </row>
    <row r="933" spans="1:6" x14ac:dyDescent="0.25">
      <c r="A933" t="s">
        <v>87</v>
      </c>
      <c r="B933" s="1">
        <v>46174</v>
      </c>
      <c r="C933">
        <v>68</v>
      </c>
      <c r="D933">
        <f t="shared" si="42"/>
        <v>58.6</v>
      </c>
      <c r="E933">
        <f t="shared" si="43"/>
        <v>5</v>
      </c>
      <c r="F933">
        <f t="shared" si="44"/>
        <v>0.13823529411764704</v>
      </c>
    </row>
    <row r="934" spans="1:6" x14ac:dyDescent="0.25">
      <c r="A934" t="s">
        <v>87</v>
      </c>
      <c r="B934" s="1">
        <v>46181</v>
      </c>
      <c r="C934">
        <v>66</v>
      </c>
      <c r="D934">
        <f t="shared" si="42"/>
        <v>60.2</v>
      </c>
      <c r="E934">
        <f t="shared" si="43"/>
        <v>5</v>
      </c>
      <c r="F934">
        <f t="shared" si="44"/>
        <v>8.7878787878787834E-2</v>
      </c>
    </row>
    <row r="935" spans="1:6" x14ac:dyDescent="0.25">
      <c r="A935" t="s">
        <v>87</v>
      </c>
      <c r="B935" s="1">
        <v>46188</v>
      </c>
      <c r="C935">
        <v>61</v>
      </c>
      <c r="D935">
        <f t="shared" si="42"/>
        <v>62</v>
      </c>
      <c r="E935">
        <f t="shared" si="43"/>
        <v>5</v>
      </c>
      <c r="F935">
        <f t="shared" si="44"/>
        <v>1.6393442622950821E-2</v>
      </c>
    </row>
    <row r="936" spans="1:6" x14ac:dyDescent="0.25">
      <c r="A936" t="s">
        <v>87</v>
      </c>
      <c r="B936" s="1">
        <v>46195</v>
      </c>
      <c r="C936">
        <v>57</v>
      </c>
      <c r="D936">
        <f t="shared" si="42"/>
        <v>63.4</v>
      </c>
      <c r="E936">
        <f t="shared" si="43"/>
        <v>5</v>
      </c>
      <c r="F936">
        <f t="shared" si="44"/>
        <v>0.11228070175438594</v>
      </c>
    </row>
    <row r="937" spans="1:6" x14ac:dyDescent="0.25">
      <c r="A937" t="s">
        <v>87</v>
      </c>
      <c r="B937" s="1">
        <v>46202</v>
      </c>
      <c r="C937">
        <v>68</v>
      </c>
      <c r="D937">
        <f t="shared" si="42"/>
        <v>63.4</v>
      </c>
      <c r="E937">
        <f t="shared" si="43"/>
        <v>5</v>
      </c>
      <c r="F937">
        <f t="shared" si="44"/>
        <v>6.7647058823529435E-2</v>
      </c>
    </row>
    <row r="938" spans="1:6" x14ac:dyDescent="0.25">
      <c r="A938" t="s">
        <v>89</v>
      </c>
      <c r="B938" s="1">
        <v>46027</v>
      </c>
      <c r="C938">
        <v>84</v>
      </c>
      <c r="D938" t="str">
        <f t="shared" si="42"/>
        <v/>
      </c>
      <c r="E938">
        <f t="shared" si="43"/>
        <v>0</v>
      </c>
      <c r="F938" t="str">
        <f t="shared" si="44"/>
        <v/>
      </c>
    </row>
    <row r="939" spans="1:6" x14ac:dyDescent="0.25">
      <c r="A939" t="s">
        <v>89</v>
      </c>
      <c r="B939" s="1">
        <v>46034</v>
      </c>
      <c r="C939">
        <v>83</v>
      </c>
      <c r="D939" t="str">
        <f t="shared" si="42"/>
        <v/>
      </c>
      <c r="E939">
        <f t="shared" si="43"/>
        <v>1</v>
      </c>
      <c r="F939" t="str">
        <f t="shared" si="44"/>
        <v/>
      </c>
    </row>
    <row r="940" spans="1:6" x14ac:dyDescent="0.25">
      <c r="A940" t="s">
        <v>89</v>
      </c>
      <c r="B940" s="1">
        <v>46041</v>
      </c>
      <c r="C940">
        <v>80</v>
      </c>
      <c r="D940" t="str">
        <f t="shared" si="42"/>
        <v/>
      </c>
      <c r="E940">
        <f t="shared" si="43"/>
        <v>2</v>
      </c>
      <c r="F940" t="str">
        <f t="shared" si="44"/>
        <v/>
      </c>
    </row>
    <row r="941" spans="1:6" x14ac:dyDescent="0.25">
      <c r="A941" t="s">
        <v>89</v>
      </c>
      <c r="B941" s="1">
        <v>46048</v>
      </c>
      <c r="C941">
        <v>91</v>
      </c>
      <c r="D941" t="str">
        <f t="shared" si="42"/>
        <v/>
      </c>
      <c r="E941">
        <f t="shared" si="43"/>
        <v>3</v>
      </c>
      <c r="F941" t="str">
        <f t="shared" si="44"/>
        <v/>
      </c>
    </row>
    <row r="942" spans="1:6" x14ac:dyDescent="0.25">
      <c r="A942" t="s">
        <v>89</v>
      </c>
      <c r="B942" s="1">
        <v>46055</v>
      </c>
      <c r="C942">
        <v>92</v>
      </c>
      <c r="D942" t="str">
        <f t="shared" si="42"/>
        <v/>
      </c>
      <c r="E942">
        <f t="shared" si="43"/>
        <v>4</v>
      </c>
      <c r="F942" t="str">
        <f t="shared" si="44"/>
        <v/>
      </c>
    </row>
    <row r="943" spans="1:6" x14ac:dyDescent="0.25">
      <c r="A943" t="s">
        <v>89</v>
      </c>
      <c r="B943" s="1">
        <v>46062</v>
      </c>
      <c r="C943">
        <v>78</v>
      </c>
      <c r="D943">
        <f t="shared" si="42"/>
        <v>86</v>
      </c>
      <c r="E943">
        <f t="shared" si="43"/>
        <v>5</v>
      </c>
      <c r="F943">
        <f t="shared" si="44"/>
        <v>0.10256410256410256</v>
      </c>
    </row>
    <row r="944" spans="1:6" x14ac:dyDescent="0.25">
      <c r="A944" t="s">
        <v>89</v>
      </c>
      <c r="B944" s="1">
        <v>46069</v>
      </c>
      <c r="C944">
        <v>94</v>
      </c>
      <c r="D944">
        <f t="shared" si="42"/>
        <v>84.8</v>
      </c>
      <c r="E944">
        <f t="shared" si="43"/>
        <v>5</v>
      </c>
      <c r="F944">
        <f t="shared" si="44"/>
        <v>9.7872340425531945E-2</v>
      </c>
    </row>
    <row r="945" spans="1:6" x14ac:dyDescent="0.25">
      <c r="A945" t="s">
        <v>89</v>
      </c>
      <c r="B945" s="1">
        <v>46076</v>
      </c>
      <c r="C945">
        <v>82</v>
      </c>
      <c r="D945">
        <f t="shared" si="42"/>
        <v>87</v>
      </c>
      <c r="E945">
        <f t="shared" si="43"/>
        <v>5</v>
      </c>
      <c r="F945">
        <f t="shared" si="44"/>
        <v>6.097560975609756E-2</v>
      </c>
    </row>
    <row r="946" spans="1:6" x14ac:dyDescent="0.25">
      <c r="A946" t="s">
        <v>89</v>
      </c>
      <c r="B946" s="1">
        <v>46083</v>
      </c>
      <c r="C946">
        <v>97</v>
      </c>
      <c r="D946">
        <f t="shared" si="42"/>
        <v>87.4</v>
      </c>
      <c r="E946">
        <f t="shared" si="43"/>
        <v>5</v>
      </c>
      <c r="F946">
        <f t="shared" si="44"/>
        <v>9.8969072164948393E-2</v>
      </c>
    </row>
    <row r="947" spans="1:6" x14ac:dyDescent="0.25">
      <c r="A947" t="s">
        <v>89</v>
      </c>
      <c r="B947" s="1">
        <v>46090</v>
      </c>
      <c r="C947">
        <v>91</v>
      </c>
      <c r="D947">
        <f t="shared" si="42"/>
        <v>88.6</v>
      </c>
      <c r="E947">
        <f t="shared" si="43"/>
        <v>5</v>
      </c>
      <c r="F947">
        <f t="shared" si="44"/>
        <v>2.6373626373626436E-2</v>
      </c>
    </row>
    <row r="948" spans="1:6" x14ac:dyDescent="0.25">
      <c r="A948" t="s">
        <v>89</v>
      </c>
      <c r="B948" s="1">
        <v>46097</v>
      </c>
      <c r="C948">
        <v>86</v>
      </c>
      <c r="D948">
        <f t="shared" si="42"/>
        <v>88.4</v>
      </c>
      <c r="E948">
        <f t="shared" si="43"/>
        <v>5</v>
      </c>
      <c r="F948">
        <f t="shared" si="44"/>
        <v>2.7906976744186112E-2</v>
      </c>
    </row>
    <row r="949" spans="1:6" x14ac:dyDescent="0.25">
      <c r="A949" t="s">
        <v>89</v>
      </c>
      <c r="B949" s="1">
        <v>46104</v>
      </c>
      <c r="C949">
        <v>99</v>
      </c>
      <c r="D949">
        <f t="shared" si="42"/>
        <v>90</v>
      </c>
      <c r="E949">
        <f t="shared" si="43"/>
        <v>5</v>
      </c>
      <c r="F949">
        <f t="shared" si="44"/>
        <v>9.0909090909090912E-2</v>
      </c>
    </row>
    <row r="950" spans="1:6" x14ac:dyDescent="0.25">
      <c r="A950" t="s">
        <v>89</v>
      </c>
      <c r="B950" s="1">
        <v>46111</v>
      </c>
      <c r="C950">
        <v>93</v>
      </c>
      <c r="D950">
        <f t="shared" si="42"/>
        <v>91</v>
      </c>
      <c r="E950">
        <f t="shared" si="43"/>
        <v>5</v>
      </c>
      <c r="F950">
        <f t="shared" si="44"/>
        <v>2.1505376344086023E-2</v>
      </c>
    </row>
    <row r="951" spans="1:6" x14ac:dyDescent="0.25">
      <c r="A951" t="s">
        <v>89</v>
      </c>
      <c r="B951" s="1">
        <v>46118</v>
      </c>
      <c r="C951">
        <v>100</v>
      </c>
      <c r="D951">
        <f t="shared" si="42"/>
        <v>93.2</v>
      </c>
      <c r="E951">
        <f t="shared" si="43"/>
        <v>5</v>
      </c>
      <c r="F951">
        <f t="shared" si="44"/>
        <v>6.7999999999999977E-2</v>
      </c>
    </row>
    <row r="952" spans="1:6" x14ac:dyDescent="0.25">
      <c r="A952" t="s">
        <v>89</v>
      </c>
      <c r="B952" s="1">
        <v>46125</v>
      </c>
      <c r="C952">
        <v>95</v>
      </c>
      <c r="D952">
        <f t="shared" si="42"/>
        <v>93.8</v>
      </c>
      <c r="E952">
        <f t="shared" si="43"/>
        <v>5</v>
      </c>
      <c r="F952">
        <f t="shared" si="44"/>
        <v>1.263157894736845E-2</v>
      </c>
    </row>
    <row r="953" spans="1:6" x14ac:dyDescent="0.25">
      <c r="A953" t="s">
        <v>89</v>
      </c>
      <c r="B953" s="1">
        <v>46132</v>
      </c>
      <c r="C953">
        <v>93</v>
      </c>
      <c r="D953">
        <f t="shared" si="42"/>
        <v>94.6</v>
      </c>
      <c r="E953">
        <f t="shared" si="43"/>
        <v>5</v>
      </c>
      <c r="F953">
        <f t="shared" si="44"/>
        <v>1.7204301075268755E-2</v>
      </c>
    </row>
    <row r="954" spans="1:6" x14ac:dyDescent="0.25">
      <c r="A954" t="s">
        <v>89</v>
      </c>
      <c r="B954" s="1">
        <v>46139</v>
      </c>
      <c r="C954">
        <v>107</v>
      </c>
      <c r="D954">
        <f t="shared" si="42"/>
        <v>96</v>
      </c>
      <c r="E954">
        <f t="shared" si="43"/>
        <v>5</v>
      </c>
      <c r="F954">
        <f t="shared" si="44"/>
        <v>0.10280373831775701</v>
      </c>
    </row>
    <row r="955" spans="1:6" x14ac:dyDescent="0.25">
      <c r="A955" t="s">
        <v>89</v>
      </c>
      <c r="B955" s="1">
        <v>46146</v>
      </c>
      <c r="C955">
        <v>93</v>
      </c>
      <c r="D955">
        <f t="shared" si="42"/>
        <v>97.6</v>
      </c>
      <c r="E955">
        <f t="shared" si="43"/>
        <v>5</v>
      </c>
      <c r="F955">
        <f t="shared" si="44"/>
        <v>4.9462365591397786E-2</v>
      </c>
    </row>
    <row r="956" spans="1:6" x14ac:dyDescent="0.25">
      <c r="A956" t="s">
        <v>89</v>
      </c>
      <c r="B956" s="1">
        <v>46153</v>
      </c>
      <c r="C956">
        <v>105</v>
      </c>
      <c r="D956">
        <f t="shared" si="42"/>
        <v>97.6</v>
      </c>
      <c r="E956">
        <f t="shared" si="43"/>
        <v>5</v>
      </c>
      <c r="F956">
        <f t="shared" si="44"/>
        <v>7.0476190476190526E-2</v>
      </c>
    </row>
    <row r="957" spans="1:6" x14ac:dyDescent="0.25">
      <c r="A957" t="s">
        <v>89</v>
      </c>
      <c r="B957" s="1">
        <v>46160</v>
      </c>
      <c r="C957">
        <v>103</v>
      </c>
      <c r="D957">
        <f t="shared" si="42"/>
        <v>98.6</v>
      </c>
      <c r="E957">
        <f t="shared" si="43"/>
        <v>5</v>
      </c>
      <c r="F957">
        <f t="shared" si="44"/>
        <v>4.2718446601941802E-2</v>
      </c>
    </row>
    <row r="958" spans="1:6" x14ac:dyDescent="0.25">
      <c r="A958" t="s">
        <v>89</v>
      </c>
      <c r="B958" s="1">
        <v>46167</v>
      </c>
      <c r="C958">
        <v>106</v>
      </c>
      <c r="D958">
        <f t="shared" si="42"/>
        <v>100.2</v>
      </c>
      <c r="E958">
        <f t="shared" si="43"/>
        <v>5</v>
      </c>
      <c r="F958">
        <f t="shared" si="44"/>
        <v>5.4716981132075446E-2</v>
      </c>
    </row>
    <row r="959" spans="1:6" x14ac:dyDescent="0.25">
      <c r="A959" t="s">
        <v>89</v>
      </c>
      <c r="B959" s="1">
        <v>46174</v>
      </c>
      <c r="C959">
        <v>111</v>
      </c>
      <c r="D959">
        <f t="shared" si="42"/>
        <v>102.8</v>
      </c>
      <c r="E959">
        <f t="shared" si="43"/>
        <v>5</v>
      </c>
      <c r="F959">
        <f t="shared" si="44"/>
        <v>7.3873873873873896E-2</v>
      </c>
    </row>
    <row r="960" spans="1:6" x14ac:dyDescent="0.25">
      <c r="A960" t="s">
        <v>89</v>
      </c>
      <c r="B960" s="1">
        <v>46181</v>
      </c>
      <c r="C960">
        <v>109</v>
      </c>
      <c r="D960">
        <f t="shared" si="42"/>
        <v>103.6</v>
      </c>
      <c r="E960">
        <f t="shared" si="43"/>
        <v>5</v>
      </c>
      <c r="F960">
        <f t="shared" si="44"/>
        <v>4.9541284403669776E-2</v>
      </c>
    </row>
    <row r="961" spans="1:6" x14ac:dyDescent="0.25">
      <c r="A961" t="s">
        <v>89</v>
      </c>
      <c r="B961" s="1">
        <v>46188</v>
      </c>
      <c r="C961">
        <v>117</v>
      </c>
      <c r="D961">
        <f t="shared" si="42"/>
        <v>106.8</v>
      </c>
      <c r="E961">
        <f t="shared" si="43"/>
        <v>5</v>
      </c>
      <c r="F961">
        <f t="shared" si="44"/>
        <v>8.7179487179487203E-2</v>
      </c>
    </row>
    <row r="962" spans="1:6" x14ac:dyDescent="0.25">
      <c r="A962" t="s">
        <v>89</v>
      </c>
      <c r="B962" s="1">
        <v>46195</v>
      </c>
      <c r="C962">
        <v>110</v>
      </c>
      <c r="D962">
        <f t="shared" ref="D962:D1025" si="45">IF(E962 &lt; 5, "", AVERAGEIFS(C:C, A:A, A962, B:B, "&gt;=" &amp; (B962-35), B:B, "&lt;=" &amp; (B962-7)))</f>
        <v>109.2</v>
      </c>
      <c r="E962">
        <f t="shared" ref="E962:E1025" si="46">COUNTIFS(A:A, A962, B:B, "&gt;=" &amp; (B962-35), B:B, "&lt;=" &amp; (B962-7))</f>
        <v>5</v>
      </c>
      <c r="F962">
        <f t="shared" ref="F962:F1025" si="47">IF(OR(C962=0, D962=""), "", ABS(C962 - D962) / C962)</f>
        <v>7.2727272727272467E-3</v>
      </c>
    </row>
    <row r="963" spans="1:6" x14ac:dyDescent="0.25">
      <c r="A963" t="s">
        <v>89</v>
      </c>
      <c r="B963" s="1">
        <v>46202</v>
      </c>
      <c r="C963">
        <v>117</v>
      </c>
      <c r="D963">
        <f t="shared" si="45"/>
        <v>110.6</v>
      </c>
      <c r="E963">
        <f t="shared" si="46"/>
        <v>5</v>
      </c>
      <c r="F963">
        <f t="shared" si="47"/>
        <v>5.4700854700854749E-2</v>
      </c>
    </row>
    <row r="964" spans="1:6" x14ac:dyDescent="0.25">
      <c r="A964" t="s">
        <v>91</v>
      </c>
      <c r="B964" s="1">
        <v>46027</v>
      </c>
      <c r="C964">
        <v>80</v>
      </c>
      <c r="D964" t="str">
        <f t="shared" si="45"/>
        <v/>
      </c>
      <c r="E964">
        <f t="shared" si="46"/>
        <v>0</v>
      </c>
      <c r="F964" t="str">
        <f t="shared" si="47"/>
        <v/>
      </c>
    </row>
    <row r="965" spans="1:6" x14ac:dyDescent="0.25">
      <c r="A965" t="s">
        <v>91</v>
      </c>
      <c r="B965" s="1">
        <v>46034</v>
      </c>
      <c r="C965">
        <v>60</v>
      </c>
      <c r="D965" t="str">
        <f t="shared" si="45"/>
        <v/>
      </c>
      <c r="E965">
        <f t="shared" si="46"/>
        <v>1</v>
      </c>
      <c r="F965" t="str">
        <f t="shared" si="47"/>
        <v/>
      </c>
    </row>
    <row r="966" spans="1:6" x14ac:dyDescent="0.25">
      <c r="A966" t="s">
        <v>91</v>
      </c>
      <c r="B966" s="1">
        <v>46041</v>
      </c>
      <c r="C966">
        <v>75</v>
      </c>
      <c r="D966" t="str">
        <f t="shared" si="45"/>
        <v/>
      </c>
      <c r="E966">
        <f t="shared" si="46"/>
        <v>2</v>
      </c>
      <c r="F966" t="str">
        <f t="shared" si="47"/>
        <v/>
      </c>
    </row>
    <row r="967" spans="1:6" x14ac:dyDescent="0.25">
      <c r="A967" t="s">
        <v>91</v>
      </c>
      <c r="B967" s="1">
        <v>46048</v>
      </c>
      <c r="C967">
        <v>46</v>
      </c>
      <c r="D967" t="str">
        <f t="shared" si="45"/>
        <v/>
      </c>
      <c r="E967">
        <f t="shared" si="46"/>
        <v>3</v>
      </c>
      <c r="F967" t="str">
        <f t="shared" si="47"/>
        <v/>
      </c>
    </row>
    <row r="968" spans="1:6" x14ac:dyDescent="0.25">
      <c r="A968" t="s">
        <v>91</v>
      </c>
      <c r="B968" s="1">
        <v>46055</v>
      </c>
      <c r="C968">
        <v>71</v>
      </c>
      <c r="D968" t="str">
        <f t="shared" si="45"/>
        <v/>
      </c>
      <c r="E968">
        <f t="shared" si="46"/>
        <v>4</v>
      </c>
      <c r="F968" t="str">
        <f t="shared" si="47"/>
        <v/>
      </c>
    </row>
    <row r="969" spans="1:6" x14ac:dyDescent="0.25">
      <c r="A969" t="s">
        <v>91</v>
      </c>
      <c r="B969" s="1">
        <v>46062</v>
      </c>
      <c r="C969">
        <v>67</v>
      </c>
      <c r="D969">
        <f t="shared" si="45"/>
        <v>66.400000000000006</v>
      </c>
      <c r="E969">
        <f t="shared" si="46"/>
        <v>5</v>
      </c>
      <c r="F969">
        <f t="shared" si="47"/>
        <v>8.9552238805969304E-3</v>
      </c>
    </row>
    <row r="970" spans="1:6" x14ac:dyDescent="0.25">
      <c r="A970" t="s">
        <v>91</v>
      </c>
      <c r="B970" s="1">
        <v>46069</v>
      </c>
      <c r="C970">
        <v>65</v>
      </c>
      <c r="D970">
        <f t="shared" si="45"/>
        <v>63.8</v>
      </c>
      <c r="E970">
        <f t="shared" si="46"/>
        <v>5</v>
      </c>
      <c r="F970">
        <f t="shared" si="47"/>
        <v>1.8461538461538505E-2</v>
      </c>
    </row>
    <row r="971" spans="1:6" x14ac:dyDescent="0.25">
      <c r="A971" t="s">
        <v>91</v>
      </c>
      <c r="B971" s="1">
        <v>46076</v>
      </c>
      <c r="C971">
        <v>64</v>
      </c>
      <c r="D971">
        <f t="shared" si="45"/>
        <v>64.8</v>
      </c>
      <c r="E971">
        <f t="shared" si="46"/>
        <v>5</v>
      </c>
      <c r="F971">
        <f t="shared" si="47"/>
        <v>1.2499999999999956E-2</v>
      </c>
    </row>
    <row r="972" spans="1:6" x14ac:dyDescent="0.25">
      <c r="A972" t="s">
        <v>91</v>
      </c>
      <c r="B972" s="1">
        <v>46083</v>
      </c>
      <c r="C972">
        <v>68</v>
      </c>
      <c r="D972">
        <f t="shared" si="45"/>
        <v>62.6</v>
      </c>
      <c r="E972">
        <f t="shared" si="46"/>
        <v>5</v>
      </c>
      <c r="F972">
        <f t="shared" si="47"/>
        <v>7.9411764705882334E-2</v>
      </c>
    </row>
    <row r="973" spans="1:6" x14ac:dyDescent="0.25">
      <c r="A973" t="s">
        <v>91</v>
      </c>
      <c r="B973" s="1">
        <v>46090</v>
      </c>
      <c r="C973">
        <v>65</v>
      </c>
      <c r="D973">
        <f t="shared" si="45"/>
        <v>67</v>
      </c>
      <c r="E973">
        <f t="shared" si="46"/>
        <v>5</v>
      </c>
      <c r="F973">
        <f t="shared" si="47"/>
        <v>3.0769230769230771E-2</v>
      </c>
    </row>
    <row r="974" spans="1:6" x14ac:dyDescent="0.25">
      <c r="A974" t="s">
        <v>91</v>
      </c>
      <c r="B974" s="1">
        <v>46097</v>
      </c>
      <c r="C974">
        <v>49</v>
      </c>
      <c r="D974">
        <f t="shared" si="45"/>
        <v>65.8</v>
      </c>
      <c r="E974">
        <f t="shared" si="46"/>
        <v>5</v>
      </c>
      <c r="F974">
        <f t="shared" si="47"/>
        <v>0.3428571428571428</v>
      </c>
    </row>
    <row r="975" spans="1:6" x14ac:dyDescent="0.25">
      <c r="A975" t="s">
        <v>91</v>
      </c>
      <c r="B975" s="1">
        <v>46104</v>
      </c>
      <c r="C975">
        <v>68</v>
      </c>
      <c r="D975">
        <f t="shared" si="45"/>
        <v>62.2</v>
      </c>
      <c r="E975">
        <f t="shared" si="46"/>
        <v>5</v>
      </c>
      <c r="F975">
        <f t="shared" si="47"/>
        <v>8.5294117647058784E-2</v>
      </c>
    </row>
    <row r="976" spans="1:6" x14ac:dyDescent="0.25">
      <c r="A976" t="s">
        <v>91</v>
      </c>
      <c r="B976" s="1">
        <v>46111</v>
      </c>
      <c r="C976">
        <v>69</v>
      </c>
      <c r="D976">
        <f t="shared" si="45"/>
        <v>62.8</v>
      </c>
      <c r="E976">
        <f t="shared" si="46"/>
        <v>5</v>
      </c>
      <c r="F976">
        <f t="shared" si="47"/>
        <v>8.9855072463768157E-2</v>
      </c>
    </row>
    <row r="977" spans="1:6" x14ac:dyDescent="0.25">
      <c r="A977" t="s">
        <v>91</v>
      </c>
      <c r="B977" s="1">
        <v>46118</v>
      </c>
      <c r="C977">
        <v>70</v>
      </c>
      <c r="D977">
        <f t="shared" si="45"/>
        <v>63.8</v>
      </c>
      <c r="E977">
        <f t="shared" si="46"/>
        <v>5</v>
      </c>
      <c r="F977">
        <f t="shared" si="47"/>
        <v>8.8571428571428606E-2</v>
      </c>
    </row>
    <row r="978" spans="1:6" x14ac:dyDescent="0.25">
      <c r="A978" t="s">
        <v>91</v>
      </c>
      <c r="B978" s="1">
        <v>46125</v>
      </c>
      <c r="C978">
        <v>65</v>
      </c>
      <c r="D978">
        <f t="shared" si="45"/>
        <v>64.2</v>
      </c>
      <c r="E978">
        <f t="shared" si="46"/>
        <v>5</v>
      </c>
      <c r="F978">
        <f t="shared" si="47"/>
        <v>1.2307692307692264E-2</v>
      </c>
    </row>
    <row r="979" spans="1:6" x14ac:dyDescent="0.25">
      <c r="A979" t="s">
        <v>91</v>
      </c>
      <c r="B979" s="1">
        <v>46132</v>
      </c>
      <c r="C979">
        <v>77</v>
      </c>
      <c r="D979">
        <f t="shared" si="45"/>
        <v>64.2</v>
      </c>
      <c r="E979">
        <f t="shared" si="46"/>
        <v>5</v>
      </c>
      <c r="F979">
        <f t="shared" si="47"/>
        <v>0.16623376623376621</v>
      </c>
    </row>
    <row r="980" spans="1:6" x14ac:dyDescent="0.25">
      <c r="A980" t="s">
        <v>91</v>
      </c>
      <c r="B980" s="1">
        <v>46139</v>
      </c>
      <c r="C980">
        <v>88</v>
      </c>
      <c r="D980">
        <f t="shared" si="45"/>
        <v>69.8</v>
      </c>
      <c r="E980">
        <f t="shared" si="46"/>
        <v>5</v>
      </c>
      <c r="F980">
        <f t="shared" si="47"/>
        <v>0.20681818181818185</v>
      </c>
    </row>
    <row r="981" spans="1:6" x14ac:dyDescent="0.25">
      <c r="A981" t="s">
        <v>91</v>
      </c>
      <c r="B981" s="1">
        <v>46146</v>
      </c>
      <c r="C981">
        <v>77</v>
      </c>
      <c r="D981">
        <f t="shared" si="45"/>
        <v>73.8</v>
      </c>
      <c r="E981">
        <f t="shared" si="46"/>
        <v>5</v>
      </c>
      <c r="F981">
        <f t="shared" si="47"/>
        <v>4.1558441558441593E-2</v>
      </c>
    </row>
    <row r="982" spans="1:6" x14ac:dyDescent="0.25">
      <c r="A982" t="s">
        <v>91</v>
      </c>
      <c r="B982" s="1">
        <v>46153</v>
      </c>
      <c r="C982">
        <v>75</v>
      </c>
      <c r="D982">
        <f t="shared" si="45"/>
        <v>75.400000000000006</v>
      </c>
      <c r="E982">
        <f t="shared" si="46"/>
        <v>5</v>
      </c>
      <c r="F982">
        <f t="shared" si="47"/>
        <v>5.3333333333334095E-3</v>
      </c>
    </row>
    <row r="983" spans="1:6" x14ac:dyDescent="0.25">
      <c r="A983" t="s">
        <v>91</v>
      </c>
      <c r="B983" s="1">
        <v>46160</v>
      </c>
      <c r="C983">
        <v>97</v>
      </c>
      <c r="D983">
        <f t="shared" si="45"/>
        <v>76.400000000000006</v>
      </c>
      <c r="E983">
        <f t="shared" si="46"/>
        <v>5</v>
      </c>
      <c r="F983">
        <f t="shared" si="47"/>
        <v>0.2123711340206185</v>
      </c>
    </row>
    <row r="984" spans="1:6" x14ac:dyDescent="0.25">
      <c r="A984" t="s">
        <v>91</v>
      </c>
      <c r="B984" s="1">
        <v>46167</v>
      </c>
      <c r="C984">
        <v>93</v>
      </c>
      <c r="D984">
        <f t="shared" si="45"/>
        <v>82.8</v>
      </c>
      <c r="E984">
        <f t="shared" si="46"/>
        <v>5</v>
      </c>
      <c r="F984">
        <f t="shared" si="47"/>
        <v>0.10967741935483874</v>
      </c>
    </row>
    <row r="985" spans="1:6" x14ac:dyDescent="0.25">
      <c r="A985" t="s">
        <v>91</v>
      </c>
      <c r="B985" s="1">
        <v>46174</v>
      </c>
      <c r="C985">
        <v>94</v>
      </c>
      <c r="D985">
        <f t="shared" si="45"/>
        <v>86</v>
      </c>
      <c r="E985">
        <f t="shared" si="46"/>
        <v>5</v>
      </c>
      <c r="F985">
        <f t="shared" si="47"/>
        <v>8.5106382978723402E-2</v>
      </c>
    </row>
    <row r="986" spans="1:6" x14ac:dyDescent="0.25">
      <c r="A986" t="s">
        <v>91</v>
      </c>
      <c r="B986" s="1">
        <v>46181</v>
      </c>
      <c r="C986">
        <v>97</v>
      </c>
      <c r="D986">
        <f t="shared" si="45"/>
        <v>87.2</v>
      </c>
      <c r="E986">
        <f t="shared" si="46"/>
        <v>5</v>
      </c>
      <c r="F986">
        <f t="shared" si="47"/>
        <v>0.10103092783505152</v>
      </c>
    </row>
    <row r="987" spans="1:6" x14ac:dyDescent="0.25">
      <c r="A987" t="s">
        <v>91</v>
      </c>
      <c r="B987" s="1">
        <v>46188</v>
      </c>
      <c r="C987">
        <v>81</v>
      </c>
      <c r="D987">
        <f t="shared" si="45"/>
        <v>91.2</v>
      </c>
      <c r="E987">
        <f t="shared" si="46"/>
        <v>5</v>
      </c>
      <c r="F987">
        <f t="shared" si="47"/>
        <v>0.12592592592592597</v>
      </c>
    </row>
    <row r="988" spans="1:6" x14ac:dyDescent="0.25">
      <c r="A988" t="s">
        <v>91</v>
      </c>
      <c r="B988" s="1">
        <v>46195</v>
      </c>
      <c r="C988">
        <v>85</v>
      </c>
      <c r="D988">
        <f t="shared" si="45"/>
        <v>92.4</v>
      </c>
      <c r="E988">
        <f t="shared" si="46"/>
        <v>5</v>
      </c>
      <c r="F988">
        <f t="shared" si="47"/>
        <v>8.7058823529411827E-2</v>
      </c>
    </row>
    <row r="989" spans="1:6" x14ac:dyDescent="0.25">
      <c r="A989" t="s">
        <v>91</v>
      </c>
      <c r="B989" s="1">
        <v>46202</v>
      </c>
      <c r="C989">
        <v>99</v>
      </c>
      <c r="D989">
        <f t="shared" si="45"/>
        <v>90</v>
      </c>
      <c r="E989">
        <f t="shared" si="46"/>
        <v>5</v>
      </c>
      <c r="F989">
        <f t="shared" si="47"/>
        <v>9.0909090909090912E-2</v>
      </c>
    </row>
    <row r="990" spans="1:6" x14ac:dyDescent="0.25">
      <c r="A990" t="s">
        <v>93</v>
      </c>
      <c r="B990" s="1">
        <v>46027</v>
      </c>
      <c r="C990">
        <v>33</v>
      </c>
      <c r="D990" t="str">
        <f t="shared" si="45"/>
        <v/>
      </c>
      <c r="E990">
        <f t="shared" si="46"/>
        <v>0</v>
      </c>
      <c r="F990" t="str">
        <f t="shared" si="47"/>
        <v/>
      </c>
    </row>
    <row r="991" spans="1:6" x14ac:dyDescent="0.25">
      <c r="A991" t="s">
        <v>93</v>
      </c>
      <c r="B991" s="1">
        <v>46034</v>
      </c>
      <c r="C991">
        <v>104</v>
      </c>
      <c r="D991" t="str">
        <f t="shared" si="45"/>
        <v/>
      </c>
      <c r="E991">
        <f t="shared" si="46"/>
        <v>1</v>
      </c>
      <c r="F991" t="str">
        <f t="shared" si="47"/>
        <v/>
      </c>
    </row>
    <row r="992" spans="1:6" x14ac:dyDescent="0.25">
      <c r="A992" t="s">
        <v>93</v>
      </c>
      <c r="B992" s="1">
        <v>46041</v>
      </c>
      <c r="C992">
        <v>160</v>
      </c>
      <c r="D992" t="str">
        <f t="shared" si="45"/>
        <v/>
      </c>
      <c r="E992">
        <f t="shared" si="46"/>
        <v>2</v>
      </c>
      <c r="F992" t="str">
        <f t="shared" si="47"/>
        <v/>
      </c>
    </row>
    <row r="993" spans="1:6" x14ac:dyDescent="0.25">
      <c r="A993" t="s">
        <v>93</v>
      </c>
      <c r="B993" s="1">
        <v>46048</v>
      </c>
      <c r="C993">
        <v>21</v>
      </c>
      <c r="D993" t="str">
        <f t="shared" si="45"/>
        <v/>
      </c>
      <c r="E993">
        <f t="shared" si="46"/>
        <v>3</v>
      </c>
      <c r="F993" t="str">
        <f t="shared" si="47"/>
        <v/>
      </c>
    </row>
    <row r="994" spans="1:6" x14ac:dyDescent="0.25">
      <c r="A994" t="s">
        <v>93</v>
      </c>
      <c r="B994" s="1">
        <v>46055</v>
      </c>
      <c r="C994">
        <v>56</v>
      </c>
      <c r="D994" t="str">
        <f t="shared" si="45"/>
        <v/>
      </c>
      <c r="E994">
        <f t="shared" si="46"/>
        <v>4</v>
      </c>
      <c r="F994" t="str">
        <f t="shared" si="47"/>
        <v/>
      </c>
    </row>
    <row r="995" spans="1:6" x14ac:dyDescent="0.25">
      <c r="A995" t="s">
        <v>93</v>
      </c>
      <c r="B995" s="1">
        <v>46062</v>
      </c>
      <c r="C995">
        <v>72</v>
      </c>
      <c r="D995">
        <f t="shared" si="45"/>
        <v>74.8</v>
      </c>
      <c r="E995">
        <f t="shared" si="46"/>
        <v>5</v>
      </c>
      <c r="F995">
        <f t="shared" si="47"/>
        <v>3.8888888888888848E-2</v>
      </c>
    </row>
    <row r="996" spans="1:6" x14ac:dyDescent="0.25">
      <c r="A996" t="s">
        <v>93</v>
      </c>
      <c r="B996" s="1">
        <v>46069</v>
      </c>
      <c r="C996">
        <v>83</v>
      </c>
      <c r="D996">
        <f t="shared" si="45"/>
        <v>82.6</v>
      </c>
      <c r="E996">
        <f t="shared" si="46"/>
        <v>5</v>
      </c>
      <c r="F996">
        <f t="shared" si="47"/>
        <v>4.819277108433803E-3</v>
      </c>
    </row>
    <row r="997" spans="1:6" x14ac:dyDescent="0.25">
      <c r="A997" t="s">
        <v>93</v>
      </c>
      <c r="B997" s="1">
        <v>46076</v>
      </c>
      <c r="C997">
        <v>18</v>
      </c>
      <c r="D997">
        <f t="shared" si="45"/>
        <v>78.400000000000006</v>
      </c>
      <c r="E997">
        <f t="shared" si="46"/>
        <v>5</v>
      </c>
      <c r="F997">
        <f t="shared" si="47"/>
        <v>3.3555555555555561</v>
      </c>
    </row>
    <row r="998" spans="1:6" x14ac:dyDescent="0.25">
      <c r="A998" t="s">
        <v>93</v>
      </c>
      <c r="B998" s="1">
        <v>46083</v>
      </c>
      <c r="C998">
        <v>81</v>
      </c>
      <c r="D998">
        <f t="shared" si="45"/>
        <v>50</v>
      </c>
      <c r="E998">
        <f t="shared" si="46"/>
        <v>5</v>
      </c>
      <c r="F998">
        <f t="shared" si="47"/>
        <v>0.38271604938271603</v>
      </c>
    </row>
    <row r="999" spans="1:6" x14ac:dyDescent="0.25">
      <c r="A999" t="s">
        <v>93</v>
      </c>
      <c r="B999" s="1">
        <v>46090</v>
      </c>
      <c r="C999">
        <v>141</v>
      </c>
      <c r="D999">
        <f t="shared" si="45"/>
        <v>62</v>
      </c>
      <c r="E999">
        <f t="shared" si="46"/>
        <v>5</v>
      </c>
      <c r="F999">
        <f t="shared" si="47"/>
        <v>0.56028368794326244</v>
      </c>
    </row>
    <row r="1000" spans="1:6" x14ac:dyDescent="0.25">
      <c r="A1000" t="s">
        <v>93</v>
      </c>
      <c r="B1000" s="1">
        <v>46097</v>
      </c>
      <c r="C1000">
        <v>83</v>
      </c>
      <c r="D1000">
        <f t="shared" si="45"/>
        <v>79</v>
      </c>
      <c r="E1000">
        <f t="shared" si="46"/>
        <v>5</v>
      </c>
      <c r="F1000">
        <f t="shared" si="47"/>
        <v>4.8192771084337352E-2</v>
      </c>
    </row>
    <row r="1001" spans="1:6" x14ac:dyDescent="0.25">
      <c r="A1001" t="s">
        <v>93</v>
      </c>
      <c r="B1001" s="1">
        <v>46104</v>
      </c>
      <c r="C1001">
        <v>66</v>
      </c>
      <c r="D1001">
        <f t="shared" si="45"/>
        <v>81.2</v>
      </c>
      <c r="E1001">
        <f t="shared" si="46"/>
        <v>5</v>
      </c>
      <c r="F1001">
        <f t="shared" si="47"/>
        <v>0.23030303030303034</v>
      </c>
    </row>
    <row r="1002" spans="1:6" x14ac:dyDescent="0.25">
      <c r="A1002" t="s">
        <v>93</v>
      </c>
      <c r="B1002" s="1">
        <v>46111</v>
      </c>
      <c r="C1002">
        <v>54</v>
      </c>
      <c r="D1002">
        <f t="shared" si="45"/>
        <v>77.8</v>
      </c>
      <c r="E1002">
        <f t="shared" si="46"/>
        <v>5</v>
      </c>
      <c r="F1002">
        <f t="shared" si="47"/>
        <v>0.44074074074074071</v>
      </c>
    </row>
    <row r="1003" spans="1:6" x14ac:dyDescent="0.25">
      <c r="A1003" t="s">
        <v>93</v>
      </c>
      <c r="B1003" s="1">
        <v>46118</v>
      </c>
      <c r="C1003">
        <v>134</v>
      </c>
      <c r="D1003">
        <f t="shared" si="45"/>
        <v>85</v>
      </c>
      <c r="E1003">
        <f t="shared" si="46"/>
        <v>5</v>
      </c>
      <c r="F1003">
        <f t="shared" si="47"/>
        <v>0.36567164179104478</v>
      </c>
    </row>
    <row r="1004" spans="1:6" x14ac:dyDescent="0.25">
      <c r="A1004" t="s">
        <v>93</v>
      </c>
      <c r="B1004" s="1">
        <v>46125</v>
      </c>
      <c r="C1004">
        <v>36</v>
      </c>
      <c r="D1004">
        <f t="shared" si="45"/>
        <v>95.6</v>
      </c>
      <c r="E1004">
        <f t="shared" si="46"/>
        <v>5</v>
      </c>
      <c r="F1004">
        <f t="shared" si="47"/>
        <v>1.6555555555555554</v>
      </c>
    </row>
    <row r="1005" spans="1:6" x14ac:dyDescent="0.25">
      <c r="A1005" t="s">
        <v>93</v>
      </c>
      <c r="B1005" s="1">
        <v>46132</v>
      </c>
      <c r="C1005">
        <v>169</v>
      </c>
      <c r="D1005">
        <f t="shared" si="45"/>
        <v>74.599999999999994</v>
      </c>
      <c r="E1005">
        <f t="shared" si="46"/>
        <v>5</v>
      </c>
      <c r="F1005">
        <f t="shared" si="47"/>
        <v>0.55857988165680472</v>
      </c>
    </row>
    <row r="1006" spans="1:6" x14ac:dyDescent="0.25">
      <c r="A1006" t="s">
        <v>93</v>
      </c>
      <c r="B1006" s="1">
        <v>46139</v>
      </c>
      <c r="C1006">
        <v>84</v>
      </c>
      <c r="D1006">
        <f t="shared" si="45"/>
        <v>91.8</v>
      </c>
      <c r="E1006">
        <f t="shared" si="46"/>
        <v>5</v>
      </c>
      <c r="F1006">
        <f t="shared" si="47"/>
        <v>9.2857142857142819E-2</v>
      </c>
    </row>
    <row r="1007" spans="1:6" x14ac:dyDescent="0.25">
      <c r="A1007" t="s">
        <v>93</v>
      </c>
      <c r="B1007" s="1">
        <v>46146</v>
      </c>
      <c r="C1007">
        <v>150</v>
      </c>
      <c r="D1007">
        <f t="shared" si="45"/>
        <v>95.4</v>
      </c>
      <c r="E1007">
        <f t="shared" si="46"/>
        <v>5</v>
      </c>
      <c r="F1007">
        <f t="shared" si="47"/>
        <v>0.36399999999999993</v>
      </c>
    </row>
    <row r="1008" spans="1:6" x14ac:dyDescent="0.25">
      <c r="A1008" t="s">
        <v>93</v>
      </c>
      <c r="B1008" s="1">
        <v>46153</v>
      </c>
      <c r="C1008">
        <v>108</v>
      </c>
      <c r="D1008">
        <f t="shared" si="45"/>
        <v>114.6</v>
      </c>
      <c r="E1008">
        <f t="shared" si="46"/>
        <v>5</v>
      </c>
      <c r="F1008">
        <f t="shared" si="47"/>
        <v>6.1111111111111061E-2</v>
      </c>
    </row>
    <row r="1009" spans="1:6" x14ac:dyDescent="0.25">
      <c r="A1009" t="s">
        <v>93</v>
      </c>
      <c r="B1009" s="1">
        <v>46160</v>
      </c>
      <c r="C1009">
        <v>94</v>
      </c>
      <c r="D1009">
        <f t="shared" si="45"/>
        <v>109.4</v>
      </c>
      <c r="E1009">
        <f t="shared" si="46"/>
        <v>5</v>
      </c>
      <c r="F1009">
        <f t="shared" si="47"/>
        <v>0.16382978723404262</v>
      </c>
    </row>
    <row r="1010" spans="1:6" x14ac:dyDescent="0.25">
      <c r="A1010" t="s">
        <v>93</v>
      </c>
      <c r="B1010" s="1">
        <v>46167</v>
      </c>
      <c r="C1010">
        <v>91</v>
      </c>
      <c r="D1010">
        <f t="shared" si="45"/>
        <v>121</v>
      </c>
      <c r="E1010">
        <f t="shared" si="46"/>
        <v>5</v>
      </c>
      <c r="F1010">
        <f t="shared" si="47"/>
        <v>0.32967032967032966</v>
      </c>
    </row>
    <row r="1011" spans="1:6" x14ac:dyDescent="0.25">
      <c r="A1011" t="s">
        <v>93</v>
      </c>
      <c r="B1011" s="1">
        <v>46174</v>
      </c>
      <c r="C1011">
        <v>131</v>
      </c>
      <c r="D1011">
        <f t="shared" si="45"/>
        <v>105.4</v>
      </c>
      <c r="E1011">
        <f t="shared" si="46"/>
        <v>5</v>
      </c>
      <c r="F1011">
        <f t="shared" si="47"/>
        <v>0.19541984732824424</v>
      </c>
    </row>
    <row r="1012" spans="1:6" x14ac:dyDescent="0.25">
      <c r="A1012" t="s">
        <v>93</v>
      </c>
      <c r="B1012" s="1">
        <v>46181</v>
      </c>
      <c r="C1012">
        <v>0</v>
      </c>
      <c r="D1012">
        <f t="shared" si="45"/>
        <v>114.8</v>
      </c>
      <c r="E1012">
        <f t="shared" si="46"/>
        <v>5</v>
      </c>
      <c r="F1012" t="str">
        <f t="shared" si="47"/>
        <v/>
      </c>
    </row>
    <row r="1013" spans="1:6" x14ac:dyDescent="0.25">
      <c r="A1013" t="s">
        <v>93</v>
      </c>
      <c r="B1013" s="1">
        <v>46188</v>
      </c>
      <c r="C1013">
        <v>75</v>
      </c>
      <c r="D1013">
        <f t="shared" si="45"/>
        <v>84.8</v>
      </c>
      <c r="E1013">
        <f t="shared" si="46"/>
        <v>5</v>
      </c>
      <c r="F1013">
        <f t="shared" si="47"/>
        <v>0.13066666666666663</v>
      </c>
    </row>
    <row r="1014" spans="1:6" x14ac:dyDescent="0.25">
      <c r="A1014" t="s">
        <v>93</v>
      </c>
      <c r="B1014" s="1">
        <v>46195</v>
      </c>
      <c r="C1014">
        <v>29</v>
      </c>
      <c r="D1014">
        <f t="shared" si="45"/>
        <v>78.2</v>
      </c>
      <c r="E1014">
        <f t="shared" si="46"/>
        <v>5</v>
      </c>
      <c r="F1014">
        <f t="shared" si="47"/>
        <v>1.6965517241379311</v>
      </c>
    </row>
    <row r="1015" spans="1:6" x14ac:dyDescent="0.25">
      <c r="A1015" t="s">
        <v>93</v>
      </c>
      <c r="B1015" s="1">
        <v>46202</v>
      </c>
      <c r="C1015">
        <v>172</v>
      </c>
      <c r="D1015">
        <f t="shared" si="45"/>
        <v>65.2</v>
      </c>
      <c r="E1015">
        <f t="shared" si="46"/>
        <v>5</v>
      </c>
      <c r="F1015">
        <f t="shared" si="47"/>
        <v>0.62093023255813951</v>
      </c>
    </row>
    <row r="1016" spans="1:6" x14ac:dyDescent="0.25">
      <c r="A1016" t="s">
        <v>95</v>
      </c>
      <c r="B1016" s="1">
        <v>46027</v>
      </c>
      <c r="C1016">
        <v>36</v>
      </c>
      <c r="D1016" t="str">
        <f t="shared" si="45"/>
        <v/>
      </c>
      <c r="E1016">
        <f t="shared" si="46"/>
        <v>0</v>
      </c>
      <c r="F1016" t="str">
        <f t="shared" si="47"/>
        <v/>
      </c>
    </row>
    <row r="1017" spans="1:6" x14ac:dyDescent="0.25">
      <c r="A1017" t="s">
        <v>95</v>
      </c>
      <c r="B1017" s="1">
        <v>46034</v>
      </c>
      <c r="C1017">
        <v>44</v>
      </c>
      <c r="D1017" t="str">
        <f t="shared" si="45"/>
        <v/>
      </c>
      <c r="E1017">
        <f t="shared" si="46"/>
        <v>1</v>
      </c>
      <c r="F1017" t="str">
        <f t="shared" si="47"/>
        <v/>
      </c>
    </row>
    <row r="1018" spans="1:6" x14ac:dyDescent="0.25">
      <c r="A1018" t="s">
        <v>95</v>
      </c>
      <c r="B1018" s="1">
        <v>46041</v>
      </c>
      <c r="C1018">
        <v>31</v>
      </c>
      <c r="D1018" t="str">
        <f t="shared" si="45"/>
        <v/>
      </c>
      <c r="E1018">
        <f t="shared" si="46"/>
        <v>2</v>
      </c>
      <c r="F1018" t="str">
        <f t="shared" si="47"/>
        <v/>
      </c>
    </row>
    <row r="1019" spans="1:6" x14ac:dyDescent="0.25">
      <c r="A1019" t="s">
        <v>95</v>
      </c>
      <c r="B1019" s="1">
        <v>46048</v>
      </c>
      <c r="C1019">
        <v>37</v>
      </c>
      <c r="D1019" t="str">
        <f t="shared" si="45"/>
        <v/>
      </c>
      <c r="E1019">
        <f t="shared" si="46"/>
        <v>3</v>
      </c>
      <c r="F1019" t="str">
        <f t="shared" si="47"/>
        <v/>
      </c>
    </row>
    <row r="1020" spans="1:6" x14ac:dyDescent="0.25">
      <c r="A1020" t="s">
        <v>95</v>
      </c>
      <c r="B1020" s="1">
        <v>46055</v>
      </c>
      <c r="C1020">
        <v>42</v>
      </c>
      <c r="D1020" t="str">
        <f t="shared" si="45"/>
        <v/>
      </c>
      <c r="E1020">
        <f t="shared" si="46"/>
        <v>4</v>
      </c>
      <c r="F1020" t="str">
        <f t="shared" si="47"/>
        <v/>
      </c>
    </row>
    <row r="1021" spans="1:6" x14ac:dyDescent="0.25">
      <c r="A1021" t="s">
        <v>95</v>
      </c>
      <c r="B1021" s="1">
        <v>46062</v>
      </c>
      <c r="C1021">
        <v>37</v>
      </c>
      <c r="D1021">
        <f t="shared" si="45"/>
        <v>38</v>
      </c>
      <c r="E1021">
        <f t="shared" si="46"/>
        <v>5</v>
      </c>
      <c r="F1021">
        <f t="shared" si="47"/>
        <v>2.7027027027027029E-2</v>
      </c>
    </row>
    <row r="1022" spans="1:6" x14ac:dyDescent="0.25">
      <c r="A1022" t="s">
        <v>95</v>
      </c>
      <c r="B1022" s="1">
        <v>46069</v>
      </c>
      <c r="C1022">
        <v>38</v>
      </c>
      <c r="D1022">
        <f t="shared" si="45"/>
        <v>38.200000000000003</v>
      </c>
      <c r="E1022">
        <f t="shared" si="46"/>
        <v>5</v>
      </c>
      <c r="F1022">
        <f t="shared" si="47"/>
        <v>5.2631578947369166E-3</v>
      </c>
    </row>
    <row r="1023" spans="1:6" x14ac:dyDescent="0.25">
      <c r="A1023" t="s">
        <v>95</v>
      </c>
      <c r="B1023" s="1">
        <v>46076</v>
      </c>
      <c r="C1023">
        <v>35</v>
      </c>
      <c r="D1023">
        <f t="shared" si="45"/>
        <v>37</v>
      </c>
      <c r="E1023">
        <f t="shared" si="46"/>
        <v>5</v>
      </c>
      <c r="F1023">
        <f t="shared" si="47"/>
        <v>5.7142857142857141E-2</v>
      </c>
    </row>
    <row r="1024" spans="1:6" x14ac:dyDescent="0.25">
      <c r="A1024" t="s">
        <v>95</v>
      </c>
      <c r="B1024" s="1">
        <v>46083</v>
      </c>
      <c r="C1024">
        <v>51</v>
      </c>
      <c r="D1024">
        <f t="shared" si="45"/>
        <v>37.799999999999997</v>
      </c>
      <c r="E1024">
        <f t="shared" si="46"/>
        <v>5</v>
      </c>
      <c r="F1024">
        <f t="shared" si="47"/>
        <v>0.25882352941176479</v>
      </c>
    </row>
    <row r="1025" spans="1:6" x14ac:dyDescent="0.25">
      <c r="A1025" t="s">
        <v>95</v>
      </c>
      <c r="B1025" s="1">
        <v>46090</v>
      </c>
      <c r="C1025">
        <v>45</v>
      </c>
      <c r="D1025">
        <f t="shared" si="45"/>
        <v>40.6</v>
      </c>
      <c r="E1025">
        <f t="shared" si="46"/>
        <v>5</v>
      </c>
      <c r="F1025">
        <f t="shared" si="47"/>
        <v>9.7777777777777741E-2</v>
      </c>
    </row>
    <row r="1026" spans="1:6" x14ac:dyDescent="0.25">
      <c r="A1026" t="s">
        <v>95</v>
      </c>
      <c r="B1026" s="1">
        <v>46097</v>
      </c>
      <c r="C1026">
        <v>38</v>
      </c>
      <c r="D1026">
        <f t="shared" ref="D1026:D1089" si="48">IF(E1026 &lt; 5, "", AVERAGEIFS(C:C, A:A, A1026, B:B, "&gt;=" &amp; (B1026-35), B:B, "&lt;=" &amp; (B1026-7)))</f>
        <v>41.2</v>
      </c>
      <c r="E1026">
        <f t="shared" ref="E1026:E1089" si="49">COUNTIFS(A:A, A1026, B:B, "&gt;=" &amp; (B1026-35), B:B, "&lt;=" &amp; (B1026-7))</f>
        <v>5</v>
      </c>
      <c r="F1026">
        <f t="shared" ref="F1026:F1089" si="50">IF(OR(C1026=0, D1026=""), "", ABS(C1026 - D1026) / C1026)</f>
        <v>8.4210526315789555E-2</v>
      </c>
    </row>
    <row r="1027" spans="1:6" x14ac:dyDescent="0.25">
      <c r="A1027" t="s">
        <v>95</v>
      </c>
      <c r="B1027" s="1">
        <v>46104</v>
      </c>
      <c r="C1027">
        <v>41</v>
      </c>
      <c r="D1027">
        <f t="shared" si="48"/>
        <v>41.4</v>
      </c>
      <c r="E1027">
        <f t="shared" si="49"/>
        <v>5</v>
      </c>
      <c r="F1027">
        <f t="shared" si="50"/>
        <v>9.7560975609755751E-3</v>
      </c>
    </row>
    <row r="1028" spans="1:6" x14ac:dyDescent="0.25">
      <c r="A1028" t="s">
        <v>95</v>
      </c>
      <c r="B1028" s="1">
        <v>46111</v>
      </c>
      <c r="C1028">
        <v>35</v>
      </c>
      <c r="D1028">
        <f t="shared" si="48"/>
        <v>42</v>
      </c>
      <c r="E1028">
        <f t="shared" si="49"/>
        <v>5</v>
      </c>
      <c r="F1028">
        <f t="shared" si="50"/>
        <v>0.2</v>
      </c>
    </row>
    <row r="1029" spans="1:6" x14ac:dyDescent="0.25">
      <c r="A1029" t="s">
        <v>95</v>
      </c>
      <c r="B1029" s="1">
        <v>46118</v>
      </c>
      <c r="C1029">
        <v>46</v>
      </c>
      <c r="D1029">
        <f t="shared" si="48"/>
        <v>42</v>
      </c>
      <c r="E1029">
        <f t="shared" si="49"/>
        <v>5</v>
      </c>
      <c r="F1029">
        <f t="shared" si="50"/>
        <v>8.6956521739130432E-2</v>
      </c>
    </row>
    <row r="1030" spans="1:6" x14ac:dyDescent="0.25">
      <c r="A1030" t="s">
        <v>95</v>
      </c>
      <c r="B1030" s="1">
        <v>46125</v>
      </c>
      <c r="C1030">
        <v>41</v>
      </c>
      <c r="D1030">
        <f t="shared" si="48"/>
        <v>41</v>
      </c>
      <c r="E1030">
        <f t="shared" si="49"/>
        <v>5</v>
      </c>
      <c r="F1030">
        <f t="shared" si="50"/>
        <v>0</v>
      </c>
    </row>
    <row r="1031" spans="1:6" x14ac:dyDescent="0.25">
      <c r="A1031" t="s">
        <v>95</v>
      </c>
      <c r="B1031" s="1">
        <v>46132</v>
      </c>
      <c r="C1031">
        <v>39</v>
      </c>
      <c r="D1031">
        <f t="shared" si="48"/>
        <v>40.200000000000003</v>
      </c>
      <c r="E1031">
        <f t="shared" si="49"/>
        <v>5</v>
      </c>
      <c r="F1031">
        <f t="shared" si="50"/>
        <v>3.0769230769230844E-2</v>
      </c>
    </row>
    <row r="1032" spans="1:6" x14ac:dyDescent="0.25">
      <c r="A1032" t="s">
        <v>95</v>
      </c>
      <c r="B1032" s="1">
        <v>46139</v>
      </c>
      <c r="C1032">
        <v>45</v>
      </c>
      <c r="D1032">
        <f t="shared" si="48"/>
        <v>40.4</v>
      </c>
      <c r="E1032">
        <f t="shared" si="49"/>
        <v>5</v>
      </c>
      <c r="F1032">
        <f t="shared" si="50"/>
        <v>0.10222222222222226</v>
      </c>
    </row>
    <row r="1033" spans="1:6" x14ac:dyDescent="0.25">
      <c r="A1033" t="s">
        <v>95</v>
      </c>
      <c r="B1033" s="1">
        <v>46146</v>
      </c>
      <c r="C1033">
        <v>59</v>
      </c>
      <c r="D1033">
        <f t="shared" si="48"/>
        <v>41.2</v>
      </c>
      <c r="E1033">
        <f t="shared" si="49"/>
        <v>5</v>
      </c>
      <c r="F1033">
        <f t="shared" si="50"/>
        <v>0.30169491525423725</v>
      </c>
    </row>
    <row r="1034" spans="1:6" x14ac:dyDescent="0.25">
      <c r="A1034" t="s">
        <v>95</v>
      </c>
      <c r="B1034" s="1">
        <v>46153</v>
      </c>
      <c r="C1034">
        <v>43</v>
      </c>
      <c r="D1034">
        <f t="shared" si="48"/>
        <v>46</v>
      </c>
      <c r="E1034">
        <f t="shared" si="49"/>
        <v>5</v>
      </c>
      <c r="F1034">
        <f t="shared" si="50"/>
        <v>6.9767441860465115E-2</v>
      </c>
    </row>
    <row r="1035" spans="1:6" x14ac:dyDescent="0.25">
      <c r="A1035" t="s">
        <v>95</v>
      </c>
      <c r="B1035" s="1">
        <v>46160</v>
      </c>
      <c r="C1035">
        <v>40</v>
      </c>
      <c r="D1035">
        <f t="shared" si="48"/>
        <v>45.4</v>
      </c>
      <c r="E1035">
        <f t="shared" si="49"/>
        <v>5</v>
      </c>
      <c r="F1035">
        <f t="shared" si="50"/>
        <v>0.13499999999999995</v>
      </c>
    </row>
    <row r="1036" spans="1:6" x14ac:dyDescent="0.25">
      <c r="A1036" t="s">
        <v>95</v>
      </c>
      <c r="B1036" s="1">
        <v>46167</v>
      </c>
      <c r="C1036">
        <v>41</v>
      </c>
      <c r="D1036">
        <f t="shared" si="48"/>
        <v>45.2</v>
      </c>
      <c r="E1036">
        <f t="shared" si="49"/>
        <v>5</v>
      </c>
      <c r="F1036">
        <f t="shared" si="50"/>
        <v>0.10243902439024397</v>
      </c>
    </row>
    <row r="1037" spans="1:6" x14ac:dyDescent="0.25">
      <c r="A1037" t="s">
        <v>95</v>
      </c>
      <c r="B1037" s="1">
        <v>46174</v>
      </c>
      <c r="C1037">
        <v>50</v>
      </c>
      <c r="D1037">
        <f t="shared" si="48"/>
        <v>45.6</v>
      </c>
      <c r="E1037">
        <f t="shared" si="49"/>
        <v>5</v>
      </c>
      <c r="F1037">
        <f t="shared" si="50"/>
        <v>8.7999999999999967E-2</v>
      </c>
    </row>
    <row r="1038" spans="1:6" x14ac:dyDescent="0.25">
      <c r="A1038" t="s">
        <v>95</v>
      </c>
      <c r="B1038" s="1">
        <v>46181</v>
      </c>
      <c r="C1038">
        <v>41</v>
      </c>
      <c r="D1038">
        <f t="shared" si="48"/>
        <v>46.6</v>
      </c>
      <c r="E1038">
        <f t="shared" si="49"/>
        <v>5</v>
      </c>
      <c r="F1038">
        <f t="shared" si="50"/>
        <v>0.13658536585365857</v>
      </c>
    </row>
    <row r="1039" spans="1:6" x14ac:dyDescent="0.25">
      <c r="A1039" t="s">
        <v>95</v>
      </c>
      <c r="B1039" s="1">
        <v>46188</v>
      </c>
      <c r="C1039">
        <v>38</v>
      </c>
      <c r="D1039">
        <f t="shared" si="48"/>
        <v>43</v>
      </c>
      <c r="E1039">
        <f t="shared" si="49"/>
        <v>5</v>
      </c>
      <c r="F1039">
        <f t="shared" si="50"/>
        <v>0.13157894736842105</v>
      </c>
    </row>
    <row r="1040" spans="1:6" x14ac:dyDescent="0.25">
      <c r="A1040" t="s">
        <v>95</v>
      </c>
      <c r="B1040" s="1">
        <v>46195</v>
      </c>
      <c r="C1040">
        <v>53</v>
      </c>
      <c r="D1040">
        <f t="shared" si="48"/>
        <v>42</v>
      </c>
      <c r="E1040">
        <f t="shared" si="49"/>
        <v>5</v>
      </c>
      <c r="F1040">
        <f t="shared" si="50"/>
        <v>0.20754716981132076</v>
      </c>
    </row>
    <row r="1041" spans="1:6" x14ac:dyDescent="0.25">
      <c r="A1041" t="s">
        <v>95</v>
      </c>
      <c r="B1041" s="1">
        <v>46202</v>
      </c>
      <c r="C1041">
        <v>37</v>
      </c>
      <c r="D1041">
        <f t="shared" si="48"/>
        <v>44.6</v>
      </c>
      <c r="E1041">
        <f t="shared" si="49"/>
        <v>5</v>
      </c>
      <c r="F1041">
        <f t="shared" si="50"/>
        <v>0.20540540540540544</v>
      </c>
    </row>
    <row r="1042" spans="1:6" x14ac:dyDescent="0.25">
      <c r="A1042" t="s">
        <v>97</v>
      </c>
      <c r="B1042" s="1">
        <v>46027</v>
      </c>
      <c r="C1042">
        <v>91</v>
      </c>
      <c r="D1042" t="str">
        <f t="shared" si="48"/>
        <v/>
      </c>
      <c r="E1042">
        <f t="shared" si="49"/>
        <v>0</v>
      </c>
      <c r="F1042" t="str">
        <f t="shared" si="50"/>
        <v/>
      </c>
    </row>
    <row r="1043" spans="1:6" x14ac:dyDescent="0.25">
      <c r="A1043" t="s">
        <v>97</v>
      </c>
      <c r="B1043" s="1">
        <v>46034</v>
      </c>
      <c r="C1043">
        <v>69</v>
      </c>
      <c r="D1043" t="str">
        <f t="shared" si="48"/>
        <v/>
      </c>
      <c r="E1043">
        <f t="shared" si="49"/>
        <v>1</v>
      </c>
      <c r="F1043" t="str">
        <f t="shared" si="50"/>
        <v/>
      </c>
    </row>
    <row r="1044" spans="1:6" x14ac:dyDescent="0.25">
      <c r="A1044" t="s">
        <v>97</v>
      </c>
      <c r="B1044" s="1">
        <v>46041</v>
      </c>
      <c r="C1044">
        <v>89</v>
      </c>
      <c r="D1044" t="str">
        <f t="shared" si="48"/>
        <v/>
      </c>
      <c r="E1044">
        <f t="shared" si="49"/>
        <v>2</v>
      </c>
      <c r="F1044" t="str">
        <f t="shared" si="50"/>
        <v/>
      </c>
    </row>
    <row r="1045" spans="1:6" x14ac:dyDescent="0.25">
      <c r="A1045" t="s">
        <v>97</v>
      </c>
      <c r="B1045" s="1">
        <v>46048</v>
      </c>
      <c r="C1045">
        <v>84</v>
      </c>
      <c r="D1045" t="str">
        <f t="shared" si="48"/>
        <v/>
      </c>
      <c r="E1045">
        <f t="shared" si="49"/>
        <v>3</v>
      </c>
      <c r="F1045" t="str">
        <f t="shared" si="50"/>
        <v/>
      </c>
    </row>
    <row r="1046" spans="1:6" x14ac:dyDescent="0.25">
      <c r="A1046" t="s">
        <v>97</v>
      </c>
      <c r="B1046" s="1">
        <v>46055</v>
      </c>
      <c r="C1046">
        <v>78</v>
      </c>
      <c r="D1046" t="str">
        <f t="shared" si="48"/>
        <v/>
      </c>
      <c r="E1046">
        <f t="shared" si="49"/>
        <v>4</v>
      </c>
      <c r="F1046" t="str">
        <f t="shared" si="50"/>
        <v/>
      </c>
    </row>
    <row r="1047" spans="1:6" x14ac:dyDescent="0.25">
      <c r="A1047" t="s">
        <v>97</v>
      </c>
      <c r="B1047" s="1">
        <v>46062</v>
      </c>
      <c r="C1047">
        <v>79</v>
      </c>
      <c r="D1047">
        <f t="shared" si="48"/>
        <v>82.2</v>
      </c>
      <c r="E1047">
        <f t="shared" si="49"/>
        <v>5</v>
      </c>
      <c r="F1047">
        <f t="shared" si="50"/>
        <v>4.0506329113924086E-2</v>
      </c>
    </row>
    <row r="1048" spans="1:6" x14ac:dyDescent="0.25">
      <c r="A1048" t="s">
        <v>97</v>
      </c>
      <c r="B1048" s="1">
        <v>46069</v>
      </c>
      <c r="C1048">
        <v>85</v>
      </c>
      <c r="D1048">
        <f t="shared" si="48"/>
        <v>79.8</v>
      </c>
      <c r="E1048">
        <f t="shared" si="49"/>
        <v>5</v>
      </c>
      <c r="F1048">
        <f t="shared" si="50"/>
        <v>6.1176470588235325E-2</v>
      </c>
    </row>
    <row r="1049" spans="1:6" x14ac:dyDescent="0.25">
      <c r="A1049" t="s">
        <v>97</v>
      </c>
      <c r="B1049" s="1">
        <v>46076</v>
      </c>
      <c r="C1049">
        <v>81</v>
      </c>
      <c r="D1049">
        <f t="shared" si="48"/>
        <v>83</v>
      </c>
      <c r="E1049">
        <f t="shared" si="49"/>
        <v>5</v>
      </c>
      <c r="F1049">
        <f t="shared" si="50"/>
        <v>2.4691358024691357E-2</v>
      </c>
    </row>
    <row r="1050" spans="1:6" x14ac:dyDescent="0.25">
      <c r="A1050" t="s">
        <v>97</v>
      </c>
      <c r="B1050" s="1">
        <v>46083</v>
      </c>
      <c r="C1050">
        <v>96</v>
      </c>
      <c r="D1050">
        <f t="shared" si="48"/>
        <v>81.400000000000006</v>
      </c>
      <c r="E1050">
        <f t="shared" si="49"/>
        <v>5</v>
      </c>
      <c r="F1050">
        <f t="shared" si="50"/>
        <v>0.15208333333333326</v>
      </c>
    </row>
    <row r="1051" spans="1:6" x14ac:dyDescent="0.25">
      <c r="A1051" t="s">
        <v>97</v>
      </c>
      <c r="B1051" s="1">
        <v>46090</v>
      </c>
      <c r="C1051">
        <v>95</v>
      </c>
      <c r="D1051">
        <f t="shared" si="48"/>
        <v>83.8</v>
      </c>
      <c r="E1051">
        <f t="shared" si="49"/>
        <v>5</v>
      </c>
      <c r="F1051">
        <f t="shared" si="50"/>
        <v>0.11789473684210529</v>
      </c>
    </row>
    <row r="1052" spans="1:6" x14ac:dyDescent="0.25">
      <c r="A1052" t="s">
        <v>97</v>
      </c>
      <c r="B1052" s="1">
        <v>46097</v>
      </c>
      <c r="C1052">
        <v>88</v>
      </c>
      <c r="D1052">
        <f t="shared" si="48"/>
        <v>87.2</v>
      </c>
      <c r="E1052">
        <f t="shared" si="49"/>
        <v>5</v>
      </c>
      <c r="F1052">
        <f t="shared" si="50"/>
        <v>9.0909090909090592E-3</v>
      </c>
    </row>
    <row r="1053" spans="1:6" x14ac:dyDescent="0.25">
      <c r="A1053" t="s">
        <v>97</v>
      </c>
      <c r="B1053" s="1">
        <v>46104</v>
      </c>
      <c r="C1053">
        <v>92</v>
      </c>
      <c r="D1053">
        <f t="shared" si="48"/>
        <v>89</v>
      </c>
      <c r="E1053">
        <f t="shared" si="49"/>
        <v>5</v>
      </c>
      <c r="F1053">
        <f t="shared" si="50"/>
        <v>3.2608695652173912E-2</v>
      </c>
    </row>
    <row r="1054" spans="1:6" x14ac:dyDescent="0.25">
      <c r="A1054" t="s">
        <v>97</v>
      </c>
      <c r="B1054" s="1">
        <v>46111</v>
      </c>
      <c r="C1054">
        <v>75</v>
      </c>
      <c r="D1054">
        <f t="shared" si="48"/>
        <v>90.4</v>
      </c>
      <c r="E1054">
        <f t="shared" si="49"/>
        <v>5</v>
      </c>
      <c r="F1054">
        <f t="shared" si="50"/>
        <v>0.2053333333333334</v>
      </c>
    </row>
    <row r="1055" spans="1:6" x14ac:dyDescent="0.25">
      <c r="A1055" t="s">
        <v>97</v>
      </c>
      <c r="B1055" s="1">
        <v>46118</v>
      </c>
      <c r="C1055">
        <v>109</v>
      </c>
      <c r="D1055">
        <f t="shared" si="48"/>
        <v>89.2</v>
      </c>
      <c r="E1055">
        <f t="shared" si="49"/>
        <v>5</v>
      </c>
      <c r="F1055">
        <f t="shared" si="50"/>
        <v>0.18165137614678897</v>
      </c>
    </row>
    <row r="1056" spans="1:6" x14ac:dyDescent="0.25">
      <c r="A1056" t="s">
        <v>97</v>
      </c>
      <c r="B1056" s="1">
        <v>46125</v>
      </c>
      <c r="C1056">
        <v>105</v>
      </c>
      <c r="D1056">
        <f t="shared" si="48"/>
        <v>91.8</v>
      </c>
      <c r="E1056">
        <f t="shared" si="49"/>
        <v>5</v>
      </c>
      <c r="F1056">
        <f t="shared" si="50"/>
        <v>0.12571428571428575</v>
      </c>
    </row>
    <row r="1057" spans="1:6" x14ac:dyDescent="0.25">
      <c r="A1057" t="s">
        <v>97</v>
      </c>
      <c r="B1057" s="1">
        <v>46132</v>
      </c>
      <c r="C1057">
        <v>109</v>
      </c>
      <c r="D1057">
        <f t="shared" si="48"/>
        <v>93.8</v>
      </c>
      <c r="E1057">
        <f t="shared" si="49"/>
        <v>5</v>
      </c>
      <c r="F1057">
        <f t="shared" si="50"/>
        <v>0.13944954128440371</v>
      </c>
    </row>
    <row r="1058" spans="1:6" x14ac:dyDescent="0.25">
      <c r="A1058" t="s">
        <v>97</v>
      </c>
      <c r="B1058" s="1">
        <v>46139</v>
      </c>
      <c r="C1058">
        <v>97</v>
      </c>
      <c r="D1058">
        <f t="shared" si="48"/>
        <v>98</v>
      </c>
      <c r="E1058">
        <f t="shared" si="49"/>
        <v>5</v>
      </c>
      <c r="F1058">
        <f t="shared" si="50"/>
        <v>1.0309278350515464E-2</v>
      </c>
    </row>
    <row r="1059" spans="1:6" x14ac:dyDescent="0.25">
      <c r="A1059" t="s">
        <v>97</v>
      </c>
      <c r="B1059" s="1">
        <v>46146</v>
      </c>
      <c r="C1059">
        <v>110</v>
      </c>
      <c r="D1059">
        <f t="shared" si="48"/>
        <v>99</v>
      </c>
      <c r="E1059">
        <f t="shared" si="49"/>
        <v>5</v>
      </c>
      <c r="F1059">
        <f t="shared" si="50"/>
        <v>0.1</v>
      </c>
    </row>
    <row r="1060" spans="1:6" x14ac:dyDescent="0.25">
      <c r="A1060" t="s">
        <v>97</v>
      </c>
      <c r="B1060" s="1">
        <v>46153</v>
      </c>
      <c r="C1060">
        <v>112</v>
      </c>
      <c r="D1060">
        <f t="shared" si="48"/>
        <v>106</v>
      </c>
      <c r="E1060">
        <f t="shared" si="49"/>
        <v>5</v>
      </c>
      <c r="F1060">
        <f t="shared" si="50"/>
        <v>5.3571428571428568E-2</v>
      </c>
    </row>
    <row r="1061" spans="1:6" x14ac:dyDescent="0.25">
      <c r="A1061" t="s">
        <v>97</v>
      </c>
      <c r="B1061" s="1">
        <v>46160</v>
      </c>
      <c r="C1061">
        <v>111</v>
      </c>
      <c r="D1061">
        <f t="shared" si="48"/>
        <v>106.6</v>
      </c>
      <c r="E1061">
        <f t="shared" si="49"/>
        <v>5</v>
      </c>
      <c r="F1061">
        <f t="shared" si="50"/>
        <v>3.9639639639639693E-2</v>
      </c>
    </row>
    <row r="1062" spans="1:6" x14ac:dyDescent="0.25">
      <c r="A1062" t="s">
        <v>97</v>
      </c>
      <c r="B1062" s="1">
        <v>46167</v>
      </c>
      <c r="C1062">
        <v>101</v>
      </c>
      <c r="D1062">
        <f t="shared" si="48"/>
        <v>107.8</v>
      </c>
      <c r="E1062">
        <f t="shared" si="49"/>
        <v>5</v>
      </c>
      <c r="F1062">
        <f t="shared" si="50"/>
        <v>6.7326732673267303E-2</v>
      </c>
    </row>
    <row r="1063" spans="1:6" x14ac:dyDescent="0.25">
      <c r="A1063" t="s">
        <v>97</v>
      </c>
      <c r="B1063" s="1">
        <v>46174</v>
      </c>
      <c r="C1063">
        <v>98</v>
      </c>
      <c r="D1063">
        <f t="shared" si="48"/>
        <v>106.2</v>
      </c>
      <c r="E1063">
        <f t="shared" si="49"/>
        <v>5</v>
      </c>
      <c r="F1063">
        <f t="shared" si="50"/>
        <v>8.3673469387755134E-2</v>
      </c>
    </row>
    <row r="1064" spans="1:6" x14ac:dyDescent="0.25">
      <c r="A1064" t="s">
        <v>97</v>
      </c>
      <c r="B1064" s="1">
        <v>46181</v>
      </c>
      <c r="C1064">
        <v>101</v>
      </c>
      <c r="D1064">
        <f t="shared" si="48"/>
        <v>106.4</v>
      </c>
      <c r="E1064">
        <f t="shared" si="49"/>
        <v>5</v>
      </c>
      <c r="F1064">
        <f t="shared" si="50"/>
        <v>5.346534653465352E-2</v>
      </c>
    </row>
    <row r="1065" spans="1:6" x14ac:dyDescent="0.25">
      <c r="A1065" t="s">
        <v>97</v>
      </c>
      <c r="B1065" s="1">
        <v>46188</v>
      </c>
      <c r="C1065">
        <v>112</v>
      </c>
      <c r="D1065">
        <f t="shared" si="48"/>
        <v>104.6</v>
      </c>
      <c r="E1065">
        <f t="shared" si="49"/>
        <v>5</v>
      </c>
      <c r="F1065">
        <f t="shared" si="50"/>
        <v>6.6071428571428628E-2</v>
      </c>
    </row>
    <row r="1066" spans="1:6" x14ac:dyDescent="0.25">
      <c r="A1066" t="s">
        <v>97</v>
      </c>
      <c r="B1066" s="1">
        <v>46195</v>
      </c>
      <c r="C1066">
        <v>97</v>
      </c>
      <c r="D1066">
        <f t="shared" si="48"/>
        <v>104.6</v>
      </c>
      <c r="E1066">
        <f t="shared" si="49"/>
        <v>5</v>
      </c>
      <c r="F1066">
        <f t="shared" si="50"/>
        <v>7.8350515463917469E-2</v>
      </c>
    </row>
    <row r="1067" spans="1:6" x14ac:dyDescent="0.25">
      <c r="A1067" t="s">
        <v>97</v>
      </c>
      <c r="B1067" s="1">
        <v>46202</v>
      </c>
      <c r="C1067">
        <v>107</v>
      </c>
      <c r="D1067">
        <f t="shared" si="48"/>
        <v>101.8</v>
      </c>
      <c r="E1067">
        <f t="shared" si="49"/>
        <v>5</v>
      </c>
      <c r="F1067">
        <f t="shared" si="50"/>
        <v>4.8598130841121523E-2</v>
      </c>
    </row>
    <row r="1068" spans="1:6" x14ac:dyDescent="0.25">
      <c r="A1068" t="s">
        <v>99</v>
      </c>
      <c r="B1068" s="1">
        <v>46027</v>
      </c>
      <c r="C1068">
        <v>102</v>
      </c>
      <c r="D1068" t="str">
        <f t="shared" si="48"/>
        <v/>
      </c>
      <c r="E1068">
        <f t="shared" si="49"/>
        <v>0</v>
      </c>
      <c r="F1068" t="str">
        <f t="shared" si="50"/>
        <v/>
      </c>
    </row>
    <row r="1069" spans="1:6" x14ac:dyDescent="0.25">
      <c r="A1069" t="s">
        <v>99</v>
      </c>
      <c r="B1069" s="1">
        <v>46034</v>
      </c>
      <c r="C1069">
        <v>77</v>
      </c>
      <c r="D1069" t="str">
        <f t="shared" si="48"/>
        <v/>
      </c>
      <c r="E1069">
        <f t="shared" si="49"/>
        <v>1</v>
      </c>
      <c r="F1069" t="str">
        <f t="shared" si="50"/>
        <v/>
      </c>
    </row>
    <row r="1070" spans="1:6" x14ac:dyDescent="0.25">
      <c r="A1070" t="s">
        <v>99</v>
      </c>
      <c r="B1070" s="1">
        <v>46041</v>
      </c>
      <c r="C1070">
        <v>87</v>
      </c>
      <c r="D1070" t="str">
        <f t="shared" si="48"/>
        <v/>
      </c>
      <c r="E1070">
        <f t="shared" si="49"/>
        <v>2</v>
      </c>
      <c r="F1070" t="str">
        <f t="shared" si="50"/>
        <v/>
      </c>
    </row>
    <row r="1071" spans="1:6" x14ac:dyDescent="0.25">
      <c r="A1071" t="s">
        <v>99</v>
      </c>
      <c r="B1071" s="1">
        <v>46048</v>
      </c>
      <c r="C1071">
        <v>101</v>
      </c>
      <c r="D1071" t="str">
        <f t="shared" si="48"/>
        <v/>
      </c>
      <c r="E1071">
        <f t="shared" si="49"/>
        <v>3</v>
      </c>
      <c r="F1071" t="str">
        <f t="shared" si="50"/>
        <v/>
      </c>
    </row>
    <row r="1072" spans="1:6" x14ac:dyDescent="0.25">
      <c r="A1072" t="s">
        <v>99</v>
      </c>
      <c r="B1072" s="1">
        <v>46055</v>
      </c>
      <c r="C1072">
        <v>106</v>
      </c>
      <c r="D1072" t="str">
        <f t="shared" si="48"/>
        <v/>
      </c>
      <c r="E1072">
        <f t="shared" si="49"/>
        <v>4</v>
      </c>
      <c r="F1072" t="str">
        <f t="shared" si="50"/>
        <v/>
      </c>
    </row>
    <row r="1073" spans="1:6" x14ac:dyDescent="0.25">
      <c r="A1073" t="s">
        <v>99</v>
      </c>
      <c r="B1073" s="1">
        <v>46062</v>
      </c>
      <c r="C1073">
        <v>113</v>
      </c>
      <c r="D1073">
        <f t="shared" si="48"/>
        <v>94.6</v>
      </c>
      <c r="E1073">
        <f t="shared" si="49"/>
        <v>5</v>
      </c>
      <c r="F1073">
        <f t="shared" si="50"/>
        <v>0.1628318584070797</v>
      </c>
    </row>
    <row r="1074" spans="1:6" x14ac:dyDescent="0.25">
      <c r="A1074" t="s">
        <v>99</v>
      </c>
      <c r="B1074" s="1">
        <v>46069</v>
      </c>
      <c r="C1074">
        <v>114</v>
      </c>
      <c r="D1074">
        <f t="shared" si="48"/>
        <v>96.8</v>
      </c>
      <c r="E1074">
        <f t="shared" si="49"/>
        <v>5</v>
      </c>
      <c r="F1074">
        <f t="shared" si="50"/>
        <v>0.15087719298245617</v>
      </c>
    </row>
    <row r="1075" spans="1:6" x14ac:dyDescent="0.25">
      <c r="A1075" t="s">
        <v>99</v>
      </c>
      <c r="B1075" s="1">
        <v>46076</v>
      </c>
      <c r="C1075">
        <v>118</v>
      </c>
      <c r="D1075">
        <f t="shared" si="48"/>
        <v>104.2</v>
      </c>
      <c r="E1075">
        <f t="shared" si="49"/>
        <v>5</v>
      </c>
      <c r="F1075">
        <f t="shared" si="50"/>
        <v>0.11694915254237286</v>
      </c>
    </row>
    <row r="1076" spans="1:6" x14ac:dyDescent="0.25">
      <c r="A1076" t="s">
        <v>99</v>
      </c>
      <c r="B1076" s="1">
        <v>46083</v>
      </c>
      <c r="C1076">
        <v>103</v>
      </c>
      <c r="D1076">
        <f t="shared" si="48"/>
        <v>110.4</v>
      </c>
      <c r="E1076">
        <f t="shared" si="49"/>
        <v>5</v>
      </c>
      <c r="F1076">
        <f t="shared" si="50"/>
        <v>7.1844660194174806E-2</v>
      </c>
    </row>
    <row r="1077" spans="1:6" x14ac:dyDescent="0.25">
      <c r="A1077" t="s">
        <v>99</v>
      </c>
      <c r="B1077" s="1">
        <v>46090</v>
      </c>
      <c r="C1077">
        <v>106</v>
      </c>
      <c r="D1077">
        <f t="shared" si="48"/>
        <v>110.8</v>
      </c>
      <c r="E1077">
        <f t="shared" si="49"/>
        <v>5</v>
      </c>
      <c r="F1077">
        <f t="shared" si="50"/>
        <v>4.5283018867924504E-2</v>
      </c>
    </row>
    <row r="1078" spans="1:6" x14ac:dyDescent="0.25">
      <c r="A1078" t="s">
        <v>99</v>
      </c>
      <c r="B1078" s="1">
        <v>46097</v>
      </c>
      <c r="C1078">
        <v>119</v>
      </c>
      <c r="D1078">
        <f t="shared" si="48"/>
        <v>110.8</v>
      </c>
      <c r="E1078">
        <f t="shared" si="49"/>
        <v>5</v>
      </c>
      <c r="F1078">
        <f t="shared" si="50"/>
        <v>6.8907563025210103E-2</v>
      </c>
    </row>
    <row r="1079" spans="1:6" x14ac:dyDescent="0.25">
      <c r="A1079" t="s">
        <v>99</v>
      </c>
      <c r="B1079" s="1">
        <v>46104</v>
      </c>
      <c r="C1079">
        <v>106</v>
      </c>
      <c r="D1079">
        <f t="shared" si="48"/>
        <v>112</v>
      </c>
      <c r="E1079">
        <f t="shared" si="49"/>
        <v>5</v>
      </c>
      <c r="F1079">
        <f t="shared" si="50"/>
        <v>5.6603773584905662E-2</v>
      </c>
    </row>
    <row r="1080" spans="1:6" x14ac:dyDescent="0.25">
      <c r="A1080" t="s">
        <v>99</v>
      </c>
      <c r="B1080" s="1">
        <v>46111</v>
      </c>
      <c r="C1080">
        <v>125</v>
      </c>
      <c r="D1080">
        <f t="shared" si="48"/>
        <v>110.4</v>
      </c>
      <c r="E1080">
        <f t="shared" si="49"/>
        <v>5</v>
      </c>
      <c r="F1080">
        <f t="shared" si="50"/>
        <v>0.11679999999999996</v>
      </c>
    </row>
    <row r="1081" spans="1:6" x14ac:dyDescent="0.25">
      <c r="A1081" t="s">
        <v>99</v>
      </c>
      <c r="B1081" s="1">
        <v>46118</v>
      </c>
      <c r="C1081">
        <v>96</v>
      </c>
      <c r="D1081">
        <f t="shared" si="48"/>
        <v>111.8</v>
      </c>
      <c r="E1081">
        <f t="shared" si="49"/>
        <v>5</v>
      </c>
      <c r="F1081">
        <f t="shared" si="50"/>
        <v>0.1645833333333333</v>
      </c>
    </row>
    <row r="1082" spans="1:6" x14ac:dyDescent="0.25">
      <c r="A1082" t="s">
        <v>99</v>
      </c>
      <c r="B1082" s="1">
        <v>46125</v>
      </c>
      <c r="C1082">
        <v>123</v>
      </c>
      <c r="D1082">
        <f t="shared" si="48"/>
        <v>110.4</v>
      </c>
      <c r="E1082">
        <f t="shared" si="49"/>
        <v>5</v>
      </c>
      <c r="F1082">
        <f t="shared" si="50"/>
        <v>0.10243902439024385</v>
      </c>
    </row>
    <row r="1083" spans="1:6" x14ac:dyDescent="0.25">
      <c r="A1083" t="s">
        <v>99</v>
      </c>
      <c r="B1083" s="1">
        <v>46132</v>
      </c>
      <c r="C1083">
        <v>115</v>
      </c>
      <c r="D1083">
        <f t="shared" si="48"/>
        <v>113.8</v>
      </c>
      <c r="E1083">
        <f t="shared" si="49"/>
        <v>5</v>
      </c>
      <c r="F1083">
        <f t="shared" si="50"/>
        <v>1.0434782608695677E-2</v>
      </c>
    </row>
    <row r="1084" spans="1:6" x14ac:dyDescent="0.25">
      <c r="A1084" t="s">
        <v>99</v>
      </c>
      <c r="B1084" s="1">
        <v>46139</v>
      </c>
      <c r="C1084">
        <v>95</v>
      </c>
      <c r="D1084">
        <f t="shared" si="48"/>
        <v>113</v>
      </c>
      <c r="E1084">
        <f t="shared" si="49"/>
        <v>5</v>
      </c>
      <c r="F1084">
        <f t="shared" si="50"/>
        <v>0.18947368421052632</v>
      </c>
    </row>
    <row r="1085" spans="1:6" x14ac:dyDescent="0.25">
      <c r="A1085" t="s">
        <v>99</v>
      </c>
      <c r="B1085" s="1">
        <v>46146</v>
      </c>
      <c r="C1085">
        <v>130</v>
      </c>
      <c r="D1085">
        <f t="shared" si="48"/>
        <v>110.8</v>
      </c>
      <c r="E1085">
        <f t="shared" si="49"/>
        <v>5</v>
      </c>
      <c r="F1085">
        <f t="shared" si="50"/>
        <v>0.14769230769230771</v>
      </c>
    </row>
    <row r="1086" spans="1:6" x14ac:dyDescent="0.25">
      <c r="A1086" t="s">
        <v>99</v>
      </c>
      <c r="B1086" s="1">
        <v>46153</v>
      </c>
      <c r="C1086">
        <v>124</v>
      </c>
      <c r="D1086">
        <f t="shared" si="48"/>
        <v>111.8</v>
      </c>
      <c r="E1086">
        <f t="shared" si="49"/>
        <v>5</v>
      </c>
      <c r="F1086">
        <f t="shared" si="50"/>
        <v>9.8387096774193578E-2</v>
      </c>
    </row>
    <row r="1087" spans="1:6" x14ac:dyDescent="0.25">
      <c r="A1087" t="s">
        <v>99</v>
      </c>
      <c r="B1087" s="1">
        <v>46160</v>
      </c>
      <c r="C1087">
        <v>122</v>
      </c>
      <c r="D1087">
        <f t="shared" si="48"/>
        <v>117.4</v>
      </c>
      <c r="E1087">
        <f t="shared" si="49"/>
        <v>5</v>
      </c>
      <c r="F1087">
        <f t="shared" si="50"/>
        <v>3.770491803278684E-2</v>
      </c>
    </row>
    <row r="1088" spans="1:6" x14ac:dyDescent="0.25">
      <c r="A1088" t="s">
        <v>99</v>
      </c>
      <c r="B1088" s="1">
        <v>46167</v>
      </c>
      <c r="C1088">
        <v>111</v>
      </c>
      <c r="D1088">
        <f t="shared" si="48"/>
        <v>117.2</v>
      </c>
      <c r="E1088">
        <f t="shared" si="49"/>
        <v>5</v>
      </c>
      <c r="F1088">
        <f t="shared" si="50"/>
        <v>5.5855855855855882E-2</v>
      </c>
    </row>
    <row r="1089" spans="1:6" x14ac:dyDescent="0.25">
      <c r="A1089" t="s">
        <v>99</v>
      </c>
      <c r="B1089" s="1">
        <v>46174</v>
      </c>
      <c r="C1089">
        <v>119</v>
      </c>
      <c r="D1089">
        <f t="shared" si="48"/>
        <v>116.4</v>
      </c>
      <c r="E1089">
        <f t="shared" si="49"/>
        <v>5</v>
      </c>
      <c r="F1089">
        <f t="shared" si="50"/>
        <v>2.1848739495798273E-2</v>
      </c>
    </row>
    <row r="1090" spans="1:6" x14ac:dyDescent="0.25">
      <c r="A1090" t="s">
        <v>99</v>
      </c>
      <c r="B1090" s="1">
        <v>46181</v>
      </c>
      <c r="C1090">
        <v>143</v>
      </c>
      <c r="D1090">
        <f t="shared" ref="D1090:D1153" si="51">IF(E1090 &lt; 5, "", AVERAGEIFS(C:C, A:A, A1090, B:B, "&gt;=" &amp; (B1090-35), B:B, "&lt;=" &amp; (B1090-7)))</f>
        <v>121.2</v>
      </c>
      <c r="E1090">
        <f t="shared" ref="E1090:E1153" si="52">COUNTIFS(A:A, A1090, B:B, "&gt;=" &amp; (B1090-35), B:B, "&lt;=" &amp; (B1090-7))</f>
        <v>5</v>
      </c>
      <c r="F1090">
        <f t="shared" ref="F1090:F1153" si="53">IF(OR(C1090=0, D1090=""), "", ABS(C1090 - D1090) / C1090)</f>
        <v>0.15244755244755243</v>
      </c>
    </row>
    <row r="1091" spans="1:6" x14ac:dyDescent="0.25">
      <c r="A1091" t="s">
        <v>99</v>
      </c>
      <c r="B1091" s="1">
        <v>46188</v>
      </c>
      <c r="C1091">
        <v>118</v>
      </c>
      <c r="D1091">
        <f t="shared" si="51"/>
        <v>123.8</v>
      </c>
      <c r="E1091">
        <f t="shared" si="52"/>
        <v>5</v>
      </c>
      <c r="F1091">
        <f t="shared" si="53"/>
        <v>4.915254237288133E-2</v>
      </c>
    </row>
    <row r="1092" spans="1:6" x14ac:dyDescent="0.25">
      <c r="A1092" t="s">
        <v>99</v>
      </c>
      <c r="B1092" s="1">
        <v>46195</v>
      </c>
      <c r="C1092">
        <v>88</v>
      </c>
      <c r="D1092">
        <f t="shared" si="51"/>
        <v>122.6</v>
      </c>
      <c r="E1092">
        <f t="shared" si="52"/>
        <v>5</v>
      </c>
      <c r="F1092">
        <f t="shared" si="53"/>
        <v>0.39318181818181813</v>
      </c>
    </row>
    <row r="1093" spans="1:6" x14ac:dyDescent="0.25">
      <c r="A1093" t="s">
        <v>99</v>
      </c>
      <c r="B1093" s="1">
        <v>46202</v>
      </c>
      <c r="C1093">
        <v>120</v>
      </c>
      <c r="D1093">
        <f t="shared" si="51"/>
        <v>115.8</v>
      </c>
      <c r="E1093">
        <f t="shared" si="52"/>
        <v>5</v>
      </c>
      <c r="F1093">
        <f t="shared" si="53"/>
        <v>3.5000000000000024E-2</v>
      </c>
    </row>
    <row r="1094" spans="1:6" x14ac:dyDescent="0.25">
      <c r="A1094" t="s">
        <v>101</v>
      </c>
      <c r="B1094" s="1">
        <v>46027</v>
      </c>
      <c r="C1094">
        <v>79</v>
      </c>
      <c r="D1094" t="str">
        <f t="shared" si="51"/>
        <v/>
      </c>
      <c r="E1094">
        <f t="shared" si="52"/>
        <v>0</v>
      </c>
      <c r="F1094" t="str">
        <f t="shared" si="53"/>
        <v/>
      </c>
    </row>
    <row r="1095" spans="1:6" x14ac:dyDescent="0.25">
      <c r="A1095" t="s">
        <v>101</v>
      </c>
      <c r="B1095" s="1">
        <v>46034</v>
      </c>
      <c r="C1095">
        <v>67</v>
      </c>
      <c r="D1095" t="str">
        <f t="shared" si="51"/>
        <v/>
      </c>
      <c r="E1095">
        <f t="shared" si="52"/>
        <v>1</v>
      </c>
      <c r="F1095" t="str">
        <f t="shared" si="53"/>
        <v/>
      </c>
    </row>
    <row r="1096" spans="1:6" x14ac:dyDescent="0.25">
      <c r="A1096" t="s">
        <v>101</v>
      </c>
      <c r="B1096" s="1">
        <v>46041</v>
      </c>
      <c r="C1096">
        <v>79</v>
      </c>
      <c r="D1096" t="str">
        <f t="shared" si="51"/>
        <v/>
      </c>
      <c r="E1096">
        <f t="shared" si="52"/>
        <v>2</v>
      </c>
      <c r="F1096" t="str">
        <f t="shared" si="53"/>
        <v/>
      </c>
    </row>
    <row r="1097" spans="1:6" x14ac:dyDescent="0.25">
      <c r="A1097" t="s">
        <v>101</v>
      </c>
      <c r="B1097" s="1">
        <v>46048</v>
      </c>
      <c r="C1097">
        <v>85</v>
      </c>
      <c r="D1097" t="str">
        <f t="shared" si="51"/>
        <v/>
      </c>
      <c r="E1097">
        <f t="shared" si="52"/>
        <v>3</v>
      </c>
      <c r="F1097" t="str">
        <f t="shared" si="53"/>
        <v/>
      </c>
    </row>
    <row r="1098" spans="1:6" x14ac:dyDescent="0.25">
      <c r="A1098" t="s">
        <v>101</v>
      </c>
      <c r="B1098" s="1">
        <v>46055</v>
      </c>
      <c r="C1098">
        <v>78</v>
      </c>
      <c r="D1098" t="str">
        <f t="shared" si="51"/>
        <v/>
      </c>
      <c r="E1098">
        <f t="shared" si="52"/>
        <v>4</v>
      </c>
      <c r="F1098" t="str">
        <f t="shared" si="53"/>
        <v/>
      </c>
    </row>
    <row r="1099" spans="1:6" x14ac:dyDescent="0.25">
      <c r="A1099" t="s">
        <v>101</v>
      </c>
      <c r="B1099" s="1">
        <v>46062</v>
      </c>
      <c r="C1099">
        <v>72</v>
      </c>
      <c r="D1099">
        <f t="shared" si="51"/>
        <v>77.599999999999994</v>
      </c>
      <c r="E1099">
        <f t="shared" si="52"/>
        <v>5</v>
      </c>
      <c r="F1099">
        <f t="shared" si="53"/>
        <v>7.7777777777777696E-2</v>
      </c>
    </row>
    <row r="1100" spans="1:6" x14ac:dyDescent="0.25">
      <c r="A1100" t="s">
        <v>101</v>
      </c>
      <c r="B1100" s="1">
        <v>46069</v>
      </c>
      <c r="C1100">
        <v>93</v>
      </c>
      <c r="D1100">
        <f t="shared" si="51"/>
        <v>76.2</v>
      </c>
      <c r="E1100">
        <f t="shared" si="52"/>
        <v>5</v>
      </c>
      <c r="F1100">
        <f t="shared" si="53"/>
        <v>0.18064516129032254</v>
      </c>
    </row>
    <row r="1101" spans="1:6" x14ac:dyDescent="0.25">
      <c r="A1101" t="s">
        <v>101</v>
      </c>
      <c r="B1101" s="1">
        <v>46076</v>
      </c>
      <c r="C1101">
        <v>89</v>
      </c>
      <c r="D1101">
        <f t="shared" si="51"/>
        <v>81.400000000000006</v>
      </c>
      <c r="E1101">
        <f t="shared" si="52"/>
        <v>5</v>
      </c>
      <c r="F1101">
        <f t="shared" si="53"/>
        <v>8.5393258426966226E-2</v>
      </c>
    </row>
    <row r="1102" spans="1:6" x14ac:dyDescent="0.25">
      <c r="A1102" t="s">
        <v>101</v>
      </c>
      <c r="B1102" s="1">
        <v>46083</v>
      </c>
      <c r="C1102">
        <v>92</v>
      </c>
      <c r="D1102">
        <f t="shared" si="51"/>
        <v>83.4</v>
      </c>
      <c r="E1102">
        <f t="shared" si="52"/>
        <v>5</v>
      </c>
      <c r="F1102">
        <f t="shared" si="53"/>
        <v>9.347826086956515E-2</v>
      </c>
    </row>
    <row r="1103" spans="1:6" x14ac:dyDescent="0.25">
      <c r="A1103" t="s">
        <v>101</v>
      </c>
      <c r="B1103" s="1">
        <v>46090</v>
      </c>
      <c r="C1103">
        <v>106</v>
      </c>
      <c r="D1103">
        <f t="shared" si="51"/>
        <v>84.8</v>
      </c>
      <c r="E1103">
        <f t="shared" si="52"/>
        <v>5</v>
      </c>
      <c r="F1103">
        <f t="shared" si="53"/>
        <v>0.20000000000000004</v>
      </c>
    </row>
    <row r="1104" spans="1:6" x14ac:dyDescent="0.25">
      <c r="A1104" t="s">
        <v>101</v>
      </c>
      <c r="B1104" s="1">
        <v>46097</v>
      </c>
      <c r="C1104">
        <v>71</v>
      </c>
      <c r="D1104">
        <f t="shared" si="51"/>
        <v>90.4</v>
      </c>
      <c r="E1104">
        <f t="shared" si="52"/>
        <v>5</v>
      </c>
      <c r="F1104">
        <f t="shared" si="53"/>
        <v>0.27323943661971839</v>
      </c>
    </row>
    <row r="1105" spans="1:6" x14ac:dyDescent="0.25">
      <c r="A1105" t="s">
        <v>101</v>
      </c>
      <c r="B1105" s="1">
        <v>46104</v>
      </c>
      <c r="C1105">
        <v>93</v>
      </c>
      <c r="D1105">
        <f t="shared" si="51"/>
        <v>90.2</v>
      </c>
      <c r="E1105">
        <f t="shared" si="52"/>
        <v>5</v>
      </c>
      <c r="F1105">
        <f t="shared" si="53"/>
        <v>3.0107526881720401E-2</v>
      </c>
    </row>
    <row r="1106" spans="1:6" x14ac:dyDescent="0.25">
      <c r="A1106" t="s">
        <v>101</v>
      </c>
      <c r="B1106" s="1">
        <v>46111</v>
      </c>
      <c r="C1106">
        <v>102</v>
      </c>
      <c r="D1106">
        <f t="shared" si="51"/>
        <v>90.2</v>
      </c>
      <c r="E1106">
        <f t="shared" si="52"/>
        <v>5</v>
      </c>
      <c r="F1106">
        <f t="shared" si="53"/>
        <v>0.1156862745098039</v>
      </c>
    </row>
    <row r="1107" spans="1:6" x14ac:dyDescent="0.25">
      <c r="A1107" t="s">
        <v>101</v>
      </c>
      <c r="B1107" s="1">
        <v>46118</v>
      </c>
      <c r="C1107">
        <v>92</v>
      </c>
      <c r="D1107">
        <f t="shared" si="51"/>
        <v>92.8</v>
      </c>
      <c r="E1107">
        <f t="shared" si="52"/>
        <v>5</v>
      </c>
      <c r="F1107">
        <f t="shared" si="53"/>
        <v>8.6956521739130124E-3</v>
      </c>
    </row>
    <row r="1108" spans="1:6" x14ac:dyDescent="0.25">
      <c r="A1108" t="s">
        <v>101</v>
      </c>
      <c r="B1108" s="1">
        <v>46125</v>
      </c>
      <c r="C1108">
        <v>102</v>
      </c>
      <c r="D1108">
        <f t="shared" si="51"/>
        <v>92.8</v>
      </c>
      <c r="E1108">
        <f t="shared" si="52"/>
        <v>5</v>
      </c>
      <c r="F1108">
        <f t="shared" si="53"/>
        <v>9.0196078431372576E-2</v>
      </c>
    </row>
    <row r="1109" spans="1:6" x14ac:dyDescent="0.25">
      <c r="A1109" t="s">
        <v>101</v>
      </c>
      <c r="B1109" s="1">
        <v>46132</v>
      </c>
      <c r="C1109">
        <v>111</v>
      </c>
      <c r="D1109">
        <f t="shared" si="51"/>
        <v>92</v>
      </c>
      <c r="E1109">
        <f t="shared" si="52"/>
        <v>5</v>
      </c>
      <c r="F1109">
        <f t="shared" si="53"/>
        <v>0.17117117117117117</v>
      </c>
    </row>
    <row r="1110" spans="1:6" x14ac:dyDescent="0.25">
      <c r="A1110" t="s">
        <v>101</v>
      </c>
      <c r="B1110" s="1">
        <v>46139</v>
      </c>
      <c r="C1110">
        <v>78</v>
      </c>
      <c r="D1110">
        <f t="shared" si="51"/>
        <v>100</v>
      </c>
      <c r="E1110">
        <f t="shared" si="52"/>
        <v>5</v>
      </c>
      <c r="F1110">
        <f t="shared" si="53"/>
        <v>0.28205128205128205</v>
      </c>
    </row>
    <row r="1111" spans="1:6" x14ac:dyDescent="0.25">
      <c r="A1111" t="s">
        <v>101</v>
      </c>
      <c r="B1111" s="1">
        <v>46146</v>
      </c>
      <c r="C1111">
        <v>114</v>
      </c>
      <c r="D1111">
        <f t="shared" si="51"/>
        <v>97</v>
      </c>
      <c r="E1111">
        <f t="shared" si="52"/>
        <v>5</v>
      </c>
      <c r="F1111">
        <f t="shared" si="53"/>
        <v>0.14912280701754385</v>
      </c>
    </row>
    <row r="1112" spans="1:6" x14ac:dyDescent="0.25">
      <c r="A1112" t="s">
        <v>101</v>
      </c>
      <c r="B1112" s="1">
        <v>46153</v>
      </c>
      <c r="C1112">
        <v>116</v>
      </c>
      <c r="D1112">
        <f t="shared" si="51"/>
        <v>99.4</v>
      </c>
      <c r="E1112">
        <f t="shared" si="52"/>
        <v>5</v>
      </c>
      <c r="F1112">
        <f t="shared" si="53"/>
        <v>0.14310344827586202</v>
      </c>
    </row>
    <row r="1113" spans="1:6" x14ac:dyDescent="0.25">
      <c r="A1113" t="s">
        <v>101</v>
      </c>
      <c r="B1113" s="1">
        <v>46160</v>
      </c>
      <c r="C1113">
        <v>90</v>
      </c>
      <c r="D1113">
        <f t="shared" si="51"/>
        <v>104.2</v>
      </c>
      <c r="E1113">
        <f t="shared" si="52"/>
        <v>5</v>
      </c>
      <c r="F1113">
        <f t="shared" si="53"/>
        <v>0.15777777777777782</v>
      </c>
    </row>
    <row r="1114" spans="1:6" x14ac:dyDescent="0.25">
      <c r="A1114" t="s">
        <v>101</v>
      </c>
      <c r="B1114" s="1">
        <v>46167</v>
      </c>
      <c r="C1114">
        <v>94</v>
      </c>
      <c r="D1114">
        <f t="shared" si="51"/>
        <v>101.8</v>
      </c>
      <c r="E1114">
        <f t="shared" si="52"/>
        <v>5</v>
      </c>
      <c r="F1114">
        <f t="shared" si="53"/>
        <v>8.2978723404255286E-2</v>
      </c>
    </row>
    <row r="1115" spans="1:6" x14ac:dyDescent="0.25">
      <c r="A1115" t="s">
        <v>101</v>
      </c>
      <c r="B1115" s="1">
        <v>46174</v>
      </c>
      <c r="C1115">
        <v>81</v>
      </c>
      <c r="D1115">
        <f t="shared" si="51"/>
        <v>98.4</v>
      </c>
      <c r="E1115">
        <f t="shared" si="52"/>
        <v>5</v>
      </c>
      <c r="F1115">
        <f t="shared" si="53"/>
        <v>0.21481481481481488</v>
      </c>
    </row>
    <row r="1116" spans="1:6" x14ac:dyDescent="0.25">
      <c r="A1116" t="s">
        <v>101</v>
      </c>
      <c r="B1116" s="1">
        <v>46181</v>
      </c>
      <c r="C1116">
        <v>117</v>
      </c>
      <c r="D1116">
        <f t="shared" si="51"/>
        <v>99</v>
      </c>
      <c r="E1116">
        <f t="shared" si="52"/>
        <v>5</v>
      </c>
      <c r="F1116">
        <f t="shared" si="53"/>
        <v>0.15384615384615385</v>
      </c>
    </row>
    <row r="1117" spans="1:6" x14ac:dyDescent="0.25">
      <c r="A1117" t="s">
        <v>101</v>
      </c>
      <c r="B1117" s="1">
        <v>46188</v>
      </c>
      <c r="C1117">
        <v>114</v>
      </c>
      <c r="D1117">
        <f t="shared" si="51"/>
        <v>99.6</v>
      </c>
      <c r="E1117">
        <f t="shared" si="52"/>
        <v>5</v>
      </c>
      <c r="F1117">
        <f t="shared" si="53"/>
        <v>0.12631578947368427</v>
      </c>
    </row>
    <row r="1118" spans="1:6" x14ac:dyDescent="0.25">
      <c r="A1118" t="s">
        <v>101</v>
      </c>
      <c r="B1118" s="1">
        <v>46195</v>
      </c>
      <c r="C1118">
        <v>103</v>
      </c>
      <c r="D1118">
        <f t="shared" si="51"/>
        <v>99.2</v>
      </c>
      <c r="E1118">
        <f t="shared" si="52"/>
        <v>5</v>
      </c>
      <c r="F1118">
        <f t="shared" si="53"/>
        <v>3.6893203883495117E-2</v>
      </c>
    </row>
    <row r="1119" spans="1:6" x14ac:dyDescent="0.25">
      <c r="A1119" t="s">
        <v>101</v>
      </c>
      <c r="B1119" s="1">
        <v>46202</v>
      </c>
      <c r="C1119">
        <v>113</v>
      </c>
      <c r="D1119">
        <f t="shared" si="51"/>
        <v>101.8</v>
      </c>
      <c r="E1119">
        <f t="shared" si="52"/>
        <v>5</v>
      </c>
      <c r="F1119">
        <f t="shared" si="53"/>
        <v>9.9115044247787637E-2</v>
      </c>
    </row>
    <row r="1120" spans="1:6" x14ac:dyDescent="0.25">
      <c r="A1120" t="s">
        <v>103</v>
      </c>
      <c r="B1120" s="1">
        <v>46027</v>
      </c>
      <c r="C1120">
        <v>66</v>
      </c>
      <c r="D1120" t="str">
        <f t="shared" si="51"/>
        <v/>
      </c>
      <c r="E1120">
        <f t="shared" si="52"/>
        <v>0</v>
      </c>
      <c r="F1120" t="str">
        <f t="shared" si="53"/>
        <v/>
      </c>
    </row>
    <row r="1121" spans="1:6" x14ac:dyDescent="0.25">
      <c r="A1121" t="s">
        <v>103</v>
      </c>
      <c r="B1121" s="1">
        <v>46034</v>
      </c>
      <c r="C1121">
        <v>65</v>
      </c>
      <c r="D1121" t="str">
        <f t="shared" si="51"/>
        <v/>
      </c>
      <c r="E1121">
        <f t="shared" si="52"/>
        <v>1</v>
      </c>
      <c r="F1121" t="str">
        <f t="shared" si="53"/>
        <v/>
      </c>
    </row>
    <row r="1122" spans="1:6" x14ac:dyDescent="0.25">
      <c r="A1122" t="s">
        <v>103</v>
      </c>
      <c r="B1122" s="1">
        <v>46041</v>
      </c>
      <c r="C1122">
        <v>50</v>
      </c>
      <c r="D1122" t="str">
        <f t="shared" si="51"/>
        <v/>
      </c>
      <c r="E1122">
        <f t="shared" si="52"/>
        <v>2</v>
      </c>
      <c r="F1122" t="str">
        <f t="shared" si="53"/>
        <v/>
      </c>
    </row>
    <row r="1123" spans="1:6" x14ac:dyDescent="0.25">
      <c r="A1123" t="s">
        <v>103</v>
      </c>
      <c r="B1123" s="1">
        <v>46048</v>
      </c>
      <c r="C1123">
        <v>43</v>
      </c>
      <c r="D1123" t="str">
        <f t="shared" si="51"/>
        <v/>
      </c>
      <c r="E1123">
        <f t="shared" si="52"/>
        <v>3</v>
      </c>
      <c r="F1123" t="str">
        <f t="shared" si="53"/>
        <v/>
      </c>
    </row>
    <row r="1124" spans="1:6" x14ac:dyDescent="0.25">
      <c r="A1124" t="s">
        <v>103</v>
      </c>
      <c r="B1124" s="1">
        <v>46055</v>
      </c>
      <c r="C1124">
        <v>73</v>
      </c>
      <c r="D1124" t="str">
        <f t="shared" si="51"/>
        <v/>
      </c>
      <c r="E1124">
        <f t="shared" si="52"/>
        <v>4</v>
      </c>
      <c r="F1124" t="str">
        <f t="shared" si="53"/>
        <v/>
      </c>
    </row>
    <row r="1125" spans="1:6" x14ac:dyDescent="0.25">
      <c r="A1125" t="s">
        <v>103</v>
      </c>
      <c r="B1125" s="1">
        <v>46062</v>
      </c>
      <c r="C1125">
        <v>57</v>
      </c>
      <c r="D1125">
        <f t="shared" si="51"/>
        <v>59.4</v>
      </c>
      <c r="E1125">
        <f t="shared" si="52"/>
        <v>5</v>
      </c>
      <c r="F1125">
        <f t="shared" si="53"/>
        <v>4.2105263157894715E-2</v>
      </c>
    </row>
    <row r="1126" spans="1:6" x14ac:dyDescent="0.25">
      <c r="A1126" t="s">
        <v>103</v>
      </c>
      <c r="B1126" s="1">
        <v>46069</v>
      </c>
      <c r="C1126">
        <v>54</v>
      </c>
      <c r="D1126">
        <f t="shared" si="51"/>
        <v>57.6</v>
      </c>
      <c r="E1126">
        <f t="shared" si="52"/>
        <v>5</v>
      </c>
      <c r="F1126">
        <f t="shared" si="53"/>
        <v>6.6666666666666693E-2</v>
      </c>
    </row>
    <row r="1127" spans="1:6" x14ac:dyDescent="0.25">
      <c r="A1127" t="s">
        <v>103</v>
      </c>
      <c r="B1127" s="1">
        <v>46076</v>
      </c>
      <c r="C1127">
        <v>61</v>
      </c>
      <c r="D1127">
        <f t="shared" si="51"/>
        <v>55.4</v>
      </c>
      <c r="E1127">
        <f t="shared" si="52"/>
        <v>5</v>
      </c>
      <c r="F1127">
        <f t="shared" si="53"/>
        <v>9.1803278688524614E-2</v>
      </c>
    </row>
    <row r="1128" spans="1:6" x14ac:dyDescent="0.25">
      <c r="A1128" t="s">
        <v>103</v>
      </c>
      <c r="B1128" s="1">
        <v>46083</v>
      </c>
      <c r="C1128">
        <v>58</v>
      </c>
      <c r="D1128">
        <f t="shared" si="51"/>
        <v>57.6</v>
      </c>
      <c r="E1128">
        <f t="shared" si="52"/>
        <v>5</v>
      </c>
      <c r="F1128">
        <f t="shared" si="53"/>
        <v>6.8965517241379067E-3</v>
      </c>
    </row>
    <row r="1129" spans="1:6" x14ac:dyDescent="0.25">
      <c r="A1129" t="s">
        <v>103</v>
      </c>
      <c r="B1129" s="1">
        <v>46090</v>
      </c>
      <c r="C1129">
        <v>69</v>
      </c>
      <c r="D1129">
        <f t="shared" si="51"/>
        <v>60.6</v>
      </c>
      <c r="E1129">
        <f t="shared" si="52"/>
        <v>5</v>
      </c>
      <c r="F1129">
        <f t="shared" si="53"/>
        <v>0.12173913043478259</v>
      </c>
    </row>
    <row r="1130" spans="1:6" x14ac:dyDescent="0.25">
      <c r="A1130" t="s">
        <v>103</v>
      </c>
      <c r="B1130" s="1">
        <v>46097</v>
      </c>
      <c r="C1130">
        <v>56</v>
      </c>
      <c r="D1130">
        <f t="shared" si="51"/>
        <v>59.8</v>
      </c>
      <c r="E1130">
        <f t="shared" si="52"/>
        <v>5</v>
      </c>
      <c r="F1130">
        <f t="shared" si="53"/>
        <v>6.785714285714281E-2</v>
      </c>
    </row>
    <row r="1131" spans="1:6" x14ac:dyDescent="0.25">
      <c r="A1131" t="s">
        <v>103</v>
      </c>
      <c r="B1131" s="1">
        <v>46104</v>
      </c>
      <c r="C1131">
        <v>62</v>
      </c>
      <c r="D1131">
        <f t="shared" si="51"/>
        <v>59.6</v>
      </c>
      <c r="E1131">
        <f t="shared" si="52"/>
        <v>5</v>
      </c>
      <c r="F1131">
        <f t="shared" si="53"/>
        <v>3.8709677419354813E-2</v>
      </c>
    </row>
    <row r="1132" spans="1:6" x14ac:dyDescent="0.25">
      <c r="A1132" t="s">
        <v>103</v>
      </c>
      <c r="B1132" s="1">
        <v>46111</v>
      </c>
      <c r="C1132">
        <v>67</v>
      </c>
      <c r="D1132">
        <f t="shared" si="51"/>
        <v>61.2</v>
      </c>
      <c r="E1132">
        <f t="shared" si="52"/>
        <v>5</v>
      </c>
      <c r="F1132">
        <f t="shared" si="53"/>
        <v>8.6567164179104442E-2</v>
      </c>
    </row>
    <row r="1133" spans="1:6" x14ac:dyDescent="0.25">
      <c r="A1133" t="s">
        <v>103</v>
      </c>
      <c r="B1133" s="1">
        <v>46118</v>
      </c>
      <c r="C1133">
        <v>73</v>
      </c>
      <c r="D1133">
        <f t="shared" si="51"/>
        <v>62.4</v>
      </c>
      <c r="E1133">
        <f t="shared" si="52"/>
        <v>5</v>
      </c>
      <c r="F1133">
        <f t="shared" si="53"/>
        <v>0.14520547945205481</v>
      </c>
    </row>
    <row r="1134" spans="1:6" x14ac:dyDescent="0.25">
      <c r="A1134" t="s">
        <v>103</v>
      </c>
      <c r="B1134" s="1">
        <v>46125</v>
      </c>
      <c r="C1134">
        <v>58</v>
      </c>
      <c r="D1134">
        <f t="shared" si="51"/>
        <v>65.400000000000006</v>
      </c>
      <c r="E1134">
        <f t="shared" si="52"/>
        <v>5</v>
      </c>
      <c r="F1134">
        <f t="shared" si="53"/>
        <v>0.12758620689655181</v>
      </c>
    </row>
    <row r="1135" spans="1:6" x14ac:dyDescent="0.25">
      <c r="A1135" t="s">
        <v>103</v>
      </c>
      <c r="B1135" s="1">
        <v>46132</v>
      </c>
      <c r="C1135">
        <v>61</v>
      </c>
      <c r="D1135">
        <f t="shared" si="51"/>
        <v>63.2</v>
      </c>
      <c r="E1135">
        <f t="shared" si="52"/>
        <v>5</v>
      </c>
      <c r="F1135">
        <f t="shared" si="53"/>
        <v>3.6065573770491847E-2</v>
      </c>
    </row>
    <row r="1136" spans="1:6" x14ac:dyDescent="0.25">
      <c r="A1136" t="s">
        <v>103</v>
      </c>
      <c r="B1136" s="1">
        <v>46139</v>
      </c>
      <c r="C1136">
        <v>76</v>
      </c>
      <c r="D1136">
        <f t="shared" si="51"/>
        <v>64.2</v>
      </c>
      <c r="E1136">
        <f t="shared" si="52"/>
        <v>5</v>
      </c>
      <c r="F1136">
        <f t="shared" si="53"/>
        <v>0.1552631578947368</v>
      </c>
    </row>
    <row r="1137" spans="1:6" x14ac:dyDescent="0.25">
      <c r="A1137" t="s">
        <v>103</v>
      </c>
      <c r="B1137" s="1">
        <v>46146</v>
      </c>
      <c r="C1137">
        <v>66</v>
      </c>
      <c r="D1137">
        <f t="shared" si="51"/>
        <v>67</v>
      </c>
      <c r="E1137">
        <f t="shared" si="52"/>
        <v>5</v>
      </c>
      <c r="F1137">
        <f t="shared" si="53"/>
        <v>1.5151515151515152E-2</v>
      </c>
    </row>
    <row r="1138" spans="1:6" x14ac:dyDescent="0.25">
      <c r="A1138" t="s">
        <v>103</v>
      </c>
      <c r="B1138" s="1">
        <v>46153</v>
      </c>
      <c r="C1138">
        <v>75</v>
      </c>
      <c r="D1138">
        <f t="shared" si="51"/>
        <v>66.8</v>
      </c>
      <c r="E1138">
        <f t="shared" si="52"/>
        <v>5</v>
      </c>
      <c r="F1138">
        <f t="shared" si="53"/>
        <v>0.10933333333333337</v>
      </c>
    </row>
    <row r="1139" spans="1:6" x14ac:dyDescent="0.25">
      <c r="A1139" t="s">
        <v>103</v>
      </c>
      <c r="B1139" s="1">
        <v>46160</v>
      </c>
      <c r="C1139">
        <v>70</v>
      </c>
      <c r="D1139">
        <f t="shared" si="51"/>
        <v>67.2</v>
      </c>
      <c r="E1139">
        <f t="shared" si="52"/>
        <v>5</v>
      </c>
      <c r="F1139">
        <f t="shared" si="53"/>
        <v>3.9999999999999959E-2</v>
      </c>
    </row>
    <row r="1140" spans="1:6" x14ac:dyDescent="0.25">
      <c r="A1140" t="s">
        <v>103</v>
      </c>
      <c r="B1140" s="1">
        <v>46167</v>
      </c>
      <c r="C1140">
        <v>70</v>
      </c>
      <c r="D1140">
        <f t="shared" si="51"/>
        <v>69.599999999999994</v>
      </c>
      <c r="E1140">
        <f t="shared" si="52"/>
        <v>5</v>
      </c>
      <c r="F1140">
        <f t="shared" si="53"/>
        <v>5.7142857142857958E-3</v>
      </c>
    </row>
    <row r="1141" spans="1:6" x14ac:dyDescent="0.25">
      <c r="A1141" t="s">
        <v>103</v>
      </c>
      <c r="B1141" s="1">
        <v>46174</v>
      </c>
      <c r="C1141">
        <v>63</v>
      </c>
      <c r="D1141">
        <f t="shared" si="51"/>
        <v>71.400000000000006</v>
      </c>
      <c r="E1141">
        <f t="shared" si="52"/>
        <v>5</v>
      </c>
      <c r="F1141">
        <f t="shared" si="53"/>
        <v>0.13333333333333341</v>
      </c>
    </row>
    <row r="1142" spans="1:6" x14ac:dyDescent="0.25">
      <c r="A1142" t="s">
        <v>103</v>
      </c>
      <c r="B1142" s="1">
        <v>46181</v>
      </c>
      <c r="C1142">
        <v>70</v>
      </c>
      <c r="D1142">
        <f t="shared" si="51"/>
        <v>68.8</v>
      </c>
      <c r="E1142">
        <f t="shared" si="52"/>
        <v>5</v>
      </c>
      <c r="F1142">
        <f t="shared" si="53"/>
        <v>1.7142857142857182E-2</v>
      </c>
    </row>
    <row r="1143" spans="1:6" x14ac:dyDescent="0.25">
      <c r="A1143" t="s">
        <v>103</v>
      </c>
      <c r="B1143" s="1">
        <v>46188</v>
      </c>
      <c r="C1143">
        <v>70</v>
      </c>
      <c r="D1143">
        <f t="shared" si="51"/>
        <v>69.599999999999994</v>
      </c>
      <c r="E1143">
        <f t="shared" si="52"/>
        <v>5</v>
      </c>
      <c r="F1143">
        <f t="shared" si="53"/>
        <v>5.7142857142857958E-3</v>
      </c>
    </row>
    <row r="1144" spans="1:6" x14ac:dyDescent="0.25">
      <c r="A1144" t="s">
        <v>103</v>
      </c>
      <c r="B1144" s="1">
        <v>46195</v>
      </c>
      <c r="C1144">
        <v>67</v>
      </c>
      <c r="D1144">
        <f t="shared" si="51"/>
        <v>68.599999999999994</v>
      </c>
      <c r="E1144">
        <f t="shared" si="52"/>
        <v>5</v>
      </c>
      <c r="F1144">
        <f t="shared" si="53"/>
        <v>2.3880597014925287E-2</v>
      </c>
    </row>
    <row r="1145" spans="1:6" x14ac:dyDescent="0.25">
      <c r="A1145" t="s">
        <v>103</v>
      </c>
      <c r="B1145" s="1">
        <v>46202</v>
      </c>
      <c r="C1145">
        <v>86</v>
      </c>
      <c r="D1145">
        <f t="shared" si="51"/>
        <v>68</v>
      </c>
      <c r="E1145">
        <f t="shared" si="52"/>
        <v>5</v>
      </c>
      <c r="F1145">
        <f t="shared" si="53"/>
        <v>0.20930232558139536</v>
      </c>
    </row>
    <row r="1146" spans="1:6" x14ac:dyDescent="0.25">
      <c r="A1146" t="s">
        <v>105</v>
      </c>
      <c r="B1146" s="1">
        <v>46027</v>
      </c>
      <c r="C1146">
        <v>94</v>
      </c>
      <c r="D1146" t="str">
        <f t="shared" si="51"/>
        <v/>
      </c>
      <c r="E1146">
        <f t="shared" si="52"/>
        <v>0</v>
      </c>
      <c r="F1146" t="str">
        <f t="shared" si="53"/>
        <v/>
      </c>
    </row>
    <row r="1147" spans="1:6" x14ac:dyDescent="0.25">
      <c r="A1147" t="s">
        <v>105</v>
      </c>
      <c r="B1147" s="1">
        <v>46034</v>
      </c>
      <c r="C1147">
        <v>92</v>
      </c>
      <c r="D1147" t="str">
        <f t="shared" si="51"/>
        <v/>
      </c>
      <c r="E1147">
        <f t="shared" si="52"/>
        <v>1</v>
      </c>
      <c r="F1147" t="str">
        <f t="shared" si="53"/>
        <v/>
      </c>
    </row>
    <row r="1148" spans="1:6" x14ac:dyDescent="0.25">
      <c r="A1148" t="s">
        <v>105</v>
      </c>
      <c r="B1148" s="1">
        <v>46041</v>
      </c>
      <c r="C1148">
        <v>94</v>
      </c>
      <c r="D1148" t="str">
        <f t="shared" si="51"/>
        <v/>
      </c>
      <c r="E1148">
        <f t="shared" si="52"/>
        <v>2</v>
      </c>
      <c r="F1148" t="str">
        <f t="shared" si="53"/>
        <v/>
      </c>
    </row>
    <row r="1149" spans="1:6" x14ac:dyDescent="0.25">
      <c r="A1149" t="s">
        <v>105</v>
      </c>
      <c r="B1149" s="1">
        <v>46048</v>
      </c>
      <c r="C1149">
        <v>84</v>
      </c>
      <c r="D1149" t="str">
        <f t="shared" si="51"/>
        <v/>
      </c>
      <c r="E1149">
        <f t="shared" si="52"/>
        <v>3</v>
      </c>
      <c r="F1149" t="str">
        <f t="shared" si="53"/>
        <v/>
      </c>
    </row>
    <row r="1150" spans="1:6" x14ac:dyDescent="0.25">
      <c r="A1150" t="s">
        <v>105</v>
      </c>
      <c r="B1150" s="1">
        <v>46055</v>
      </c>
      <c r="C1150">
        <v>106</v>
      </c>
      <c r="D1150" t="str">
        <f t="shared" si="51"/>
        <v/>
      </c>
      <c r="E1150">
        <f t="shared" si="52"/>
        <v>4</v>
      </c>
      <c r="F1150" t="str">
        <f t="shared" si="53"/>
        <v/>
      </c>
    </row>
    <row r="1151" spans="1:6" x14ac:dyDescent="0.25">
      <c r="A1151" t="s">
        <v>105</v>
      </c>
      <c r="B1151" s="1">
        <v>46062</v>
      </c>
      <c r="C1151">
        <v>85</v>
      </c>
      <c r="D1151">
        <f t="shared" si="51"/>
        <v>94</v>
      </c>
      <c r="E1151">
        <f t="shared" si="52"/>
        <v>5</v>
      </c>
      <c r="F1151">
        <f t="shared" si="53"/>
        <v>0.10588235294117647</v>
      </c>
    </row>
    <row r="1152" spans="1:6" x14ac:dyDescent="0.25">
      <c r="A1152" t="s">
        <v>105</v>
      </c>
      <c r="B1152" s="1">
        <v>46069</v>
      </c>
      <c r="C1152">
        <v>93</v>
      </c>
      <c r="D1152">
        <f t="shared" si="51"/>
        <v>92.2</v>
      </c>
      <c r="E1152">
        <f t="shared" si="52"/>
        <v>5</v>
      </c>
      <c r="F1152">
        <f t="shared" si="53"/>
        <v>8.6021505376343774E-3</v>
      </c>
    </row>
    <row r="1153" spans="1:6" x14ac:dyDescent="0.25">
      <c r="A1153" t="s">
        <v>105</v>
      </c>
      <c r="B1153" s="1">
        <v>46076</v>
      </c>
      <c r="C1153">
        <v>98</v>
      </c>
      <c r="D1153">
        <f t="shared" si="51"/>
        <v>92.4</v>
      </c>
      <c r="E1153">
        <f t="shared" si="52"/>
        <v>5</v>
      </c>
      <c r="F1153">
        <f t="shared" si="53"/>
        <v>5.7142857142857086E-2</v>
      </c>
    </row>
    <row r="1154" spans="1:6" x14ac:dyDescent="0.25">
      <c r="A1154" t="s">
        <v>105</v>
      </c>
      <c r="B1154" s="1">
        <v>46083</v>
      </c>
      <c r="C1154">
        <v>103</v>
      </c>
      <c r="D1154">
        <f t="shared" ref="D1154:D1217" si="54">IF(E1154 &lt; 5, "", AVERAGEIFS(C:C, A:A, A1154, B:B, "&gt;=" &amp; (B1154-35), B:B, "&lt;=" &amp; (B1154-7)))</f>
        <v>93.2</v>
      </c>
      <c r="E1154">
        <f t="shared" ref="E1154:E1217" si="55">COUNTIFS(A:A, A1154, B:B, "&gt;=" &amp; (B1154-35), B:B, "&lt;=" &amp; (B1154-7))</f>
        <v>5</v>
      </c>
      <c r="F1154">
        <f t="shared" ref="F1154:F1217" si="56">IF(OR(C1154=0, D1154=""), "", ABS(C1154 - D1154) / C1154)</f>
        <v>9.5145631067961131E-2</v>
      </c>
    </row>
    <row r="1155" spans="1:6" x14ac:dyDescent="0.25">
      <c r="A1155" t="s">
        <v>105</v>
      </c>
      <c r="B1155" s="1">
        <v>46090</v>
      </c>
      <c r="C1155">
        <v>110</v>
      </c>
      <c r="D1155">
        <f t="shared" si="54"/>
        <v>97</v>
      </c>
      <c r="E1155">
        <f t="shared" si="55"/>
        <v>5</v>
      </c>
      <c r="F1155">
        <f t="shared" si="56"/>
        <v>0.11818181818181818</v>
      </c>
    </row>
    <row r="1156" spans="1:6" x14ac:dyDescent="0.25">
      <c r="A1156" t="s">
        <v>105</v>
      </c>
      <c r="B1156" s="1">
        <v>46097</v>
      </c>
      <c r="C1156">
        <v>108</v>
      </c>
      <c r="D1156">
        <f t="shared" si="54"/>
        <v>97.8</v>
      </c>
      <c r="E1156">
        <f t="shared" si="55"/>
        <v>5</v>
      </c>
      <c r="F1156">
        <f t="shared" si="56"/>
        <v>9.444444444444447E-2</v>
      </c>
    </row>
    <row r="1157" spans="1:6" x14ac:dyDescent="0.25">
      <c r="A1157" t="s">
        <v>105</v>
      </c>
      <c r="B1157" s="1">
        <v>46104</v>
      </c>
      <c r="C1157">
        <v>110</v>
      </c>
      <c r="D1157">
        <f t="shared" si="54"/>
        <v>102.4</v>
      </c>
      <c r="E1157">
        <f t="shared" si="55"/>
        <v>5</v>
      </c>
      <c r="F1157">
        <f t="shared" si="56"/>
        <v>6.9090909090909036E-2</v>
      </c>
    </row>
    <row r="1158" spans="1:6" x14ac:dyDescent="0.25">
      <c r="A1158" t="s">
        <v>105</v>
      </c>
      <c r="B1158" s="1">
        <v>46111</v>
      </c>
      <c r="C1158">
        <v>103</v>
      </c>
      <c r="D1158">
        <f t="shared" si="54"/>
        <v>105.8</v>
      </c>
      <c r="E1158">
        <f t="shared" si="55"/>
        <v>5</v>
      </c>
      <c r="F1158">
        <f t="shared" si="56"/>
        <v>2.7184466019417448E-2</v>
      </c>
    </row>
    <row r="1159" spans="1:6" x14ac:dyDescent="0.25">
      <c r="A1159" t="s">
        <v>105</v>
      </c>
      <c r="B1159" s="1">
        <v>46118</v>
      </c>
      <c r="C1159">
        <v>106</v>
      </c>
      <c r="D1159">
        <f t="shared" si="54"/>
        <v>106.8</v>
      </c>
      <c r="E1159">
        <f t="shared" si="55"/>
        <v>5</v>
      </c>
      <c r="F1159">
        <f t="shared" si="56"/>
        <v>7.5471698113207279E-3</v>
      </c>
    </row>
    <row r="1160" spans="1:6" x14ac:dyDescent="0.25">
      <c r="A1160" t="s">
        <v>105</v>
      </c>
      <c r="B1160" s="1">
        <v>46125</v>
      </c>
      <c r="C1160">
        <v>123</v>
      </c>
      <c r="D1160">
        <f t="shared" si="54"/>
        <v>107.4</v>
      </c>
      <c r="E1160">
        <f t="shared" si="55"/>
        <v>5</v>
      </c>
      <c r="F1160">
        <f t="shared" si="56"/>
        <v>0.12682926829268287</v>
      </c>
    </row>
    <row r="1161" spans="1:6" x14ac:dyDescent="0.25">
      <c r="A1161" t="s">
        <v>105</v>
      </c>
      <c r="B1161" s="1">
        <v>46132</v>
      </c>
      <c r="C1161">
        <v>116</v>
      </c>
      <c r="D1161">
        <f t="shared" si="54"/>
        <v>110</v>
      </c>
      <c r="E1161">
        <f t="shared" si="55"/>
        <v>5</v>
      </c>
      <c r="F1161">
        <f t="shared" si="56"/>
        <v>5.1724137931034482E-2</v>
      </c>
    </row>
    <row r="1162" spans="1:6" x14ac:dyDescent="0.25">
      <c r="A1162" t="s">
        <v>105</v>
      </c>
      <c r="B1162" s="1">
        <v>46139</v>
      </c>
      <c r="C1162">
        <v>101</v>
      </c>
      <c r="D1162">
        <f t="shared" si="54"/>
        <v>111.6</v>
      </c>
      <c r="E1162">
        <f t="shared" si="55"/>
        <v>5</v>
      </c>
      <c r="F1162">
        <f t="shared" si="56"/>
        <v>0.10495049504950489</v>
      </c>
    </row>
    <row r="1163" spans="1:6" x14ac:dyDescent="0.25">
      <c r="A1163" t="s">
        <v>105</v>
      </c>
      <c r="B1163" s="1">
        <v>46146</v>
      </c>
      <c r="C1163">
        <v>111</v>
      </c>
      <c r="D1163">
        <f t="shared" si="54"/>
        <v>109.8</v>
      </c>
      <c r="E1163">
        <f t="shared" si="55"/>
        <v>5</v>
      </c>
      <c r="F1163">
        <f t="shared" si="56"/>
        <v>1.0810810810810836E-2</v>
      </c>
    </row>
    <row r="1164" spans="1:6" x14ac:dyDescent="0.25">
      <c r="A1164" t="s">
        <v>105</v>
      </c>
      <c r="B1164" s="1">
        <v>46153</v>
      </c>
      <c r="C1164">
        <v>100</v>
      </c>
      <c r="D1164">
        <f t="shared" si="54"/>
        <v>111.4</v>
      </c>
      <c r="E1164">
        <f t="shared" si="55"/>
        <v>5</v>
      </c>
      <c r="F1164">
        <f t="shared" si="56"/>
        <v>0.11400000000000006</v>
      </c>
    </row>
    <row r="1165" spans="1:6" x14ac:dyDescent="0.25">
      <c r="A1165" t="s">
        <v>105</v>
      </c>
      <c r="B1165" s="1">
        <v>46160</v>
      </c>
      <c r="C1165">
        <v>119</v>
      </c>
      <c r="D1165">
        <f t="shared" si="54"/>
        <v>110.2</v>
      </c>
      <c r="E1165">
        <f t="shared" si="55"/>
        <v>5</v>
      </c>
      <c r="F1165">
        <f t="shared" si="56"/>
        <v>7.3949579831932746E-2</v>
      </c>
    </row>
    <row r="1166" spans="1:6" x14ac:dyDescent="0.25">
      <c r="A1166" t="s">
        <v>105</v>
      </c>
      <c r="B1166" s="1">
        <v>46167</v>
      </c>
      <c r="C1166">
        <v>108</v>
      </c>
      <c r="D1166">
        <f t="shared" si="54"/>
        <v>109.4</v>
      </c>
      <c r="E1166">
        <f t="shared" si="55"/>
        <v>5</v>
      </c>
      <c r="F1166">
        <f t="shared" si="56"/>
        <v>1.2962962962963016E-2</v>
      </c>
    </row>
    <row r="1167" spans="1:6" x14ac:dyDescent="0.25">
      <c r="A1167" t="s">
        <v>105</v>
      </c>
      <c r="B1167" s="1">
        <v>46174</v>
      </c>
      <c r="C1167">
        <v>106</v>
      </c>
      <c r="D1167">
        <f t="shared" si="54"/>
        <v>107.8</v>
      </c>
      <c r="E1167">
        <f t="shared" si="55"/>
        <v>5</v>
      </c>
      <c r="F1167">
        <f t="shared" si="56"/>
        <v>1.698113207547167E-2</v>
      </c>
    </row>
    <row r="1168" spans="1:6" x14ac:dyDescent="0.25">
      <c r="A1168" t="s">
        <v>105</v>
      </c>
      <c r="B1168" s="1">
        <v>46181</v>
      </c>
      <c r="C1168">
        <v>113</v>
      </c>
      <c r="D1168">
        <f t="shared" si="54"/>
        <v>108.8</v>
      </c>
      <c r="E1168">
        <f t="shared" si="55"/>
        <v>5</v>
      </c>
      <c r="F1168">
        <f t="shared" si="56"/>
        <v>3.7168141592920381E-2</v>
      </c>
    </row>
    <row r="1169" spans="1:6" x14ac:dyDescent="0.25">
      <c r="A1169" t="s">
        <v>105</v>
      </c>
      <c r="B1169" s="1">
        <v>46188</v>
      </c>
      <c r="C1169">
        <v>116</v>
      </c>
      <c r="D1169">
        <f t="shared" si="54"/>
        <v>109.2</v>
      </c>
      <c r="E1169">
        <f t="shared" si="55"/>
        <v>5</v>
      </c>
      <c r="F1169">
        <f t="shared" si="56"/>
        <v>5.8620689655172392E-2</v>
      </c>
    </row>
    <row r="1170" spans="1:6" x14ac:dyDescent="0.25">
      <c r="A1170" t="s">
        <v>105</v>
      </c>
      <c r="B1170" s="1">
        <v>46195</v>
      </c>
      <c r="C1170">
        <v>120</v>
      </c>
      <c r="D1170">
        <f t="shared" si="54"/>
        <v>112.4</v>
      </c>
      <c r="E1170">
        <f t="shared" si="55"/>
        <v>5</v>
      </c>
      <c r="F1170">
        <f t="shared" si="56"/>
        <v>6.3333333333333283E-2</v>
      </c>
    </row>
    <row r="1171" spans="1:6" x14ac:dyDescent="0.25">
      <c r="A1171" t="s">
        <v>105</v>
      </c>
      <c r="B1171" s="1">
        <v>46202</v>
      </c>
      <c r="C1171">
        <v>126</v>
      </c>
      <c r="D1171">
        <f t="shared" si="54"/>
        <v>112.6</v>
      </c>
      <c r="E1171">
        <f t="shared" si="55"/>
        <v>5</v>
      </c>
      <c r="F1171">
        <f t="shared" si="56"/>
        <v>0.10634920634920639</v>
      </c>
    </row>
    <row r="1172" spans="1:6" x14ac:dyDescent="0.25">
      <c r="A1172" t="s">
        <v>107</v>
      </c>
      <c r="B1172" s="1">
        <v>46027</v>
      </c>
      <c r="C1172">
        <v>23</v>
      </c>
      <c r="D1172" t="str">
        <f t="shared" si="54"/>
        <v/>
      </c>
      <c r="E1172">
        <f t="shared" si="55"/>
        <v>0</v>
      </c>
      <c r="F1172" t="str">
        <f t="shared" si="56"/>
        <v/>
      </c>
    </row>
    <row r="1173" spans="1:6" x14ac:dyDescent="0.25">
      <c r="A1173" t="s">
        <v>107</v>
      </c>
      <c r="B1173" s="1">
        <v>46034</v>
      </c>
      <c r="C1173">
        <v>22</v>
      </c>
      <c r="D1173" t="str">
        <f t="shared" si="54"/>
        <v/>
      </c>
      <c r="E1173">
        <f t="shared" si="55"/>
        <v>1</v>
      </c>
      <c r="F1173" t="str">
        <f t="shared" si="56"/>
        <v/>
      </c>
    </row>
    <row r="1174" spans="1:6" x14ac:dyDescent="0.25">
      <c r="A1174" t="s">
        <v>107</v>
      </c>
      <c r="B1174" s="1">
        <v>46041</v>
      </c>
      <c r="C1174">
        <v>18</v>
      </c>
      <c r="D1174" t="str">
        <f t="shared" si="54"/>
        <v/>
      </c>
      <c r="E1174">
        <f t="shared" si="55"/>
        <v>2</v>
      </c>
      <c r="F1174" t="str">
        <f t="shared" si="56"/>
        <v/>
      </c>
    </row>
    <row r="1175" spans="1:6" x14ac:dyDescent="0.25">
      <c r="A1175" t="s">
        <v>107</v>
      </c>
      <c r="B1175" s="1">
        <v>46048</v>
      </c>
      <c r="C1175">
        <v>19</v>
      </c>
      <c r="D1175" t="str">
        <f t="shared" si="54"/>
        <v/>
      </c>
      <c r="E1175">
        <f t="shared" si="55"/>
        <v>3</v>
      </c>
      <c r="F1175" t="str">
        <f t="shared" si="56"/>
        <v/>
      </c>
    </row>
    <row r="1176" spans="1:6" x14ac:dyDescent="0.25">
      <c r="A1176" t="s">
        <v>107</v>
      </c>
      <c r="B1176" s="1">
        <v>46055</v>
      </c>
      <c r="C1176">
        <v>18</v>
      </c>
      <c r="D1176" t="str">
        <f t="shared" si="54"/>
        <v/>
      </c>
      <c r="E1176">
        <f t="shared" si="55"/>
        <v>4</v>
      </c>
      <c r="F1176" t="str">
        <f t="shared" si="56"/>
        <v/>
      </c>
    </row>
    <row r="1177" spans="1:6" x14ac:dyDescent="0.25">
      <c r="A1177" t="s">
        <v>107</v>
      </c>
      <c r="B1177" s="1">
        <v>46062</v>
      </c>
      <c r="C1177">
        <v>21</v>
      </c>
      <c r="D1177">
        <f t="shared" si="54"/>
        <v>20</v>
      </c>
      <c r="E1177">
        <f t="shared" si="55"/>
        <v>5</v>
      </c>
      <c r="F1177">
        <f t="shared" si="56"/>
        <v>4.7619047619047616E-2</v>
      </c>
    </row>
    <row r="1178" spans="1:6" x14ac:dyDescent="0.25">
      <c r="A1178" t="s">
        <v>107</v>
      </c>
      <c r="B1178" s="1">
        <v>46069</v>
      </c>
      <c r="C1178">
        <v>25</v>
      </c>
      <c r="D1178">
        <f t="shared" si="54"/>
        <v>19.600000000000001</v>
      </c>
      <c r="E1178">
        <f t="shared" si="55"/>
        <v>5</v>
      </c>
      <c r="F1178">
        <f t="shared" si="56"/>
        <v>0.21599999999999994</v>
      </c>
    </row>
    <row r="1179" spans="1:6" x14ac:dyDescent="0.25">
      <c r="A1179" t="s">
        <v>107</v>
      </c>
      <c r="B1179" s="1">
        <v>46076</v>
      </c>
      <c r="C1179">
        <v>22</v>
      </c>
      <c r="D1179">
        <f t="shared" si="54"/>
        <v>20.2</v>
      </c>
      <c r="E1179">
        <f t="shared" si="55"/>
        <v>5</v>
      </c>
      <c r="F1179">
        <f t="shared" si="56"/>
        <v>8.1818181818181845E-2</v>
      </c>
    </row>
    <row r="1180" spans="1:6" x14ac:dyDescent="0.25">
      <c r="A1180" t="s">
        <v>107</v>
      </c>
      <c r="B1180" s="1">
        <v>46083</v>
      </c>
      <c r="C1180">
        <v>16</v>
      </c>
      <c r="D1180">
        <f t="shared" si="54"/>
        <v>21</v>
      </c>
      <c r="E1180">
        <f t="shared" si="55"/>
        <v>5</v>
      </c>
      <c r="F1180">
        <f t="shared" si="56"/>
        <v>0.3125</v>
      </c>
    </row>
    <row r="1181" spans="1:6" x14ac:dyDescent="0.25">
      <c r="A1181" t="s">
        <v>107</v>
      </c>
      <c r="B1181" s="1">
        <v>46090</v>
      </c>
      <c r="C1181">
        <v>19</v>
      </c>
      <c r="D1181">
        <f t="shared" si="54"/>
        <v>20.399999999999999</v>
      </c>
      <c r="E1181">
        <f t="shared" si="55"/>
        <v>5</v>
      </c>
      <c r="F1181">
        <f t="shared" si="56"/>
        <v>7.3684210526315713E-2</v>
      </c>
    </row>
    <row r="1182" spans="1:6" x14ac:dyDescent="0.25">
      <c r="A1182" t="s">
        <v>107</v>
      </c>
      <c r="B1182" s="1">
        <v>46097</v>
      </c>
      <c r="C1182">
        <v>19</v>
      </c>
      <c r="D1182">
        <f t="shared" si="54"/>
        <v>20.6</v>
      </c>
      <c r="E1182">
        <f t="shared" si="55"/>
        <v>5</v>
      </c>
      <c r="F1182">
        <f t="shared" si="56"/>
        <v>8.4210526315789555E-2</v>
      </c>
    </row>
    <row r="1183" spans="1:6" x14ac:dyDescent="0.25">
      <c r="A1183" t="s">
        <v>107</v>
      </c>
      <c r="B1183" s="1">
        <v>46104</v>
      </c>
      <c r="C1183">
        <v>23</v>
      </c>
      <c r="D1183">
        <f t="shared" si="54"/>
        <v>20.2</v>
      </c>
      <c r="E1183">
        <f t="shared" si="55"/>
        <v>5</v>
      </c>
      <c r="F1183">
        <f t="shared" si="56"/>
        <v>0.12173913043478264</v>
      </c>
    </row>
    <row r="1184" spans="1:6" x14ac:dyDescent="0.25">
      <c r="A1184" t="s">
        <v>107</v>
      </c>
      <c r="B1184" s="1">
        <v>46111</v>
      </c>
      <c r="C1184">
        <v>22</v>
      </c>
      <c r="D1184">
        <f t="shared" si="54"/>
        <v>19.8</v>
      </c>
      <c r="E1184">
        <f t="shared" si="55"/>
        <v>5</v>
      </c>
      <c r="F1184">
        <f t="shared" si="56"/>
        <v>9.9999999999999964E-2</v>
      </c>
    </row>
    <row r="1185" spans="1:6" x14ac:dyDescent="0.25">
      <c r="A1185" t="s">
        <v>107</v>
      </c>
      <c r="B1185" s="1">
        <v>46118</v>
      </c>
      <c r="C1185">
        <v>23</v>
      </c>
      <c r="D1185">
        <f t="shared" si="54"/>
        <v>19.8</v>
      </c>
      <c r="E1185">
        <f t="shared" si="55"/>
        <v>5</v>
      </c>
      <c r="F1185">
        <f t="shared" si="56"/>
        <v>0.13913043478260867</v>
      </c>
    </row>
    <row r="1186" spans="1:6" x14ac:dyDescent="0.25">
      <c r="A1186" t="s">
        <v>107</v>
      </c>
      <c r="B1186" s="1">
        <v>46125</v>
      </c>
      <c r="C1186">
        <v>26</v>
      </c>
      <c r="D1186">
        <f t="shared" si="54"/>
        <v>21.2</v>
      </c>
      <c r="E1186">
        <f t="shared" si="55"/>
        <v>5</v>
      </c>
      <c r="F1186">
        <f t="shared" si="56"/>
        <v>0.18461538461538465</v>
      </c>
    </row>
    <row r="1187" spans="1:6" x14ac:dyDescent="0.25">
      <c r="A1187" t="s">
        <v>107</v>
      </c>
      <c r="B1187" s="1">
        <v>46132</v>
      </c>
      <c r="C1187">
        <v>21</v>
      </c>
      <c r="D1187">
        <f t="shared" si="54"/>
        <v>22.6</v>
      </c>
      <c r="E1187">
        <f t="shared" si="55"/>
        <v>5</v>
      </c>
      <c r="F1187">
        <f t="shared" si="56"/>
        <v>7.6190476190476253E-2</v>
      </c>
    </row>
    <row r="1188" spans="1:6" x14ac:dyDescent="0.25">
      <c r="A1188" t="s">
        <v>107</v>
      </c>
      <c r="B1188" s="1">
        <v>46139</v>
      </c>
      <c r="C1188">
        <v>21</v>
      </c>
      <c r="D1188">
        <f t="shared" si="54"/>
        <v>23</v>
      </c>
      <c r="E1188">
        <f t="shared" si="55"/>
        <v>5</v>
      </c>
      <c r="F1188">
        <f t="shared" si="56"/>
        <v>9.5238095238095233E-2</v>
      </c>
    </row>
    <row r="1189" spans="1:6" x14ac:dyDescent="0.25">
      <c r="A1189" t="s">
        <v>107</v>
      </c>
      <c r="B1189" s="1">
        <v>46146</v>
      </c>
      <c r="C1189">
        <v>28</v>
      </c>
      <c r="D1189">
        <f t="shared" si="54"/>
        <v>22.6</v>
      </c>
      <c r="E1189">
        <f t="shared" si="55"/>
        <v>5</v>
      </c>
      <c r="F1189">
        <f t="shared" si="56"/>
        <v>0.19285714285714281</v>
      </c>
    </row>
    <row r="1190" spans="1:6" x14ac:dyDescent="0.25">
      <c r="A1190" t="s">
        <v>107</v>
      </c>
      <c r="B1190" s="1">
        <v>46153</v>
      </c>
      <c r="C1190">
        <v>24</v>
      </c>
      <c r="D1190">
        <f t="shared" si="54"/>
        <v>23.8</v>
      </c>
      <c r="E1190">
        <f t="shared" si="55"/>
        <v>5</v>
      </c>
      <c r="F1190">
        <f t="shared" si="56"/>
        <v>8.3333333333333037E-3</v>
      </c>
    </row>
    <row r="1191" spans="1:6" x14ac:dyDescent="0.25">
      <c r="A1191" t="s">
        <v>107</v>
      </c>
      <c r="B1191" s="1">
        <v>46160</v>
      </c>
      <c r="C1191">
        <v>22</v>
      </c>
      <c r="D1191">
        <f t="shared" si="54"/>
        <v>24</v>
      </c>
      <c r="E1191">
        <f t="shared" si="55"/>
        <v>5</v>
      </c>
      <c r="F1191">
        <f t="shared" si="56"/>
        <v>9.0909090909090912E-2</v>
      </c>
    </row>
    <row r="1192" spans="1:6" x14ac:dyDescent="0.25">
      <c r="A1192" t="s">
        <v>107</v>
      </c>
      <c r="B1192" s="1">
        <v>46167</v>
      </c>
      <c r="C1192">
        <v>20</v>
      </c>
      <c r="D1192">
        <f t="shared" si="54"/>
        <v>23.2</v>
      </c>
      <c r="E1192">
        <f t="shared" si="55"/>
        <v>5</v>
      </c>
      <c r="F1192">
        <f t="shared" si="56"/>
        <v>0.15999999999999998</v>
      </c>
    </row>
    <row r="1193" spans="1:6" x14ac:dyDescent="0.25">
      <c r="A1193" t="s">
        <v>107</v>
      </c>
      <c r="B1193" s="1">
        <v>46174</v>
      </c>
      <c r="C1193">
        <v>21</v>
      </c>
      <c r="D1193">
        <f t="shared" si="54"/>
        <v>23</v>
      </c>
      <c r="E1193">
        <f t="shared" si="55"/>
        <v>5</v>
      </c>
      <c r="F1193">
        <f t="shared" si="56"/>
        <v>9.5238095238095233E-2</v>
      </c>
    </row>
    <row r="1194" spans="1:6" x14ac:dyDescent="0.25">
      <c r="A1194" t="s">
        <v>107</v>
      </c>
      <c r="B1194" s="1">
        <v>46181</v>
      </c>
      <c r="C1194">
        <v>19</v>
      </c>
      <c r="D1194">
        <f t="shared" si="54"/>
        <v>23</v>
      </c>
      <c r="E1194">
        <f t="shared" si="55"/>
        <v>5</v>
      </c>
      <c r="F1194">
        <f t="shared" si="56"/>
        <v>0.21052631578947367</v>
      </c>
    </row>
    <row r="1195" spans="1:6" x14ac:dyDescent="0.25">
      <c r="A1195" t="s">
        <v>107</v>
      </c>
      <c r="B1195" s="1">
        <v>46188</v>
      </c>
      <c r="C1195">
        <v>25</v>
      </c>
      <c r="D1195">
        <f t="shared" si="54"/>
        <v>21.2</v>
      </c>
      <c r="E1195">
        <f t="shared" si="55"/>
        <v>5</v>
      </c>
      <c r="F1195">
        <f t="shared" si="56"/>
        <v>0.15200000000000002</v>
      </c>
    </row>
    <row r="1196" spans="1:6" x14ac:dyDescent="0.25">
      <c r="A1196" t="s">
        <v>107</v>
      </c>
      <c r="B1196" s="1">
        <v>46195</v>
      </c>
      <c r="C1196">
        <v>25</v>
      </c>
      <c r="D1196">
        <f t="shared" si="54"/>
        <v>21.4</v>
      </c>
      <c r="E1196">
        <f t="shared" si="55"/>
        <v>5</v>
      </c>
      <c r="F1196">
        <f t="shared" si="56"/>
        <v>0.14400000000000004</v>
      </c>
    </row>
    <row r="1197" spans="1:6" x14ac:dyDescent="0.25">
      <c r="A1197" t="s">
        <v>107</v>
      </c>
      <c r="B1197" s="1">
        <v>46202</v>
      </c>
      <c r="C1197">
        <v>28</v>
      </c>
      <c r="D1197">
        <f t="shared" si="54"/>
        <v>22</v>
      </c>
      <c r="E1197">
        <f t="shared" si="55"/>
        <v>5</v>
      </c>
      <c r="F1197">
        <f t="shared" si="56"/>
        <v>0.21428571428571427</v>
      </c>
    </row>
    <row r="1198" spans="1:6" x14ac:dyDescent="0.25">
      <c r="A1198" t="s">
        <v>109</v>
      </c>
      <c r="B1198" s="1">
        <v>46027</v>
      </c>
      <c r="C1198">
        <v>92</v>
      </c>
      <c r="D1198" t="str">
        <f t="shared" si="54"/>
        <v/>
      </c>
      <c r="E1198">
        <f t="shared" si="55"/>
        <v>0</v>
      </c>
      <c r="F1198" t="str">
        <f t="shared" si="56"/>
        <v/>
      </c>
    </row>
    <row r="1199" spans="1:6" x14ac:dyDescent="0.25">
      <c r="A1199" t="s">
        <v>109</v>
      </c>
      <c r="B1199" s="1">
        <v>46034</v>
      </c>
      <c r="C1199">
        <v>116</v>
      </c>
      <c r="D1199" t="str">
        <f t="shared" si="54"/>
        <v/>
      </c>
      <c r="E1199">
        <f t="shared" si="55"/>
        <v>1</v>
      </c>
      <c r="F1199" t="str">
        <f t="shared" si="56"/>
        <v/>
      </c>
    </row>
    <row r="1200" spans="1:6" x14ac:dyDescent="0.25">
      <c r="A1200" t="s">
        <v>109</v>
      </c>
      <c r="B1200" s="1">
        <v>46041</v>
      </c>
      <c r="C1200">
        <v>108</v>
      </c>
      <c r="D1200" t="str">
        <f t="shared" si="54"/>
        <v/>
      </c>
      <c r="E1200">
        <f t="shared" si="55"/>
        <v>2</v>
      </c>
      <c r="F1200" t="str">
        <f t="shared" si="56"/>
        <v/>
      </c>
    </row>
    <row r="1201" spans="1:6" x14ac:dyDescent="0.25">
      <c r="A1201" t="s">
        <v>109</v>
      </c>
      <c r="B1201" s="1">
        <v>46048</v>
      </c>
      <c r="C1201">
        <v>107</v>
      </c>
      <c r="D1201" t="str">
        <f t="shared" si="54"/>
        <v/>
      </c>
      <c r="E1201">
        <f t="shared" si="55"/>
        <v>3</v>
      </c>
      <c r="F1201" t="str">
        <f t="shared" si="56"/>
        <v/>
      </c>
    </row>
    <row r="1202" spans="1:6" x14ac:dyDescent="0.25">
      <c r="A1202" t="s">
        <v>109</v>
      </c>
      <c r="B1202" s="1">
        <v>46055</v>
      </c>
      <c r="C1202">
        <v>116</v>
      </c>
      <c r="D1202" t="str">
        <f t="shared" si="54"/>
        <v/>
      </c>
      <c r="E1202">
        <f t="shared" si="55"/>
        <v>4</v>
      </c>
      <c r="F1202" t="str">
        <f t="shared" si="56"/>
        <v/>
      </c>
    </row>
    <row r="1203" spans="1:6" x14ac:dyDescent="0.25">
      <c r="A1203" t="s">
        <v>109</v>
      </c>
      <c r="B1203" s="1">
        <v>46062</v>
      </c>
      <c r="C1203">
        <v>108</v>
      </c>
      <c r="D1203">
        <f t="shared" si="54"/>
        <v>107.8</v>
      </c>
      <c r="E1203">
        <f t="shared" si="55"/>
        <v>5</v>
      </c>
      <c r="F1203">
        <f t="shared" si="56"/>
        <v>1.8518518518518782E-3</v>
      </c>
    </row>
    <row r="1204" spans="1:6" x14ac:dyDescent="0.25">
      <c r="A1204" t="s">
        <v>109</v>
      </c>
      <c r="B1204" s="1">
        <v>46069</v>
      </c>
      <c r="C1204">
        <v>122</v>
      </c>
      <c r="D1204">
        <f t="shared" si="54"/>
        <v>111</v>
      </c>
      <c r="E1204">
        <f t="shared" si="55"/>
        <v>5</v>
      </c>
      <c r="F1204">
        <f t="shared" si="56"/>
        <v>9.0163934426229511E-2</v>
      </c>
    </row>
    <row r="1205" spans="1:6" x14ac:dyDescent="0.25">
      <c r="A1205" t="s">
        <v>109</v>
      </c>
      <c r="B1205" s="1">
        <v>46076</v>
      </c>
      <c r="C1205">
        <v>130</v>
      </c>
      <c r="D1205">
        <f t="shared" si="54"/>
        <v>112.2</v>
      </c>
      <c r="E1205">
        <f t="shared" si="55"/>
        <v>5</v>
      </c>
      <c r="F1205">
        <f t="shared" si="56"/>
        <v>0.1369230769230769</v>
      </c>
    </row>
    <row r="1206" spans="1:6" x14ac:dyDescent="0.25">
      <c r="A1206" t="s">
        <v>109</v>
      </c>
      <c r="B1206" s="1">
        <v>46083</v>
      </c>
      <c r="C1206">
        <v>150</v>
      </c>
      <c r="D1206">
        <f t="shared" si="54"/>
        <v>116.6</v>
      </c>
      <c r="E1206">
        <f t="shared" si="55"/>
        <v>5</v>
      </c>
      <c r="F1206">
        <f t="shared" si="56"/>
        <v>0.22266666666666671</v>
      </c>
    </row>
    <row r="1207" spans="1:6" x14ac:dyDescent="0.25">
      <c r="A1207" t="s">
        <v>109</v>
      </c>
      <c r="B1207" s="1">
        <v>46090</v>
      </c>
      <c r="C1207">
        <v>120</v>
      </c>
      <c r="D1207">
        <f t="shared" si="54"/>
        <v>125.2</v>
      </c>
      <c r="E1207">
        <f t="shared" si="55"/>
        <v>5</v>
      </c>
      <c r="F1207">
        <f t="shared" si="56"/>
        <v>4.3333333333333356E-2</v>
      </c>
    </row>
    <row r="1208" spans="1:6" x14ac:dyDescent="0.25">
      <c r="A1208" t="s">
        <v>109</v>
      </c>
      <c r="B1208" s="1">
        <v>46097</v>
      </c>
      <c r="C1208">
        <v>108</v>
      </c>
      <c r="D1208">
        <f t="shared" si="54"/>
        <v>126</v>
      </c>
      <c r="E1208">
        <f t="shared" si="55"/>
        <v>5</v>
      </c>
      <c r="F1208">
        <f t="shared" si="56"/>
        <v>0.16666666666666666</v>
      </c>
    </row>
    <row r="1209" spans="1:6" x14ac:dyDescent="0.25">
      <c r="A1209" t="s">
        <v>109</v>
      </c>
      <c r="B1209" s="1">
        <v>46104</v>
      </c>
      <c r="C1209">
        <v>131</v>
      </c>
      <c r="D1209">
        <f t="shared" si="54"/>
        <v>126</v>
      </c>
      <c r="E1209">
        <f t="shared" si="55"/>
        <v>5</v>
      </c>
      <c r="F1209">
        <f t="shared" si="56"/>
        <v>3.8167938931297711E-2</v>
      </c>
    </row>
    <row r="1210" spans="1:6" x14ac:dyDescent="0.25">
      <c r="A1210" t="s">
        <v>109</v>
      </c>
      <c r="B1210" s="1">
        <v>46111</v>
      </c>
      <c r="C1210">
        <v>107</v>
      </c>
      <c r="D1210">
        <f t="shared" si="54"/>
        <v>127.8</v>
      </c>
      <c r="E1210">
        <f t="shared" si="55"/>
        <v>5</v>
      </c>
      <c r="F1210">
        <f t="shared" si="56"/>
        <v>0.19439252336448595</v>
      </c>
    </row>
    <row r="1211" spans="1:6" x14ac:dyDescent="0.25">
      <c r="A1211" t="s">
        <v>109</v>
      </c>
      <c r="B1211" s="1">
        <v>46118</v>
      </c>
      <c r="C1211">
        <v>152</v>
      </c>
      <c r="D1211">
        <f t="shared" si="54"/>
        <v>123.2</v>
      </c>
      <c r="E1211">
        <f t="shared" si="55"/>
        <v>5</v>
      </c>
      <c r="F1211">
        <f t="shared" si="56"/>
        <v>0.18947368421052629</v>
      </c>
    </row>
    <row r="1212" spans="1:6" x14ac:dyDescent="0.25">
      <c r="A1212" t="s">
        <v>109</v>
      </c>
      <c r="B1212" s="1">
        <v>46125</v>
      </c>
      <c r="C1212">
        <v>114</v>
      </c>
      <c r="D1212">
        <f t="shared" si="54"/>
        <v>123.6</v>
      </c>
      <c r="E1212">
        <f t="shared" si="55"/>
        <v>5</v>
      </c>
      <c r="F1212">
        <f t="shared" si="56"/>
        <v>8.421052631578943E-2</v>
      </c>
    </row>
    <row r="1213" spans="1:6" x14ac:dyDescent="0.25">
      <c r="A1213" t="s">
        <v>109</v>
      </c>
      <c r="B1213" s="1">
        <v>46132</v>
      </c>
      <c r="C1213">
        <v>147</v>
      </c>
      <c r="D1213">
        <f t="shared" si="54"/>
        <v>122.4</v>
      </c>
      <c r="E1213">
        <f t="shared" si="55"/>
        <v>5</v>
      </c>
      <c r="F1213">
        <f t="shared" si="56"/>
        <v>0.16734693877551016</v>
      </c>
    </row>
    <row r="1214" spans="1:6" x14ac:dyDescent="0.25">
      <c r="A1214" t="s">
        <v>109</v>
      </c>
      <c r="B1214" s="1">
        <v>46139</v>
      </c>
      <c r="C1214">
        <v>145</v>
      </c>
      <c r="D1214">
        <f t="shared" si="54"/>
        <v>130.19999999999999</v>
      </c>
      <c r="E1214">
        <f t="shared" si="55"/>
        <v>5</v>
      </c>
      <c r="F1214">
        <f t="shared" si="56"/>
        <v>0.10206896551724146</v>
      </c>
    </row>
    <row r="1215" spans="1:6" x14ac:dyDescent="0.25">
      <c r="A1215" t="s">
        <v>109</v>
      </c>
      <c r="B1215" s="1">
        <v>46146</v>
      </c>
      <c r="C1215">
        <v>126</v>
      </c>
      <c r="D1215">
        <f t="shared" si="54"/>
        <v>133</v>
      </c>
      <c r="E1215">
        <f t="shared" si="55"/>
        <v>5</v>
      </c>
      <c r="F1215">
        <f t="shared" si="56"/>
        <v>5.5555555555555552E-2</v>
      </c>
    </row>
    <row r="1216" spans="1:6" x14ac:dyDescent="0.25">
      <c r="A1216" t="s">
        <v>109</v>
      </c>
      <c r="B1216" s="1">
        <v>46153</v>
      </c>
      <c r="C1216">
        <v>149</v>
      </c>
      <c r="D1216">
        <f t="shared" si="54"/>
        <v>136.80000000000001</v>
      </c>
      <c r="E1216">
        <f t="shared" si="55"/>
        <v>5</v>
      </c>
      <c r="F1216">
        <f t="shared" si="56"/>
        <v>8.1879194630872412E-2</v>
      </c>
    </row>
    <row r="1217" spans="1:6" x14ac:dyDescent="0.25">
      <c r="A1217" t="s">
        <v>109</v>
      </c>
      <c r="B1217" s="1">
        <v>46160</v>
      </c>
      <c r="C1217">
        <v>123</v>
      </c>
      <c r="D1217">
        <f t="shared" si="54"/>
        <v>136.19999999999999</v>
      </c>
      <c r="E1217">
        <f t="shared" si="55"/>
        <v>5</v>
      </c>
      <c r="F1217">
        <f t="shared" si="56"/>
        <v>0.10731707317073161</v>
      </c>
    </row>
    <row r="1218" spans="1:6" x14ac:dyDescent="0.25">
      <c r="A1218" t="s">
        <v>109</v>
      </c>
      <c r="B1218" s="1">
        <v>46167</v>
      </c>
      <c r="C1218">
        <v>121</v>
      </c>
      <c r="D1218">
        <f t="shared" ref="D1218:D1281" si="57">IF(E1218 &lt; 5, "", AVERAGEIFS(C:C, A:A, A1218, B:B, "&gt;=" &amp; (B1218-35), B:B, "&lt;=" &amp; (B1218-7)))</f>
        <v>138</v>
      </c>
      <c r="E1218">
        <f t="shared" ref="E1218:E1281" si="58">COUNTIFS(A:A, A1218, B:B, "&gt;=" &amp; (B1218-35), B:B, "&lt;=" &amp; (B1218-7))</f>
        <v>5</v>
      </c>
      <c r="F1218">
        <f t="shared" ref="F1218:F1281" si="59">IF(OR(C1218=0, D1218=""), "", ABS(C1218 - D1218) / C1218)</f>
        <v>0.14049586776859505</v>
      </c>
    </row>
    <row r="1219" spans="1:6" x14ac:dyDescent="0.25">
      <c r="A1219" t="s">
        <v>109</v>
      </c>
      <c r="B1219" s="1">
        <v>46174</v>
      </c>
      <c r="C1219">
        <v>148</v>
      </c>
      <c r="D1219">
        <f t="shared" si="57"/>
        <v>132.80000000000001</v>
      </c>
      <c r="E1219">
        <f t="shared" si="58"/>
        <v>5</v>
      </c>
      <c r="F1219">
        <f t="shared" si="59"/>
        <v>0.10270270270270263</v>
      </c>
    </row>
    <row r="1220" spans="1:6" x14ac:dyDescent="0.25">
      <c r="A1220" t="s">
        <v>109</v>
      </c>
      <c r="B1220" s="1">
        <v>46181</v>
      </c>
      <c r="C1220">
        <v>128</v>
      </c>
      <c r="D1220">
        <f t="shared" si="57"/>
        <v>133.4</v>
      </c>
      <c r="E1220">
        <f t="shared" si="58"/>
        <v>5</v>
      </c>
      <c r="F1220">
        <f t="shared" si="59"/>
        <v>4.2187500000000044E-2</v>
      </c>
    </row>
    <row r="1221" spans="1:6" x14ac:dyDescent="0.25">
      <c r="A1221" t="s">
        <v>109</v>
      </c>
      <c r="B1221" s="1">
        <v>46188</v>
      </c>
      <c r="C1221">
        <v>153</v>
      </c>
      <c r="D1221">
        <f t="shared" si="57"/>
        <v>133.80000000000001</v>
      </c>
      <c r="E1221">
        <f t="shared" si="58"/>
        <v>5</v>
      </c>
      <c r="F1221">
        <f t="shared" si="59"/>
        <v>0.12549019607843129</v>
      </c>
    </row>
    <row r="1222" spans="1:6" x14ac:dyDescent="0.25">
      <c r="A1222" t="s">
        <v>109</v>
      </c>
      <c r="B1222" s="1">
        <v>46195</v>
      </c>
      <c r="C1222">
        <v>140</v>
      </c>
      <c r="D1222">
        <f t="shared" si="57"/>
        <v>134.6</v>
      </c>
      <c r="E1222">
        <f t="shared" si="58"/>
        <v>5</v>
      </c>
      <c r="F1222">
        <f t="shared" si="59"/>
        <v>3.8571428571428611E-2</v>
      </c>
    </row>
    <row r="1223" spans="1:6" x14ac:dyDescent="0.25">
      <c r="A1223" t="s">
        <v>109</v>
      </c>
      <c r="B1223" s="1">
        <v>46202</v>
      </c>
      <c r="C1223">
        <v>145</v>
      </c>
      <c r="D1223">
        <f t="shared" si="57"/>
        <v>138</v>
      </c>
      <c r="E1223">
        <f t="shared" si="58"/>
        <v>5</v>
      </c>
      <c r="F1223">
        <f t="shared" si="59"/>
        <v>4.8275862068965517E-2</v>
      </c>
    </row>
    <row r="1224" spans="1:6" x14ac:dyDescent="0.25">
      <c r="A1224" t="s">
        <v>111</v>
      </c>
      <c r="B1224" s="1">
        <v>46027</v>
      </c>
      <c r="C1224">
        <v>117</v>
      </c>
      <c r="D1224" t="str">
        <f t="shared" si="57"/>
        <v/>
      </c>
      <c r="E1224">
        <f t="shared" si="58"/>
        <v>0</v>
      </c>
      <c r="F1224" t="str">
        <f t="shared" si="59"/>
        <v/>
      </c>
    </row>
    <row r="1225" spans="1:6" x14ac:dyDescent="0.25">
      <c r="A1225" t="s">
        <v>111</v>
      </c>
      <c r="B1225" s="1">
        <v>46034</v>
      </c>
      <c r="C1225">
        <v>115</v>
      </c>
      <c r="D1225" t="str">
        <f t="shared" si="57"/>
        <v/>
      </c>
      <c r="E1225">
        <f t="shared" si="58"/>
        <v>1</v>
      </c>
      <c r="F1225" t="str">
        <f t="shared" si="59"/>
        <v/>
      </c>
    </row>
    <row r="1226" spans="1:6" x14ac:dyDescent="0.25">
      <c r="A1226" t="s">
        <v>111</v>
      </c>
      <c r="B1226" s="1">
        <v>46041</v>
      </c>
      <c r="C1226">
        <v>118</v>
      </c>
      <c r="D1226" t="str">
        <f t="shared" si="57"/>
        <v/>
      </c>
      <c r="E1226">
        <f t="shared" si="58"/>
        <v>2</v>
      </c>
      <c r="F1226" t="str">
        <f t="shared" si="59"/>
        <v/>
      </c>
    </row>
    <row r="1227" spans="1:6" x14ac:dyDescent="0.25">
      <c r="A1227" t="s">
        <v>111</v>
      </c>
      <c r="B1227" s="1">
        <v>46048</v>
      </c>
      <c r="C1227">
        <v>145</v>
      </c>
      <c r="D1227" t="str">
        <f t="shared" si="57"/>
        <v/>
      </c>
      <c r="E1227">
        <f t="shared" si="58"/>
        <v>3</v>
      </c>
      <c r="F1227" t="str">
        <f t="shared" si="59"/>
        <v/>
      </c>
    </row>
    <row r="1228" spans="1:6" x14ac:dyDescent="0.25">
      <c r="A1228" t="s">
        <v>111</v>
      </c>
      <c r="B1228" s="1">
        <v>46055</v>
      </c>
      <c r="C1228">
        <v>133</v>
      </c>
      <c r="D1228" t="str">
        <f t="shared" si="57"/>
        <v/>
      </c>
      <c r="E1228">
        <f t="shared" si="58"/>
        <v>4</v>
      </c>
      <c r="F1228" t="str">
        <f t="shared" si="59"/>
        <v/>
      </c>
    </row>
    <row r="1229" spans="1:6" x14ac:dyDescent="0.25">
      <c r="A1229" t="s">
        <v>111</v>
      </c>
      <c r="B1229" s="1">
        <v>46062</v>
      </c>
      <c r="C1229">
        <v>135</v>
      </c>
      <c r="D1229">
        <f t="shared" si="57"/>
        <v>125.6</v>
      </c>
      <c r="E1229">
        <f t="shared" si="58"/>
        <v>5</v>
      </c>
      <c r="F1229">
        <f t="shared" si="59"/>
        <v>6.9629629629629666E-2</v>
      </c>
    </row>
    <row r="1230" spans="1:6" x14ac:dyDescent="0.25">
      <c r="A1230" t="s">
        <v>111</v>
      </c>
      <c r="B1230" s="1">
        <v>46069</v>
      </c>
      <c r="C1230">
        <v>138</v>
      </c>
      <c r="D1230">
        <f t="shared" si="57"/>
        <v>129.19999999999999</v>
      </c>
      <c r="E1230">
        <f t="shared" si="58"/>
        <v>5</v>
      </c>
      <c r="F1230">
        <f t="shared" si="59"/>
        <v>6.3768115942029066E-2</v>
      </c>
    </row>
    <row r="1231" spans="1:6" x14ac:dyDescent="0.25">
      <c r="A1231" t="s">
        <v>111</v>
      </c>
      <c r="B1231" s="1">
        <v>46076</v>
      </c>
      <c r="C1231">
        <v>111</v>
      </c>
      <c r="D1231">
        <f t="shared" si="57"/>
        <v>133.80000000000001</v>
      </c>
      <c r="E1231">
        <f t="shared" si="58"/>
        <v>5</v>
      </c>
      <c r="F1231">
        <f t="shared" si="59"/>
        <v>0.2054054054054055</v>
      </c>
    </row>
    <row r="1232" spans="1:6" x14ac:dyDescent="0.25">
      <c r="A1232" t="s">
        <v>111</v>
      </c>
      <c r="B1232" s="1">
        <v>46083</v>
      </c>
      <c r="C1232">
        <v>137</v>
      </c>
      <c r="D1232">
        <f t="shared" si="57"/>
        <v>132.4</v>
      </c>
      <c r="E1232">
        <f t="shared" si="58"/>
        <v>5</v>
      </c>
      <c r="F1232">
        <f t="shared" si="59"/>
        <v>3.3576642335766384E-2</v>
      </c>
    </row>
    <row r="1233" spans="1:6" x14ac:dyDescent="0.25">
      <c r="A1233" t="s">
        <v>111</v>
      </c>
      <c r="B1233" s="1">
        <v>46090</v>
      </c>
      <c r="C1233">
        <v>141</v>
      </c>
      <c r="D1233">
        <f t="shared" si="57"/>
        <v>130.80000000000001</v>
      </c>
      <c r="E1233">
        <f t="shared" si="58"/>
        <v>5</v>
      </c>
      <c r="F1233">
        <f t="shared" si="59"/>
        <v>7.2340425531914818E-2</v>
      </c>
    </row>
    <row r="1234" spans="1:6" x14ac:dyDescent="0.25">
      <c r="A1234" t="s">
        <v>111</v>
      </c>
      <c r="B1234" s="1">
        <v>46097</v>
      </c>
      <c r="C1234">
        <v>132</v>
      </c>
      <c r="D1234">
        <f t="shared" si="57"/>
        <v>132.4</v>
      </c>
      <c r="E1234">
        <f t="shared" si="58"/>
        <v>5</v>
      </c>
      <c r="F1234">
        <f t="shared" si="59"/>
        <v>3.0303030303030732E-3</v>
      </c>
    </row>
    <row r="1235" spans="1:6" x14ac:dyDescent="0.25">
      <c r="A1235" t="s">
        <v>111</v>
      </c>
      <c r="B1235" s="1">
        <v>46104</v>
      </c>
      <c r="C1235">
        <v>124</v>
      </c>
      <c r="D1235">
        <f t="shared" si="57"/>
        <v>131.80000000000001</v>
      </c>
      <c r="E1235">
        <f t="shared" si="58"/>
        <v>5</v>
      </c>
      <c r="F1235">
        <f t="shared" si="59"/>
        <v>6.2903225806451704E-2</v>
      </c>
    </row>
    <row r="1236" spans="1:6" x14ac:dyDescent="0.25">
      <c r="A1236" t="s">
        <v>111</v>
      </c>
      <c r="B1236" s="1">
        <v>46111</v>
      </c>
      <c r="C1236">
        <v>145</v>
      </c>
      <c r="D1236">
        <f t="shared" si="57"/>
        <v>129</v>
      </c>
      <c r="E1236">
        <f t="shared" si="58"/>
        <v>5</v>
      </c>
      <c r="F1236">
        <f t="shared" si="59"/>
        <v>0.1103448275862069</v>
      </c>
    </row>
    <row r="1237" spans="1:6" x14ac:dyDescent="0.25">
      <c r="A1237" t="s">
        <v>111</v>
      </c>
      <c r="B1237" s="1">
        <v>46118</v>
      </c>
      <c r="C1237">
        <v>137</v>
      </c>
      <c r="D1237">
        <f t="shared" si="57"/>
        <v>135.80000000000001</v>
      </c>
      <c r="E1237">
        <f t="shared" si="58"/>
        <v>5</v>
      </c>
      <c r="F1237">
        <f t="shared" si="59"/>
        <v>8.7591240875911584E-3</v>
      </c>
    </row>
    <row r="1238" spans="1:6" x14ac:dyDescent="0.25">
      <c r="A1238" t="s">
        <v>111</v>
      </c>
      <c r="B1238" s="1">
        <v>46125</v>
      </c>
      <c r="C1238">
        <v>153</v>
      </c>
      <c r="D1238">
        <f t="shared" si="57"/>
        <v>135.80000000000001</v>
      </c>
      <c r="E1238">
        <f t="shared" si="58"/>
        <v>5</v>
      </c>
      <c r="F1238">
        <f t="shared" si="59"/>
        <v>0.11241830065359469</v>
      </c>
    </row>
    <row r="1239" spans="1:6" x14ac:dyDescent="0.25">
      <c r="A1239" t="s">
        <v>111</v>
      </c>
      <c r="B1239" s="1">
        <v>46132</v>
      </c>
      <c r="C1239">
        <v>138</v>
      </c>
      <c r="D1239">
        <f t="shared" si="57"/>
        <v>138.19999999999999</v>
      </c>
      <c r="E1239">
        <f t="shared" si="58"/>
        <v>5</v>
      </c>
      <c r="F1239">
        <f t="shared" si="59"/>
        <v>1.4492753623187582E-3</v>
      </c>
    </row>
    <row r="1240" spans="1:6" x14ac:dyDescent="0.25">
      <c r="A1240" t="s">
        <v>111</v>
      </c>
      <c r="B1240" s="1">
        <v>46139</v>
      </c>
      <c r="C1240">
        <v>145</v>
      </c>
      <c r="D1240">
        <f t="shared" si="57"/>
        <v>139.4</v>
      </c>
      <c r="E1240">
        <f t="shared" si="58"/>
        <v>5</v>
      </c>
      <c r="F1240">
        <f t="shared" si="59"/>
        <v>3.8620689655172374E-2</v>
      </c>
    </row>
    <row r="1241" spans="1:6" x14ac:dyDescent="0.25">
      <c r="A1241" t="s">
        <v>111</v>
      </c>
      <c r="B1241" s="1">
        <v>46146</v>
      </c>
      <c r="C1241">
        <v>158</v>
      </c>
      <c r="D1241">
        <f t="shared" si="57"/>
        <v>143.6</v>
      </c>
      <c r="E1241">
        <f t="shared" si="58"/>
        <v>5</v>
      </c>
      <c r="F1241">
        <f t="shared" si="59"/>
        <v>9.1139240506329156E-2</v>
      </c>
    </row>
    <row r="1242" spans="1:6" x14ac:dyDescent="0.25">
      <c r="A1242" t="s">
        <v>111</v>
      </c>
      <c r="B1242" s="1">
        <v>46153</v>
      </c>
      <c r="C1242">
        <v>159</v>
      </c>
      <c r="D1242">
        <f t="shared" si="57"/>
        <v>146.19999999999999</v>
      </c>
      <c r="E1242">
        <f t="shared" si="58"/>
        <v>5</v>
      </c>
      <c r="F1242">
        <f t="shared" si="59"/>
        <v>8.0503144654088116E-2</v>
      </c>
    </row>
    <row r="1243" spans="1:6" x14ac:dyDescent="0.25">
      <c r="A1243" t="s">
        <v>111</v>
      </c>
      <c r="B1243" s="1">
        <v>46160</v>
      </c>
      <c r="C1243">
        <v>162</v>
      </c>
      <c r="D1243">
        <f t="shared" si="57"/>
        <v>150.6</v>
      </c>
      <c r="E1243">
        <f t="shared" si="58"/>
        <v>5</v>
      </c>
      <c r="F1243">
        <f t="shared" si="59"/>
        <v>7.0370370370370403E-2</v>
      </c>
    </row>
    <row r="1244" spans="1:6" x14ac:dyDescent="0.25">
      <c r="A1244" t="s">
        <v>111</v>
      </c>
      <c r="B1244" s="1">
        <v>46167</v>
      </c>
      <c r="C1244">
        <v>148</v>
      </c>
      <c r="D1244">
        <f t="shared" si="57"/>
        <v>152.4</v>
      </c>
      <c r="E1244">
        <f t="shared" si="58"/>
        <v>5</v>
      </c>
      <c r="F1244">
        <f t="shared" si="59"/>
        <v>2.972972972972977E-2</v>
      </c>
    </row>
    <row r="1245" spans="1:6" x14ac:dyDescent="0.25">
      <c r="A1245" t="s">
        <v>111</v>
      </c>
      <c r="B1245" s="1">
        <v>46174</v>
      </c>
      <c r="C1245">
        <v>176</v>
      </c>
      <c r="D1245">
        <f t="shared" si="57"/>
        <v>154.4</v>
      </c>
      <c r="E1245">
        <f t="shared" si="58"/>
        <v>5</v>
      </c>
      <c r="F1245">
        <f t="shared" si="59"/>
        <v>0.1227272727272727</v>
      </c>
    </row>
    <row r="1246" spans="1:6" x14ac:dyDescent="0.25">
      <c r="A1246" t="s">
        <v>111</v>
      </c>
      <c r="B1246" s="1">
        <v>46181</v>
      </c>
      <c r="C1246">
        <v>143</v>
      </c>
      <c r="D1246">
        <f t="shared" si="57"/>
        <v>160.6</v>
      </c>
      <c r="E1246">
        <f t="shared" si="58"/>
        <v>5</v>
      </c>
      <c r="F1246">
        <f t="shared" si="59"/>
        <v>0.12307692307692304</v>
      </c>
    </row>
    <row r="1247" spans="1:6" x14ac:dyDescent="0.25">
      <c r="A1247" t="s">
        <v>111</v>
      </c>
      <c r="B1247" s="1">
        <v>46188</v>
      </c>
      <c r="C1247">
        <v>149</v>
      </c>
      <c r="D1247">
        <f t="shared" si="57"/>
        <v>157.6</v>
      </c>
      <c r="E1247">
        <f t="shared" si="58"/>
        <v>5</v>
      </c>
      <c r="F1247">
        <f t="shared" si="59"/>
        <v>5.7718120805369089E-2</v>
      </c>
    </row>
    <row r="1248" spans="1:6" x14ac:dyDescent="0.25">
      <c r="A1248" t="s">
        <v>111</v>
      </c>
      <c r="B1248" s="1">
        <v>46195</v>
      </c>
      <c r="C1248">
        <v>156</v>
      </c>
      <c r="D1248">
        <f t="shared" si="57"/>
        <v>155.6</v>
      </c>
      <c r="E1248">
        <f t="shared" si="58"/>
        <v>5</v>
      </c>
      <c r="F1248">
        <f t="shared" si="59"/>
        <v>2.5641025641026005E-3</v>
      </c>
    </row>
    <row r="1249" spans="1:6" x14ac:dyDescent="0.25">
      <c r="A1249" t="s">
        <v>111</v>
      </c>
      <c r="B1249" s="1">
        <v>46202</v>
      </c>
      <c r="C1249">
        <v>174</v>
      </c>
      <c r="D1249">
        <f t="shared" si="57"/>
        <v>154.4</v>
      </c>
      <c r="E1249">
        <f t="shared" si="58"/>
        <v>5</v>
      </c>
      <c r="F1249">
        <f t="shared" si="59"/>
        <v>0.11264367816091951</v>
      </c>
    </row>
    <row r="1250" spans="1:6" x14ac:dyDescent="0.25">
      <c r="A1250" t="s">
        <v>113</v>
      </c>
      <c r="B1250" s="1">
        <v>46027</v>
      </c>
      <c r="C1250">
        <v>42</v>
      </c>
      <c r="D1250" t="str">
        <f t="shared" si="57"/>
        <v/>
      </c>
      <c r="E1250">
        <f t="shared" si="58"/>
        <v>0</v>
      </c>
      <c r="F1250" t="str">
        <f t="shared" si="59"/>
        <v/>
      </c>
    </row>
    <row r="1251" spans="1:6" x14ac:dyDescent="0.25">
      <c r="A1251" t="s">
        <v>113</v>
      </c>
      <c r="B1251" s="1">
        <v>46034</v>
      </c>
      <c r="C1251">
        <v>37</v>
      </c>
      <c r="D1251" t="str">
        <f t="shared" si="57"/>
        <v/>
      </c>
      <c r="E1251">
        <f t="shared" si="58"/>
        <v>1</v>
      </c>
      <c r="F1251" t="str">
        <f t="shared" si="59"/>
        <v/>
      </c>
    </row>
    <row r="1252" spans="1:6" x14ac:dyDescent="0.25">
      <c r="A1252" t="s">
        <v>113</v>
      </c>
      <c r="B1252" s="1">
        <v>46041</v>
      </c>
      <c r="C1252">
        <v>50</v>
      </c>
      <c r="D1252" t="str">
        <f t="shared" si="57"/>
        <v/>
      </c>
      <c r="E1252">
        <f t="shared" si="58"/>
        <v>2</v>
      </c>
      <c r="F1252" t="str">
        <f t="shared" si="59"/>
        <v/>
      </c>
    </row>
    <row r="1253" spans="1:6" x14ac:dyDescent="0.25">
      <c r="A1253" t="s">
        <v>113</v>
      </c>
      <c r="B1253" s="1">
        <v>46048</v>
      </c>
      <c r="C1253">
        <v>48</v>
      </c>
      <c r="D1253" t="str">
        <f t="shared" si="57"/>
        <v/>
      </c>
      <c r="E1253">
        <f t="shared" si="58"/>
        <v>3</v>
      </c>
      <c r="F1253" t="str">
        <f t="shared" si="59"/>
        <v/>
      </c>
    </row>
    <row r="1254" spans="1:6" x14ac:dyDescent="0.25">
      <c r="A1254" t="s">
        <v>113</v>
      </c>
      <c r="B1254" s="1">
        <v>46055</v>
      </c>
      <c r="C1254">
        <v>44</v>
      </c>
      <c r="D1254" t="str">
        <f t="shared" si="57"/>
        <v/>
      </c>
      <c r="E1254">
        <f t="shared" si="58"/>
        <v>4</v>
      </c>
      <c r="F1254" t="str">
        <f t="shared" si="59"/>
        <v/>
      </c>
    </row>
    <row r="1255" spans="1:6" x14ac:dyDescent="0.25">
      <c r="A1255" t="s">
        <v>113</v>
      </c>
      <c r="B1255" s="1">
        <v>46062</v>
      </c>
      <c r="C1255">
        <v>38</v>
      </c>
      <c r="D1255">
        <f t="shared" si="57"/>
        <v>44.2</v>
      </c>
      <c r="E1255">
        <f t="shared" si="58"/>
        <v>5</v>
      </c>
      <c r="F1255">
        <f t="shared" si="59"/>
        <v>0.16315789473684217</v>
      </c>
    </row>
    <row r="1256" spans="1:6" x14ac:dyDescent="0.25">
      <c r="A1256" t="s">
        <v>113</v>
      </c>
      <c r="B1256" s="1">
        <v>46069</v>
      </c>
      <c r="C1256">
        <v>52</v>
      </c>
      <c r="D1256">
        <f t="shared" si="57"/>
        <v>43.4</v>
      </c>
      <c r="E1256">
        <f t="shared" si="58"/>
        <v>5</v>
      </c>
      <c r="F1256">
        <f t="shared" si="59"/>
        <v>0.16538461538461541</v>
      </c>
    </row>
    <row r="1257" spans="1:6" x14ac:dyDescent="0.25">
      <c r="A1257" t="s">
        <v>113</v>
      </c>
      <c r="B1257" s="1">
        <v>46076</v>
      </c>
      <c r="C1257">
        <v>47</v>
      </c>
      <c r="D1257">
        <f t="shared" si="57"/>
        <v>46.4</v>
      </c>
      <c r="E1257">
        <f t="shared" si="58"/>
        <v>5</v>
      </c>
      <c r="F1257">
        <f t="shared" si="59"/>
        <v>1.2765957446808541E-2</v>
      </c>
    </row>
    <row r="1258" spans="1:6" x14ac:dyDescent="0.25">
      <c r="A1258" t="s">
        <v>113</v>
      </c>
      <c r="B1258" s="1">
        <v>46083</v>
      </c>
      <c r="C1258">
        <v>47</v>
      </c>
      <c r="D1258">
        <f t="shared" si="57"/>
        <v>45.8</v>
      </c>
      <c r="E1258">
        <f t="shared" si="58"/>
        <v>5</v>
      </c>
      <c r="F1258">
        <f t="shared" si="59"/>
        <v>2.5531914893617082E-2</v>
      </c>
    </row>
    <row r="1259" spans="1:6" x14ac:dyDescent="0.25">
      <c r="A1259" t="s">
        <v>113</v>
      </c>
      <c r="B1259" s="1">
        <v>46090</v>
      </c>
      <c r="C1259">
        <v>48</v>
      </c>
      <c r="D1259">
        <f t="shared" si="57"/>
        <v>45.6</v>
      </c>
      <c r="E1259">
        <f t="shared" si="58"/>
        <v>5</v>
      </c>
      <c r="F1259">
        <f t="shared" si="59"/>
        <v>4.9999999999999968E-2</v>
      </c>
    </row>
    <row r="1260" spans="1:6" x14ac:dyDescent="0.25">
      <c r="A1260" t="s">
        <v>113</v>
      </c>
      <c r="B1260" s="1">
        <v>46097</v>
      </c>
      <c r="C1260">
        <v>46</v>
      </c>
      <c r="D1260">
        <f t="shared" si="57"/>
        <v>46.4</v>
      </c>
      <c r="E1260">
        <f t="shared" si="58"/>
        <v>5</v>
      </c>
      <c r="F1260">
        <f t="shared" si="59"/>
        <v>8.6956521739130124E-3</v>
      </c>
    </row>
    <row r="1261" spans="1:6" x14ac:dyDescent="0.25">
      <c r="A1261" t="s">
        <v>113</v>
      </c>
      <c r="B1261" s="1">
        <v>46104</v>
      </c>
      <c r="C1261">
        <v>42</v>
      </c>
      <c r="D1261">
        <f t="shared" si="57"/>
        <v>48</v>
      </c>
      <c r="E1261">
        <f t="shared" si="58"/>
        <v>5</v>
      </c>
      <c r="F1261">
        <f t="shared" si="59"/>
        <v>0.14285714285714285</v>
      </c>
    </row>
    <row r="1262" spans="1:6" x14ac:dyDescent="0.25">
      <c r="A1262" t="s">
        <v>113</v>
      </c>
      <c r="B1262" s="1">
        <v>46111</v>
      </c>
      <c r="C1262">
        <v>49</v>
      </c>
      <c r="D1262">
        <f t="shared" si="57"/>
        <v>46</v>
      </c>
      <c r="E1262">
        <f t="shared" si="58"/>
        <v>5</v>
      </c>
      <c r="F1262">
        <f t="shared" si="59"/>
        <v>6.1224489795918366E-2</v>
      </c>
    </row>
    <row r="1263" spans="1:6" x14ac:dyDescent="0.25">
      <c r="A1263" t="s">
        <v>113</v>
      </c>
      <c r="B1263" s="1">
        <v>46118</v>
      </c>
      <c r="C1263">
        <v>46</v>
      </c>
      <c r="D1263">
        <f t="shared" si="57"/>
        <v>46.4</v>
      </c>
      <c r="E1263">
        <f t="shared" si="58"/>
        <v>5</v>
      </c>
      <c r="F1263">
        <f t="shared" si="59"/>
        <v>8.6956521739130124E-3</v>
      </c>
    </row>
    <row r="1264" spans="1:6" x14ac:dyDescent="0.25">
      <c r="A1264" t="s">
        <v>113</v>
      </c>
      <c r="B1264" s="1">
        <v>46125</v>
      </c>
      <c r="C1264">
        <v>53</v>
      </c>
      <c r="D1264">
        <f t="shared" si="57"/>
        <v>46.2</v>
      </c>
      <c r="E1264">
        <f t="shared" si="58"/>
        <v>5</v>
      </c>
      <c r="F1264">
        <f t="shared" si="59"/>
        <v>0.12830188679245277</v>
      </c>
    </row>
    <row r="1265" spans="1:6" x14ac:dyDescent="0.25">
      <c r="A1265" t="s">
        <v>113</v>
      </c>
      <c r="B1265" s="1">
        <v>46132</v>
      </c>
      <c r="C1265">
        <v>58</v>
      </c>
      <c r="D1265">
        <f t="shared" si="57"/>
        <v>47.2</v>
      </c>
      <c r="E1265">
        <f t="shared" si="58"/>
        <v>5</v>
      </c>
      <c r="F1265">
        <f t="shared" si="59"/>
        <v>0.18620689655172409</v>
      </c>
    </row>
    <row r="1266" spans="1:6" x14ac:dyDescent="0.25">
      <c r="A1266" t="s">
        <v>113</v>
      </c>
      <c r="B1266" s="1">
        <v>46139</v>
      </c>
      <c r="C1266">
        <v>59</v>
      </c>
      <c r="D1266">
        <f t="shared" si="57"/>
        <v>49.6</v>
      </c>
      <c r="E1266">
        <f t="shared" si="58"/>
        <v>5</v>
      </c>
      <c r="F1266">
        <f t="shared" si="59"/>
        <v>0.15932203389830507</v>
      </c>
    </row>
    <row r="1267" spans="1:6" x14ac:dyDescent="0.25">
      <c r="A1267" t="s">
        <v>113</v>
      </c>
      <c r="B1267" s="1">
        <v>46146</v>
      </c>
      <c r="C1267">
        <v>55</v>
      </c>
      <c r="D1267">
        <f t="shared" si="57"/>
        <v>53</v>
      </c>
      <c r="E1267">
        <f t="shared" si="58"/>
        <v>5</v>
      </c>
      <c r="F1267">
        <f t="shared" si="59"/>
        <v>3.6363636363636362E-2</v>
      </c>
    </row>
    <row r="1268" spans="1:6" x14ac:dyDescent="0.25">
      <c r="A1268" t="s">
        <v>113</v>
      </c>
      <c r="B1268" s="1">
        <v>46153</v>
      </c>
      <c r="C1268">
        <v>54</v>
      </c>
      <c r="D1268">
        <f t="shared" si="57"/>
        <v>54.2</v>
      </c>
      <c r="E1268">
        <f t="shared" si="58"/>
        <v>5</v>
      </c>
      <c r="F1268">
        <f t="shared" si="59"/>
        <v>3.7037037037037563E-3</v>
      </c>
    </row>
    <row r="1269" spans="1:6" x14ac:dyDescent="0.25">
      <c r="A1269" t="s">
        <v>113</v>
      </c>
      <c r="B1269" s="1">
        <v>46160</v>
      </c>
      <c r="C1269">
        <v>46</v>
      </c>
      <c r="D1269">
        <f t="shared" si="57"/>
        <v>55.8</v>
      </c>
      <c r="E1269">
        <f t="shared" si="58"/>
        <v>5</v>
      </c>
      <c r="F1269">
        <f t="shared" si="59"/>
        <v>0.2130434782608695</v>
      </c>
    </row>
    <row r="1270" spans="1:6" x14ac:dyDescent="0.25">
      <c r="A1270" t="s">
        <v>113</v>
      </c>
      <c r="B1270" s="1">
        <v>46167</v>
      </c>
      <c r="C1270">
        <v>56</v>
      </c>
      <c r="D1270">
        <f t="shared" si="57"/>
        <v>54.4</v>
      </c>
      <c r="E1270">
        <f t="shared" si="58"/>
        <v>5</v>
      </c>
      <c r="F1270">
        <f t="shared" si="59"/>
        <v>2.8571428571428598E-2</v>
      </c>
    </row>
    <row r="1271" spans="1:6" x14ac:dyDescent="0.25">
      <c r="A1271" t="s">
        <v>113</v>
      </c>
      <c r="B1271" s="1">
        <v>46174</v>
      </c>
      <c r="C1271">
        <v>60</v>
      </c>
      <c r="D1271">
        <f t="shared" si="57"/>
        <v>54</v>
      </c>
      <c r="E1271">
        <f t="shared" si="58"/>
        <v>5</v>
      </c>
      <c r="F1271">
        <f t="shared" si="59"/>
        <v>0.1</v>
      </c>
    </row>
    <row r="1272" spans="1:6" x14ac:dyDescent="0.25">
      <c r="A1272" t="s">
        <v>113</v>
      </c>
      <c r="B1272" s="1">
        <v>46181</v>
      </c>
      <c r="C1272">
        <v>57</v>
      </c>
      <c r="D1272">
        <f t="shared" si="57"/>
        <v>54.2</v>
      </c>
      <c r="E1272">
        <f t="shared" si="58"/>
        <v>5</v>
      </c>
      <c r="F1272">
        <f t="shared" si="59"/>
        <v>4.9122807017543811E-2</v>
      </c>
    </row>
    <row r="1273" spans="1:6" x14ac:dyDescent="0.25">
      <c r="A1273" t="s">
        <v>113</v>
      </c>
      <c r="B1273" s="1">
        <v>46188</v>
      </c>
      <c r="C1273">
        <v>57</v>
      </c>
      <c r="D1273">
        <f t="shared" si="57"/>
        <v>54.6</v>
      </c>
      <c r="E1273">
        <f t="shared" si="58"/>
        <v>5</v>
      </c>
      <c r="F1273">
        <f t="shared" si="59"/>
        <v>4.2105263157894715E-2</v>
      </c>
    </row>
    <row r="1274" spans="1:6" x14ac:dyDescent="0.25">
      <c r="A1274" t="s">
        <v>113</v>
      </c>
      <c r="B1274" s="1">
        <v>46195</v>
      </c>
      <c r="C1274">
        <v>57</v>
      </c>
      <c r="D1274">
        <f t="shared" si="57"/>
        <v>55.2</v>
      </c>
      <c r="E1274">
        <f t="shared" si="58"/>
        <v>5</v>
      </c>
      <c r="F1274">
        <f t="shared" si="59"/>
        <v>3.1578947368421005E-2</v>
      </c>
    </row>
    <row r="1275" spans="1:6" x14ac:dyDescent="0.25">
      <c r="A1275" t="s">
        <v>113</v>
      </c>
      <c r="B1275" s="1">
        <v>46202</v>
      </c>
      <c r="C1275">
        <v>52</v>
      </c>
      <c r="D1275">
        <f t="shared" si="57"/>
        <v>57.4</v>
      </c>
      <c r="E1275">
        <f t="shared" si="58"/>
        <v>5</v>
      </c>
      <c r="F1275">
        <f t="shared" si="59"/>
        <v>0.10384615384615382</v>
      </c>
    </row>
    <row r="1276" spans="1:6" x14ac:dyDescent="0.25">
      <c r="A1276" t="s">
        <v>115</v>
      </c>
      <c r="B1276" s="1">
        <v>46027</v>
      </c>
      <c r="C1276">
        <v>71</v>
      </c>
      <c r="D1276" t="str">
        <f t="shared" si="57"/>
        <v/>
      </c>
      <c r="E1276">
        <f t="shared" si="58"/>
        <v>0</v>
      </c>
      <c r="F1276" t="str">
        <f t="shared" si="59"/>
        <v/>
      </c>
    </row>
    <row r="1277" spans="1:6" x14ac:dyDescent="0.25">
      <c r="A1277" t="s">
        <v>115</v>
      </c>
      <c r="B1277" s="1">
        <v>46034</v>
      </c>
      <c r="C1277">
        <v>54</v>
      </c>
      <c r="D1277" t="str">
        <f t="shared" si="57"/>
        <v/>
      </c>
      <c r="E1277">
        <f t="shared" si="58"/>
        <v>1</v>
      </c>
      <c r="F1277" t="str">
        <f t="shared" si="59"/>
        <v/>
      </c>
    </row>
    <row r="1278" spans="1:6" x14ac:dyDescent="0.25">
      <c r="A1278" t="s">
        <v>115</v>
      </c>
      <c r="B1278" s="1">
        <v>46041</v>
      </c>
      <c r="C1278">
        <v>73</v>
      </c>
      <c r="D1278" t="str">
        <f t="shared" si="57"/>
        <v/>
      </c>
      <c r="E1278">
        <f t="shared" si="58"/>
        <v>2</v>
      </c>
      <c r="F1278" t="str">
        <f t="shared" si="59"/>
        <v/>
      </c>
    </row>
    <row r="1279" spans="1:6" x14ac:dyDescent="0.25">
      <c r="A1279" t="s">
        <v>115</v>
      </c>
      <c r="B1279" s="1">
        <v>46048</v>
      </c>
      <c r="C1279">
        <v>52</v>
      </c>
      <c r="D1279" t="str">
        <f t="shared" si="57"/>
        <v/>
      </c>
      <c r="E1279">
        <f t="shared" si="58"/>
        <v>3</v>
      </c>
      <c r="F1279" t="str">
        <f t="shared" si="59"/>
        <v/>
      </c>
    </row>
    <row r="1280" spans="1:6" x14ac:dyDescent="0.25">
      <c r="A1280" t="s">
        <v>115</v>
      </c>
      <c r="B1280" s="1">
        <v>46055</v>
      </c>
      <c r="C1280">
        <v>67</v>
      </c>
      <c r="D1280" t="str">
        <f t="shared" si="57"/>
        <v/>
      </c>
      <c r="E1280">
        <f t="shared" si="58"/>
        <v>4</v>
      </c>
      <c r="F1280" t="str">
        <f t="shared" si="59"/>
        <v/>
      </c>
    </row>
    <row r="1281" spans="1:6" x14ac:dyDescent="0.25">
      <c r="A1281" t="s">
        <v>115</v>
      </c>
      <c r="B1281" s="1">
        <v>46062</v>
      </c>
      <c r="C1281">
        <v>69</v>
      </c>
      <c r="D1281">
        <f t="shared" si="57"/>
        <v>63.4</v>
      </c>
      <c r="E1281">
        <f t="shared" si="58"/>
        <v>5</v>
      </c>
      <c r="F1281">
        <f t="shared" si="59"/>
        <v>8.1159420289855094E-2</v>
      </c>
    </row>
    <row r="1282" spans="1:6" x14ac:dyDescent="0.25">
      <c r="A1282" t="s">
        <v>115</v>
      </c>
      <c r="B1282" s="1">
        <v>46069</v>
      </c>
      <c r="C1282">
        <v>76</v>
      </c>
      <c r="D1282">
        <f t="shared" ref="D1282:D1345" si="60">IF(E1282 &lt; 5, "", AVERAGEIFS(C:C, A:A, A1282, B:B, "&gt;=" &amp; (B1282-35), B:B, "&lt;=" &amp; (B1282-7)))</f>
        <v>63</v>
      </c>
      <c r="E1282">
        <f t="shared" ref="E1282:E1345" si="61">COUNTIFS(A:A, A1282, B:B, "&gt;=" &amp; (B1282-35), B:B, "&lt;=" &amp; (B1282-7))</f>
        <v>5</v>
      </c>
      <c r="F1282">
        <f t="shared" ref="F1282:F1345" si="62">IF(OR(C1282=0, D1282=""), "", ABS(C1282 - D1282) / C1282)</f>
        <v>0.17105263157894737</v>
      </c>
    </row>
    <row r="1283" spans="1:6" x14ac:dyDescent="0.25">
      <c r="A1283" t="s">
        <v>115</v>
      </c>
      <c r="B1283" s="1">
        <v>46076</v>
      </c>
      <c r="C1283">
        <v>68</v>
      </c>
      <c r="D1283">
        <f t="shared" si="60"/>
        <v>67.400000000000006</v>
      </c>
      <c r="E1283">
        <f t="shared" si="61"/>
        <v>5</v>
      </c>
      <c r="F1283">
        <f t="shared" si="62"/>
        <v>8.8235294117646225E-3</v>
      </c>
    </row>
    <row r="1284" spans="1:6" x14ac:dyDescent="0.25">
      <c r="A1284" t="s">
        <v>115</v>
      </c>
      <c r="B1284" s="1">
        <v>46083</v>
      </c>
      <c r="C1284">
        <v>63</v>
      </c>
      <c r="D1284">
        <f t="shared" si="60"/>
        <v>66.400000000000006</v>
      </c>
      <c r="E1284">
        <f t="shared" si="61"/>
        <v>5</v>
      </c>
      <c r="F1284">
        <f t="shared" si="62"/>
        <v>5.3968253968254061E-2</v>
      </c>
    </row>
    <row r="1285" spans="1:6" x14ac:dyDescent="0.25">
      <c r="A1285" t="s">
        <v>115</v>
      </c>
      <c r="B1285" s="1">
        <v>46090</v>
      </c>
      <c r="C1285">
        <v>61</v>
      </c>
      <c r="D1285">
        <f t="shared" si="60"/>
        <v>68.599999999999994</v>
      </c>
      <c r="E1285">
        <f t="shared" si="61"/>
        <v>5</v>
      </c>
      <c r="F1285">
        <f t="shared" si="62"/>
        <v>0.12459016393442614</v>
      </c>
    </row>
    <row r="1286" spans="1:6" x14ac:dyDescent="0.25">
      <c r="A1286" t="s">
        <v>115</v>
      </c>
      <c r="B1286" s="1">
        <v>46097</v>
      </c>
      <c r="C1286">
        <v>58</v>
      </c>
      <c r="D1286">
        <f t="shared" si="60"/>
        <v>67.400000000000006</v>
      </c>
      <c r="E1286">
        <f t="shared" si="61"/>
        <v>5</v>
      </c>
      <c r="F1286">
        <f t="shared" si="62"/>
        <v>0.16206896551724148</v>
      </c>
    </row>
    <row r="1287" spans="1:6" x14ac:dyDescent="0.25">
      <c r="A1287" t="s">
        <v>115</v>
      </c>
      <c r="B1287" s="1">
        <v>46104</v>
      </c>
      <c r="C1287">
        <v>75</v>
      </c>
      <c r="D1287">
        <f t="shared" si="60"/>
        <v>65.2</v>
      </c>
      <c r="E1287">
        <f t="shared" si="61"/>
        <v>5</v>
      </c>
      <c r="F1287">
        <f t="shared" si="62"/>
        <v>0.13066666666666663</v>
      </c>
    </row>
    <row r="1288" spans="1:6" x14ac:dyDescent="0.25">
      <c r="A1288" t="s">
        <v>115</v>
      </c>
      <c r="B1288" s="1">
        <v>46111</v>
      </c>
      <c r="C1288">
        <v>68</v>
      </c>
      <c r="D1288">
        <f t="shared" si="60"/>
        <v>65</v>
      </c>
      <c r="E1288">
        <f t="shared" si="61"/>
        <v>5</v>
      </c>
      <c r="F1288">
        <f t="shared" si="62"/>
        <v>4.4117647058823532E-2</v>
      </c>
    </row>
    <row r="1289" spans="1:6" x14ac:dyDescent="0.25">
      <c r="A1289" t="s">
        <v>115</v>
      </c>
      <c r="B1289" s="1">
        <v>46118</v>
      </c>
      <c r="C1289">
        <v>65</v>
      </c>
      <c r="D1289">
        <f t="shared" si="60"/>
        <v>65</v>
      </c>
      <c r="E1289">
        <f t="shared" si="61"/>
        <v>5</v>
      </c>
      <c r="F1289">
        <f t="shared" si="62"/>
        <v>0</v>
      </c>
    </row>
    <row r="1290" spans="1:6" x14ac:dyDescent="0.25">
      <c r="A1290" t="s">
        <v>115</v>
      </c>
      <c r="B1290" s="1">
        <v>46125</v>
      </c>
      <c r="C1290">
        <v>75</v>
      </c>
      <c r="D1290">
        <f t="shared" si="60"/>
        <v>65.400000000000006</v>
      </c>
      <c r="E1290">
        <f t="shared" si="61"/>
        <v>5</v>
      </c>
      <c r="F1290">
        <f t="shared" si="62"/>
        <v>0.12799999999999992</v>
      </c>
    </row>
    <row r="1291" spans="1:6" x14ac:dyDescent="0.25">
      <c r="A1291" t="s">
        <v>115</v>
      </c>
      <c r="B1291" s="1">
        <v>46132</v>
      </c>
      <c r="C1291">
        <v>66</v>
      </c>
      <c r="D1291">
        <f t="shared" si="60"/>
        <v>68.2</v>
      </c>
      <c r="E1291">
        <f t="shared" si="61"/>
        <v>5</v>
      </c>
      <c r="F1291">
        <f t="shared" si="62"/>
        <v>3.3333333333333375E-2</v>
      </c>
    </row>
    <row r="1292" spans="1:6" x14ac:dyDescent="0.25">
      <c r="A1292" t="s">
        <v>115</v>
      </c>
      <c r="B1292" s="1">
        <v>46139</v>
      </c>
      <c r="C1292">
        <v>70</v>
      </c>
      <c r="D1292">
        <f t="shared" si="60"/>
        <v>69.8</v>
      </c>
      <c r="E1292">
        <f t="shared" si="61"/>
        <v>5</v>
      </c>
      <c r="F1292">
        <f t="shared" si="62"/>
        <v>2.8571428571428979E-3</v>
      </c>
    </row>
    <row r="1293" spans="1:6" x14ac:dyDescent="0.25">
      <c r="A1293" t="s">
        <v>115</v>
      </c>
      <c r="B1293" s="1">
        <v>46146</v>
      </c>
      <c r="C1293">
        <v>70</v>
      </c>
      <c r="D1293">
        <f t="shared" si="60"/>
        <v>68.8</v>
      </c>
      <c r="E1293">
        <f t="shared" si="61"/>
        <v>5</v>
      </c>
      <c r="F1293">
        <f t="shared" si="62"/>
        <v>1.7142857142857182E-2</v>
      </c>
    </row>
    <row r="1294" spans="1:6" x14ac:dyDescent="0.25">
      <c r="A1294" t="s">
        <v>115</v>
      </c>
      <c r="B1294" s="1">
        <v>46153</v>
      </c>
      <c r="C1294">
        <v>87</v>
      </c>
      <c r="D1294">
        <f t="shared" si="60"/>
        <v>69.2</v>
      </c>
      <c r="E1294">
        <f t="shared" si="61"/>
        <v>5</v>
      </c>
      <c r="F1294">
        <f t="shared" si="62"/>
        <v>0.20459770114942524</v>
      </c>
    </row>
    <row r="1295" spans="1:6" x14ac:dyDescent="0.25">
      <c r="A1295" t="s">
        <v>115</v>
      </c>
      <c r="B1295" s="1">
        <v>46160</v>
      </c>
      <c r="C1295">
        <v>87</v>
      </c>
      <c r="D1295">
        <f t="shared" si="60"/>
        <v>73.599999999999994</v>
      </c>
      <c r="E1295">
        <f t="shared" si="61"/>
        <v>5</v>
      </c>
      <c r="F1295">
        <f t="shared" si="62"/>
        <v>0.15402298850574719</v>
      </c>
    </row>
    <row r="1296" spans="1:6" x14ac:dyDescent="0.25">
      <c r="A1296" t="s">
        <v>115</v>
      </c>
      <c r="B1296" s="1">
        <v>46167</v>
      </c>
      <c r="C1296">
        <v>75</v>
      </c>
      <c r="D1296">
        <f t="shared" si="60"/>
        <v>76</v>
      </c>
      <c r="E1296">
        <f t="shared" si="61"/>
        <v>5</v>
      </c>
      <c r="F1296">
        <f t="shared" si="62"/>
        <v>1.3333333333333334E-2</v>
      </c>
    </row>
    <row r="1297" spans="1:6" x14ac:dyDescent="0.25">
      <c r="A1297" t="s">
        <v>115</v>
      </c>
      <c r="B1297" s="1">
        <v>46174</v>
      </c>
      <c r="C1297">
        <v>65</v>
      </c>
      <c r="D1297">
        <f t="shared" si="60"/>
        <v>77.8</v>
      </c>
      <c r="E1297">
        <f t="shared" si="61"/>
        <v>5</v>
      </c>
      <c r="F1297">
        <f t="shared" si="62"/>
        <v>0.19692307692307687</v>
      </c>
    </row>
    <row r="1298" spans="1:6" x14ac:dyDescent="0.25">
      <c r="A1298" t="s">
        <v>115</v>
      </c>
      <c r="B1298" s="1">
        <v>46181</v>
      </c>
      <c r="C1298">
        <v>80</v>
      </c>
      <c r="D1298">
        <f t="shared" si="60"/>
        <v>76.8</v>
      </c>
      <c r="E1298">
        <f t="shared" si="61"/>
        <v>5</v>
      </c>
      <c r="F1298">
        <f t="shared" si="62"/>
        <v>4.0000000000000036E-2</v>
      </c>
    </row>
    <row r="1299" spans="1:6" x14ac:dyDescent="0.25">
      <c r="A1299" t="s">
        <v>115</v>
      </c>
      <c r="B1299" s="1">
        <v>46188</v>
      </c>
      <c r="C1299">
        <v>79</v>
      </c>
      <c r="D1299">
        <f t="shared" si="60"/>
        <v>78.8</v>
      </c>
      <c r="E1299">
        <f t="shared" si="61"/>
        <v>5</v>
      </c>
      <c r="F1299">
        <f t="shared" si="62"/>
        <v>2.5316455696202892E-3</v>
      </c>
    </row>
    <row r="1300" spans="1:6" x14ac:dyDescent="0.25">
      <c r="A1300" t="s">
        <v>115</v>
      </c>
      <c r="B1300" s="1">
        <v>46195</v>
      </c>
      <c r="C1300">
        <v>82</v>
      </c>
      <c r="D1300">
        <f t="shared" si="60"/>
        <v>77.2</v>
      </c>
      <c r="E1300">
        <f t="shared" si="61"/>
        <v>5</v>
      </c>
      <c r="F1300">
        <f t="shared" si="62"/>
        <v>5.8536585365853627E-2</v>
      </c>
    </row>
    <row r="1301" spans="1:6" x14ac:dyDescent="0.25">
      <c r="A1301" t="s">
        <v>115</v>
      </c>
      <c r="B1301" s="1">
        <v>46202</v>
      </c>
      <c r="C1301">
        <v>85</v>
      </c>
      <c r="D1301">
        <f t="shared" si="60"/>
        <v>76.2</v>
      </c>
      <c r="E1301">
        <f t="shared" si="61"/>
        <v>5</v>
      </c>
      <c r="F1301">
        <f t="shared" si="62"/>
        <v>0.10352941176470584</v>
      </c>
    </row>
    <row r="1302" spans="1:6" x14ac:dyDescent="0.25">
      <c r="A1302" t="s">
        <v>117</v>
      </c>
      <c r="B1302" s="1">
        <v>46027</v>
      </c>
      <c r="C1302">
        <v>53</v>
      </c>
      <c r="D1302" t="str">
        <f t="shared" si="60"/>
        <v/>
      </c>
      <c r="E1302">
        <f t="shared" si="61"/>
        <v>0</v>
      </c>
      <c r="F1302" t="str">
        <f t="shared" si="62"/>
        <v/>
      </c>
    </row>
    <row r="1303" spans="1:6" x14ac:dyDescent="0.25">
      <c r="A1303" t="s">
        <v>117</v>
      </c>
      <c r="B1303" s="1">
        <v>46034</v>
      </c>
      <c r="C1303">
        <v>47</v>
      </c>
      <c r="D1303" t="str">
        <f t="shared" si="60"/>
        <v/>
      </c>
      <c r="E1303">
        <f t="shared" si="61"/>
        <v>1</v>
      </c>
      <c r="F1303" t="str">
        <f t="shared" si="62"/>
        <v/>
      </c>
    </row>
    <row r="1304" spans="1:6" x14ac:dyDescent="0.25">
      <c r="A1304" t="s">
        <v>117</v>
      </c>
      <c r="B1304" s="1">
        <v>46041</v>
      </c>
      <c r="C1304">
        <v>46</v>
      </c>
      <c r="D1304" t="str">
        <f t="shared" si="60"/>
        <v/>
      </c>
      <c r="E1304">
        <f t="shared" si="61"/>
        <v>2</v>
      </c>
      <c r="F1304" t="str">
        <f t="shared" si="62"/>
        <v/>
      </c>
    </row>
    <row r="1305" spans="1:6" x14ac:dyDescent="0.25">
      <c r="A1305" t="s">
        <v>117</v>
      </c>
      <c r="B1305" s="1">
        <v>46048</v>
      </c>
      <c r="C1305">
        <v>46</v>
      </c>
      <c r="D1305" t="str">
        <f t="shared" si="60"/>
        <v/>
      </c>
      <c r="E1305">
        <f t="shared" si="61"/>
        <v>3</v>
      </c>
      <c r="F1305" t="str">
        <f t="shared" si="62"/>
        <v/>
      </c>
    </row>
    <row r="1306" spans="1:6" x14ac:dyDescent="0.25">
      <c r="A1306" t="s">
        <v>117</v>
      </c>
      <c r="B1306" s="1">
        <v>46055</v>
      </c>
      <c r="C1306">
        <v>52</v>
      </c>
      <c r="D1306" t="str">
        <f t="shared" si="60"/>
        <v/>
      </c>
      <c r="E1306">
        <f t="shared" si="61"/>
        <v>4</v>
      </c>
      <c r="F1306" t="str">
        <f t="shared" si="62"/>
        <v/>
      </c>
    </row>
    <row r="1307" spans="1:6" x14ac:dyDescent="0.25">
      <c r="A1307" t="s">
        <v>117</v>
      </c>
      <c r="B1307" s="1">
        <v>46062</v>
      </c>
      <c r="C1307">
        <v>55</v>
      </c>
      <c r="D1307">
        <f t="shared" si="60"/>
        <v>48.8</v>
      </c>
      <c r="E1307">
        <f t="shared" si="61"/>
        <v>5</v>
      </c>
      <c r="F1307">
        <f t="shared" si="62"/>
        <v>0.11272727272727277</v>
      </c>
    </row>
    <row r="1308" spans="1:6" x14ac:dyDescent="0.25">
      <c r="A1308" t="s">
        <v>117</v>
      </c>
      <c r="B1308" s="1">
        <v>46069</v>
      </c>
      <c r="C1308">
        <v>51</v>
      </c>
      <c r="D1308">
        <f t="shared" si="60"/>
        <v>49.2</v>
      </c>
      <c r="E1308">
        <f t="shared" si="61"/>
        <v>5</v>
      </c>
      <c r="F1308">
        <f t="shared" si="62"/>
        <v>3.5294117647058768E-2</v>
      </c>
    </row>
    <row r="1309" spans="1:6" x14ac:dyDescent="0.25">
      <c r="A1309" t="s">
        <v>117</v>
      </c>
      <c r="B1309" s="1">
        <v>46076</v>
      </c>
      <c r="C1309">
        <v>58</v>
      </c>
      <c r="D1309">
        <f t="shared" si="60"/>
        <v>50</v>
      </c>
      <c r="E1309">
        <f t="shared" si="61"/>
        <v>5</v>
      </c>
      <c r="F1309">
        <f t="shared" si="62"/>
        <v>0.13793103448275862</v>
      </c>
    </row>
    <row r="1310" spans="1:6" x14ac:dyDescent="0.25">
      <c r="A1310" t="s">
        <v>117</v>
      </c>
      <c r="B1310" s="1">
        <v>46083</v>
      </c>
      <c r="C1310">
        <v>66</v>
      </c>
      <c r="D1310">
        <f t="shared" si="60"/>
        <v>52.4</v>
      </c>
      <c r="E1310">
        <f t="shared" si="61"/>
        <v>5</v>
      </c>
      <c r="F1310">
        <f t="shared" si="62"/>
        <v>0.20606060606060608</v>
      </c>
    </row>
    <row r="1311" spans="1:6" x14ac:dyDescent="0.25">
      <c r="A1311" t="s">
        <v>117</v>
      </c>
      <c r="B1311" s="1">
        <v>46090</v>
      </c>
      <c r="C1311">
        <v>56</v>
      </c>
      <c r="D1311">
        <f t="shared" si="60"/>
        <v>56.4</v>
      </c>
      <c r="E1311">
        <f t="shared" si="61"/>
        <v>5</v>
      </c>
      <c r="F1311">
        <f t="shared" si="62"/>
        <v>7.1428571428571175E-3</v>
      </c>
    </row>
    <row r="1312" spans="1:6" x14ac:dyDescent="0.25">
      <c r="A1312" t="s">
        <v>117</v>
      </c>
      <c r="B1312" s="1">
        <v>46097</v>
      </c>
      <c r="C1312">
        <v>49</v>
      </c>
      <c r="D1312">
        <f t="shared" si="60"/>
        <v>57.2</v>
      </c>
      <c r="E1312">
        <f t="shared" si="61"/>
        <v>5</v>
      </c>
      <c r="F1312">
        <f t="shared" si="62"/>
        <v>0.16734693877551027</v>
      </c>
    </row>
    <row r="1313" spans="1:6" x14ac:dyDescent="0.25">
      <c r="A1313" t="s">
        <v>117</v>
      </c>
      <c r="B1313" s="1">
        <v>46104</v>
      </c>
      <c r="C1313">
        <v>55</v>
      </c>
      <c r="D1313">
        <f t="shared" si="60"/>
        <v>56</v>
      </c>
      <c r="E1313">
        <f t="shared" si="61"/>
        <v>5</v>
      </c>
      <c r="F1313">
        <f t="shared" si="62"/>
        <v>1.8181818181818181E-2</v>
      </c>
    </row>
    <row r="1314" spans="1:6" x14ac:dyDescent="0.25">
      <c r="A1314" t="s">
        <v>117</v>
      </c>
      <c r="B1314" s="1">
        <v>46111</v>
      </c>
      <c r="C1314">
        <v>68</v>
      </c>
      <c r="D1314">
        <f t="shared" si="60"/>
        <v>56.8</v>
      </c>
      <c r="E1314">
        <f t="shared" si="61"/>
        <v>5</v>
      </c>
      <c r="F1314">
        <f t="shared" si="62"/>
        <v>0.16470588235294123</v>
      </c>
    </row>
    <row r="1315" spans="1:6" x14ac:dyDescent="0.25">
      <c r="A1315" t="s">
        <v>117</v>
      </c>
      <c r="B1315" s="1">
        <v>46118</v>
      </c>
      <c r="C1315">
        <v>68</v>
      </c>
      <c r="D1315">
        <f t="shared" si="60"/>
        <v>58.8</v>
      </c>
      <c r="E1315">
        <f t="shared" si="61"/>
        <v>5</v>
      </c>
      <c r="F1315">
        <f t="shared" si="62"/>
        <v>0.13529411764705887</v>
      </c>
    </row>
    <row r="1316" spans="1:6" x14ac:dyDescent="0.25">
      <c r="A1316" t="s">
        <v>117</v>
      </c>
      <c r="B1316" s="1">
        <v>46125</v>
      </c>
      <c r="C1316">
        <v>57</v>
      </c>
      <c r="D1316">
        <f t="shared" si="60"/>
        <v>59.2</v>
      </c>
      <c r="E1316">
        <f t="shared" si="61"/>
        <v>5</v>
      </c>
      <c r="F1316">
        <f t="shared" si="62"/>
        <v>3.8596491228070226E-2</v>
      </c>
    </row>
    <row r="1317" spans="1:6" x14ac:dyDescent="0.25">
      <c r="A1317" t="s">
        <v>117</v>
      </c>
      <c r="B1317" s="1">
        <v>46132</v>
      </c>
      <c r="C1317">
        <v>54</v>
      </c>
      <c r="D1317">
        <f t="shared" si="60"/>
        <v>59.4</v>
      </c>
      <c r="E1317">
        <f t="shared" si="61"/>
        <v>5</v>
      </c>
      <c r="F1317">
        <f t="shared" si="62"/>
        <v>9.9999999999999978E-2</v>
      </c>
    </row>
    <row r="1318" spans="1:6" x14ac:dyDescent="0.25">
      <c r="A1318" t="s">
        <v>117</v>
      </c>
      <c r="B1318" s="1">
        <v>46139</v>
      </c>
      <c r="C1318">
        <v>69</v>
      </c>
      <c r="D1318">
        <f t="shared" si="60"/>
        <v>60.4</v>
      </c>
      <c r="E1318">
        <f t="shared" si="61"/>
        <v>5</v>
      </c>
      <c r="F1318">
        <f t="shared" si="62"/>
        <v>0.12463768115942031</v>
      </c>
    </row>
    <row r="1319" spans="1:6" x14ac:dyDescent="0.25">
      <c r="A1319" t="s">
        <v>117</v>
      </c>
      <c r="B1319" s="1">
        <v>46146</v>
      </c>
      <c r="C1319">
        <v>60</v>
      </c>
      <c r="D1319">
        <f t="shared" si="60"/>
        <v>63.2</v>
      </c>
      <c r="E1319">
        <f t="shared" si="61"/>
        <v>5</v>
      </c>
      <c r="F1319">
        <f t="shared" si="62"/>
        <v>5.3333333333333378E-2</v>
      </c>
    </row>
    <row r="1320" spans="1:6" x14ac:dyDescent="0.25">
      <c r="A1320" t="s">
        <v>117</v>
      </c>
      <c r="B1320" s="1">
        <v>46153</v>
      </c>
      <c r="C1320">
        <v>61</v>
      </c>
      <c r="D1320">
        <f t="shared" si="60"/>
        <v>61.6</v>
      </c>
      <c r="E1320">
        <f t="shared" si="61"/>
        <v>5</v>
      </c>
      <c r="F1320">
        <f t="shared" si="62"/>
        <v>9.8360655737705152E-3</v>
      </c>
    </row>
    <row r="1321" spans="1:6" x14ac:dyDescent="0.25">
      <c r="A1321" t="s">
        <v>117</v>
      </c>
      <c r="B1321" s="1">
        <v>46160</v>
      </c>
      <c r="C1321">
        <v>53</v>
      </c>
      <c r="D1321">
        <f t="shared" si="60"/>
        <v>60.2</v>
      </c>
      <c r="E1321">
        <f t="shared" si="61"/>
        <v>5</v>
      </c>
      <c r="F1321">
        <f t="shared" si="62"/>
        <v>0.13584905660377364</v>
      </c>
    </row>
    <row r="1322" spans="1:6" x14ac:dyDescent="0.25">
      <c r="A1322" t="s">
        <v>117</v>
      </c>
      <c r="B1322" s="1">
        <v>46167</v>
      </c>
      <c r="C1322">
        <v>67</v>
      </c>
      <c r="D1322">
        <f t="shared" si="60"/>
        <v>59.4</v>
      </c>
      <c r="E1322">
        <f t="shared" si="61"/>
        <v>5</v>
      </c>
      <c r="F1322">
        <f t="shared" si="62"/>
        <v>0.11343283582089554</v>
      </c>
    </row>
    <row r="1323" spans="1:6" x14ac:dyDescent="0.25">
      <c r="A1323" t="s">
        <v>117</v>
      </c>
      <c r="B1323" s="1">
        <v>46174</v>
      </c>
      <c r="C1323">
        <v>67</v>
      </c>
      <c r="D1323">
        <f t="shared" si="60"/>
        <v>62</v>
      </c>
      <c r="E1323">
        <f t="shared" si="61"/>
        <v>5</v>
      </c>
      <c r="F1323">
        <f t="shared" si="62"/>
        <v>7.4626865671641784E-2</v>
      </c>
    </row>
    <row r="1324" spans="1:6" x14ac:dyDescent="0.25">
      <c r="A1324" t="s">
        <v>117</v>
      </c>
      <c r="B1324" s="1">
        <v>46181</v>
      </c>
      <c r="C1324">
        <v>65</v>
      </c>
      <c r="D1324">
        <f t="shared" si="60"/>
        <v>61.6</v>
      </c>
      <c r="E1324">
        <f t="shared" si="61"/>
        <v>5</v>
      </c>
      <c r="F1324">
        <f t="shared" si="62"/>
        <v>5.2307692307692284E-2</v>
      </c>
    </row>
    <row r="1325" spans="1:6" x14ac:dyDescent="0.25">
      <c r="A1325" t="s">
        <v>117</v>
      </c>
      <c r="B1325" s="1">
        <v>46188</v>
      </c>
      <c r="C1325">
        <v>78</v>
      </c>
      <c r="D1325">
        <f t="shared" si="60"/>
        <v>62.6</v>
      </c>
      <c r="E1325">
        <f t="shared" si="61"/>
        <v>5</v>
      </c>
      <c r="F1325">
        <f t="shared" si="62"/>
        <v>0.19743589743589743</v>
      </c>
    </row>
    <row r="1326" spans="1:6" x14ac:dyDescent="0.25">
      <c r="A1326" t="s">
        <v>117</v>
      </c>
      <c r="B1326" s="1">
        <v>46195</v>
      </c>
      <c r="C1326">
        <v>64</v>
      </c>
      <c r="D1326">
        <f t="shared" si="60"/>
        <v>66</v>
      </c>
      <c r="E1326">
        <f t="shared" si="61"/>
        <v>5</v>
      </c>
      <c r="F1326">
        <f t="shared" si="62"/>
        <v>3.125E-2</v>
      </c>
    </row>
    <row r="1327" spans="1:6" x14ac:dyDescent="0.25">
      <c r="A1327" t="s">
        <v>117</v>
      </c>
      <c r="B1327" s="1">
        <v>46202</v>
      </c>
      <c r="C1327">
        <v>80</v>
      </c>
      <c r="D1327">
        <f t="shared" si="60"/>
        <v>68.2</v>
      </c>
      <c r="E1327">
        <f t="shared" si="61"/>
        <v>5</v>
      </c>
      <c r="F1327">
        <f t="shared" si="62"/>
        <v>0.14749999999999996</v>
      </c>
    </row>
    <row r="1328" spans="1:6" x14ac:dyDescent="0.25">
      <c r="A1328" t="s">
        <v>119</v>
      </c>
      <c r="B1328" s="1">
        <v>46027</v>
      </c>
      <c r="C1328">
        <v>54</v>
      </c>
      <c r="D1328" t="str">
        <f t="shared" si="60"/>
        <v/>
      </c>
      <c r="E1328">
        <f t="shared" si="61"/>
        <v>0</v>
      </c>
      <c r="F1328" t="str">
        <f t="shared" si="62"/>
        <v/>
      </c>
    </row>
    <row r="1329" spans="1:6" x14ac:dyDescent="0.25">
      <c r="A1329" t="s">
        <v>119</v>
      </c>
      <c r="B1329" s="1">
        <v>46034</v>
      </c>
      <c r="C1329">
        <v>80</v>
      </c>
      <c r="D1329" t="str">
        <f t="shared" si="60"/>
        <v/>
      </c>
      <c r="E1329">
        <f t="shared" si="61"/>
        <v>1</v>
      </c>
      <c r="F1329" t="str">
        <f t="shared" si="62"/>
        <v/>
      </c>
    </row>
    <row r="1330" spans="1:6" x14ac:dyDescent="0.25">
      <c r="A1330" t="s">
        <v>119</v>
      </c>
      <c r="B1330" s="1">
        <v>46041</v>
      </c>
      <c r="C1330">
        <v>74</v>
      </c>
      <c r="D1330" t="str">
        <f t="shared" si="60"/>
        <v/>
      </c>
      <c r="E1330">
        <f t="shared" si="61"/>
        <v>2</v>
      </c>
      <c r="F1330" t="str">
        <f t="shared" si="62"/>
        <v/>
      </c>
    </row>
    <row r="1331" spans="1:6" x14ac:dyDescent="0.25">
      <c r="A1331" t="s">
        <v>119</v>
      </c>
      <c r="B1331" s="1">
        <v>46048</v>
      </c>
      <c r="C1331">
        <v>63</v>
      </c>
      <c r="D1331" t="str">
        <f t="shared" si="60"/>
        <v/>
      </c>
      <c r="E1331">
        <f t="shared" si="61"/>
        <v>3</v>
      </c>
      <c r="F1331" t="str">
        <f t="shared" si="62"/>
        <v/>
      </c>
    </row>
    <row r="1332" spans="1:6" x14ac:dyDescent="0.25">
      <c r="A1332" t="s">
        <v>119</v>
      </c>
      <c r="B1332" s="1">
        <v>46055</v>
      </c>
      <c r="C1332">
        <v>94</v>
      </c>
      <c r="D1332" t="str">
        <f t="shared" si="60"/>
        <v/>
      </c>
      <c r="E1332">
        <f t="shared" si="61"/>
        <v>4</v>
      </c>
      <c r="F1332" t="str">
        <f t="shared" si="62"/>
        <v/>
      </c>
    </row>
    <row r="1333" spans="1:6" x14ac:dyDescent="0.25">
      <c r="A1333" t="s">
        <v>119</v>
      </c>
      <c r="B1333" s="1">
        <v>46062</v>
      </c>
      <c r="C1333">
        <v>87</v>
      </c>
      <c r="D1333">
        <f t="shared" si="60"/>
        <v>73</v>
      </c>
      <c r="E1333">
        <f t="shared" si="61"/>
        <v>5</v>
      </c>
      <c r="F1333">
        <f t="shared" si="62"/>
        <v>0.16091954022988506</v>
      </c>
    </row>
    <row r="1334" spans="1:6" x14ac:dyDescent="0.25">
      <c r="A1334" t="s">
        <v>119</v>
      </c>
      <c r="B1334" s="1">
        <v>46069</v>
      </c>
      <c r="C1334">
        <v>51</v>
      </c>
      <c r="D1334">
        <f t="shared" si="60"/>
        <v>79.599999999999994</v>
      </c>
      <c r="E1334">
        <f t="shared" si="61"/>
        <v>5</v>
      </c>
      <c r="F1334">
        <f t="shared" si="62"/>
        <v>0.56078431372549009</v>
      </c>
    </row>
    <row r="1335" spans="1:6" x14ac:dyDescent="0.25">
      <c r="A1335" t="s">
        <v>119</v>
      </c>
      <c r="B1335" s="1">
        <v>46076</v>
      </c>
      <c r="C1335">
        <v>86</v>
      </c>
      <c r="D1335">
        <f t="shared" si="60"/>
        <v>73.8</v>
      </c>
      <c r="E1335">
        <f t="shared" si="61"/>
        <v>5</v>
      </c>
      <c r="F1335">
        <f t="shared" si="62"/>
        <v>0.14186046511627912</v>
      </c>
    </row>
    <row r="1336" spans="1:6" x14ac:dyDescent="0.25">
      <c r="A1336" t="s">
        <v>119</v>
      </c>
      <c r="B1336" s="1">
        <v>46083</v>
      </c>
      <c r="C1336">
        <v>69</v>
      </c>
      <c r="D1336">
        <f t="shared" si="60"/>
        <v>76.2</v>
      </c>
      <c r="E1336">
        <f t="shared" si="61"/>
        <v>5</v>
      </c>
      <c r="F1336">
        <f t="shared" si="62"/>
        <v>0.10434782608695656</v>
      </c>
    </row>
    <row r="1337" spans="1:6" x14ac:dyDescent="0.25">
      <c r="A1337" t="s">
        <v>119</v>
      </c>
      <c r="B1337" s="1">
        <v>46090</v>
      </c>
      <c r="C1337">
        <v>59</v>
      </c>
      <c r="D1337">
        <f t="shared" si="60"/>
        <v>77.400000000000006</v>
      </c>
      <c r="E1337">
        <f t="shared" si="61"/>
        <v>5</v>
      </c>
      <c r="F1337">
        <f t="shared" si="62"/>
        <v>0.3118644067796611</v>
      </c>
    </row>
    <row r="1338" spans="1:6" x14ac:dyDescent="0.25">
      <c r="A1338" t="s">
        <v>119</v>
      </c>
      <c r="B1338" s="1">
        <v>46097</v>
      </c>
      <c r="C1338">
        <v>85</v>
      </c>
      <c r="D1338">
        <f t="shared" si="60"/>
        <v>70.400000000000006</v>
      </c>
      <c r="E1338">
        <f t="shared" si="61"/>
        <v>5</v>
      </c>
      <c r="F1338">
        <f t="shared" si="62"/>
        <v>0.17176470588235287</v>
      </c>
    </row>
    <row r="1339" spans="1:6" x14ac:dyDescent="0.25">
      <c r="A1339" t="s">
        <v>119</v>
      </c>
      <c r="B1339" s="1">
        <v>46104</v>
      </c>
      <c r="C1339">
        <v>64</v>
      </c>
      <c r="D1339">
        <f t="shared" si="60"/>
        <v>70</v>
      </c>
      <c r="E1339">
        <f t="shared" si="61"/>
        <v>5</v>
      </c>
      <c r="F1339">
        <f t="shared" si="62"/>
        <v>9.375E-2</v>
      </c>
    </row>
    <row r="1340" spans="1:6" x14ac:dyDescent="0.25">
      <c r="A1340" t="s">
        <v>119</v>
      </c>
      <c r="B1340" s="1">
        <v>46111</v>
      </c>
      <c r="C1340">
        <v>75</v>
      </c>
      <c r="D1340">
        <f t="shared" si="60"/>
        <v>72.599999999999994</v>
      </c>
      <c r="E1340">
        <f t="shared" si="61"/>
        <v>5</v>
      </c>
      <c r="F1340">
        <f t="shared" si="62"/>
        <v>3.2000000000000077E-2</v>
      </c>
    </row>
    <row r="1341" spans="1:6" x14ac:dyDescent="0.25">
      <c r="A1341" t="s">
        <v>119</v>
      </c>
      <c r="B1341" s="1">
        <v>46118</v>
      </c>
      <c r="C1341">
        <v>81</v>
      </c>
      <c r="D1341">
        <f t="shared" si="60"/>
        <v>70.400000000000006</v>
      </c>
      <c r="E1341">
        <f t="shared" si="61"/>
        <v>5</v>
      </c>
      <c r="F1341">
        <f t="shared" si="62"/>
        <v>0.13086419753086412</v>
      </c>
    </row>
    <row r="1342" spans="1:6" x14ac:dyDescent="0.25">
      <c r="A1342" t="s">
        <v>119</v>
      </c>
      <c r="B1342" s="1">
        <v>46125</v>
      </c>
      <c r="C1342">
        <v>77</v>
      </c>
      <c r="D1342">
        <f t="shared" si="60"/>
        <v>72.8</v>
      </c>
      <c r="E1342">
        <f t="shared" si="61"/>
        <v>5</v>
      </c>
      <c r="F1342">
        <f t="shared" si="62"/>
        <v>5.4545454545454584E-2</v>
      </c>
    </row>
    <row r="1343" spans="1:6" x14ac:dyDescent="0.25">
      <c r="A1343" t="s">
        <v>119</v>
      </c>
      <c r="B1343" s="1">
        <v>46132</v>
      </c>
      <c r="C1343">
        <v>71</v>
      </c>
      <c r="D1343">
        <f t="shared" si="60"/>
        <v>76.400000000000006</v>
      </c>
      <c r="E1343">
        <f t="shared" si="61"/>
        <v>5</v>
      </c>
      <c r="F1343">
        <f t="shared" si="62"/>
        <v>7.6056338028169093E-2</v>
      </c>
    </row>
    <row r="1344" spans="1:6" x14ac:dyDescent="0.25">
      <c r="A1344" t="s">
        <v>119</v>
      </c>
      <c r="B1344" s="1">
        <v>46139</v>
      </c>
      <c r="C1344">
        <v>57</v>
      </c>
      <c r="D1344">
        <f t="shared" si="60"/>
        <v>73.599999999999994</v>
      </c>
      <c r="E1344">
        <f t="shared" si="61"/>
        <v>5</v>
      </c>
      <c r="F1344">
        <f t="shared" si="62"/>
        <v>0.2912280701754385</v>
      </c>
    </row>
    <row r="1345" spans="1:6" x14ac:dyDescent="0.25">
      <c r="A1345" t="s">
        <v>119</v>
      </c>
      <c r="B1345" s="1">
        <v>46146</v>
      </c>
      <c r="C1345">
        <v>82</v>
      </c>
      <c r="D1345">
        <f t="shared" si="60"/>
        <v>72.2</v>
      </c>
      <c r="E1345">
        <f t="shared" si="61"/>
        <v>5</v>
      </c>
      <c r="F1345">
        <f t="shared" si="62"/>
        <v>0.11951219512195119</v>
      </c>
    </row>
    <row r="1346" spans="1:6" x14ac:dyDescent="0.25">
      <c r="A1346" t="s">
        <v>119</v>
      </c>
      <c r="B1346" s="1">
        <v>46153</v>
      </c>
      <c r="C1346">
        <v>98</v>
      </c>
      <c r="D1346">
        <f t="shared" ref="D1346:D1409" si="63">IF(E1346 &lt; 5, "", AVERAGEIFS(C:C, A:A, A1346, B:B, "&gt;=" &amp; (B1346-35), B:B, "&lt;=" &amp; (B1346-7)))</f>
        <v>73.599999999999994</v>
      </c>
      <c r="E1346">
        <f t="shared" ref="E1346:E1409" si="64">COUNTIFS(A:A, A1346, B:B, "&gt;=" &amp; (B1346-35), B:B, "&lt;=" &amp; (B1346-7))</f>
        <v>5</v>
      </c>
      <c r="F1346">
        <f t="shared" ref="F1346:F1409" si="65">IF(OR(C1346=0, D1346=""), "", ABS(C1346 - D1346) / C1346)</f>
        <v>0.24897959183673476</v>
      </c>
    </row>
    <row r="1347" spans="1:6" x14ac:dyDescent="0.25">
      <c r="A1347" t="s">
        <v>119</v>
      </c>
      <c r="B1347" s="1">
        <v>46160</v>
      </c>
      <c r="C1347">
        <v>99</v>
      </c>
      <c r="D1347">
        <f t="shared" si="63"/>
        <v>77</v>
      </c>
      <c r="E1347">
        <f t="shared" si="64"/>
        <v>5</v>
      </c>
      <c r="F1347">
        <f t="shared" si="65"/>
        <v>0.22222222222222221</v>
      </c>
    </row>
    <row r="1348" spans="1:6" x14ac:dyDescent="0.25">
      <c r="A1348" t="s">
        <v>119</v>
      </c>
      <c r="B1348" s="1">
        <v>46167</v>
      </c>
      <c r="C1348">
        <v>103</v>
      </c>
      <c r="D1348">
        <f t="shared" si="63"/>
        <v>81.400000000000006</v>
      </c>
      <c r="E1348">
        <f t="shared" si="64"/>
        <v>5</v>
      </c>
      <c r="F1348">
        <f t="shared" si="65"/>
        <v>0.20970873786407762</v>
      </c>
    </row>
    <row r="1349" spans="1:6" x14ac:dyDescent="0.25">
      <c r="A1349" t="s">
        <v>119</v>
      </c>
      <c r="B1349" s="1">
        <v>46174</v>
      </c>
      <c r="C1349">
        <v>92</v>
      </c>
      <c r="D1349">
        <f t="shared" si="63"/>
        <v>87.8</v>
      </c>
      <c r="E1349">
        <f t="shared" si="64"/>
        <v>5</v>
      </c>
      <c r="F1349">
        <f t="shared" si="65"/>
        <v>4.5652173913043506E-2</v>
      </c>
    </row>
    <row r="1350" spans="1:6" x14ac:dyDescent="0.25">
      <c r="A1350" t="s">
        <v>119</v>
      </c>
      <c r="B1350" s="1">
        <v>46181</v>
      </c>
      <c r="C1350">
        <v>91</v>
      </c>
      <c r="D1350">
        <f t="shared" si="63"/>
        <v>94.8</v>
      </c>
      <c r="E1350">
        <f t="shared" si="64"/>
        <v>5</v>
      </c>
      <c r="F1350">
        <f t="shared" si="65"/>
        <v>4.1758241758241728E-2</v>
      </c>
    </row>
    <row r="1351" spans="1:6" x14ac:dyDescent="0.25">
      <c r="A1351" t="s">
        <v>119</v>
      </c>
      <c r="B1351" s="1">
        <v>46188</v>
      </c>
      <c r="C1351">
        <v>81</v>
      </c>
      <c r="D1351">
        <f t="shared" si="63"/>
        <v>96.6</v>
      </c>
      <c r="E1351">
        <f t="shared" si="64"/>
        <v>5</v>
      </c>
      <c r="F1351">
        <f t="shared" si="65"/>
        <v>0.19259259259259251</v>
      </c>
    </row>
    <row r="1352" spans="1:6" x14ac:dyDescent="0.25">
      <c r="A1352" t="s">
        <v>119</v>
      </c>
      <c r="B1352" s="1">
        <v>46195</v>
      </c>
      <c r="C1352">
        <v>62</v>
      </c>
      <c r="D1352">
        <f t="shared" si="63"/>
        <v>93.2</v>
      </c>
      <c r="E1352">
        <f t="shared" si="64"/>
        <v>5</v>
      </c>
      <c r="F1352">
        <f t="shared" si="65"/>
        <v>0.50322580645161297</v>
      </c>
    </row>
    <row r="1353" spans="1:6" x14ac:dyDescent="0.25">
      <c r="A1353" t="s">
        <v>119</v>
      </c>
      <c r="B1353" s="1">
        <v>46202</v>
      </c>
      <c r="C1353">
        <v>82</v>
      </c>
      <c r="D1353">
        <f t="shared" si="63"/>
        <v>85.8</v>
      </c>
      <c r="E1353">
        <f t="shared" si="64"/>
        <v>5</v>
      </c>
      <c r="F1353">
        <f t="shared" si="65"/>
        <v>4.6341463414634111E-2</v>
      </c>
    </row>
    <row r="1354" spans="1:6" x14ac:dyDescent="0.25">
      <c r="A1354" t="s">
        <v>121</v>
      </c>
      <c r="B1354" s="1">
        <v>46027</v>
      </c>
      <c r="C1354">
        <v>94</v>
      </c>
      <c r="D1354" t="str">
        <f t="shared" si="63"/>
        <v/>
      </c>
      <c r="E1354">
        <f t="shared" si="64"/>
        <v>0</v>
      </c>
      <c r="F1354" t="str">
        <f t="shared" si="65"/>
        <v/>
      </c>
    </row>
    <row r="1355" spans="1:6" x14ac:dyDescent="0.25">
      <c r="A1355" t="s">
        <v>121</v>
      </c>
      <c r="B1355" s="1">
        <v>46034</v>
      </c>
      <c r="C1355">
        <v>124</v>
      </c>
      <c r="D1355" t="str">
        <f t="shared" si="63"/>
        <v/>
      </c>
      <c r="E1355">
        <f t="shared" si="64"/>
        <v>1</v>
      </c>
      <c r="F1355" t="str">
        <f t="shared" si="65"/>
        <v/>
      </c>
    </row>
    <row r="1356" spans="1:6" x14ac:dyDescent="0.25">
      <c r="A1356" t="s">
        <v>121</v>
      </c>
      <c r="B1356" s="1">
        <v>46041</v>
      </c>
      <c r="C1356">
        <v>103</v>
      </c>
      <c r="D1356" t="str">
        <f t="shared" si="63"/>
        <v/>
      </c>
      <c r="E1356">
        <f t="shared" si="64"/>
        <v>2</v>
      </c>
      <c r="F1356" t="str">
        <f t="shared" si="65"/>
        <v/>
      </c>
    </row>
    <row r="1357" spans="1:6" x14ac:dyDescent="0.25">
      <c r="A1357" t="s">
        <v>121</v>
      </c>
      <c r="B1357" s="1">
        <v>46048</v>
      </c>
      <c r="C1357">
        <v>108</v>
      </c>
      <c r="D1357" t="str">
        <f t="shared" si="63"/>
        <v/>
      </c>
      <c r="E1357">
        <f t="shared" si="64"/>
        <v>3</v>
      </c>
      <c r="F1357" t="str">
        <f t="shared" si="65"/>
        <v/>
      </c>
    </row>
    <row r="1358" spans="1:6" x14ac:dyDescent="0.25">
      <c r="A1358" t="s">
        <v>121</v>
      </c>
      <c r="B1358" s="1">
        <v>46055</v>
      </c>
      <c r="C1358">
        <v>114</v>
      </c>
      <c r="D1358" t="str">
        <f t="shared" si="63"/>
        <v/>
      </c>
      <c r="E1358">
        <f t="shared" si="64"/>
        <v>4</v>
      </c>
      <c r="F1358" t="str">
        <f t="shared" si="65"/>
        <v/>
      </c>
    </row>
    <row r="1359" spans="1:6" x14ac:dyDescent="0.25">
      <c r="A1359" t="s">
        <v>121</v>
      </c>
      <c r="B1359" s="1">
        <v>46062</v>
      </c>
      <c r="C1359">
        <v>111</v>
      </c>
      <c r="D1359">
        <f t="shared" si="63"/>
        <v>108.6</v>
      </c>
      <c r="E1359">
        <f t="shared" si="64"/>
        <v>5</v>
      </c>
      <c r="F1359">
        <f t="shared" si="65"/>
        <v>2.1621621621621671E-2</v>
      </c>
    </row>
    <row r="1360" spans="1:6" x14ac:dyDescent="0.25">
      <c r="A1360" t="s">
        <v>121</v>
      </c>
      <c r="B1360" s="1">
        <v>46069</v>
      </c>
      <c r="C1360">
        <v>114</v>
      </c>
      <c r="D1360">
        <f t="shared" si="63"/>
        <v>112</v>
      </c>
      <c r="E1360">
        <f t="shared" si="64"/>
        <v>5</v>
      </c>
      <c r="F1360">
        <f t="shared" si="65"/>
        <v>1.7543859649122806E-2</v>
      </c>
    </row>
    <row r="1361" spans="1:6" x14ac:dyDescent="0.25">
      <c r="A1361" t="s">
        <v>121</v>
      </c>
      <c r="B1361" s="1">
        <v>46076</v>
      </c>
      <c r="C1361">
        <v>117</v>
      </c>
      <c r="D1361">
        <f t="shared" si="63"/>
        <v>110</v>
      </c>
      <c r="E1361">
        <f t="shared" si="64"/>
        <v>5</v>
      </c>
      <c r="F1361">
        <f t="shared" si="65"/>
        <v>5.9829059829059832E-2</v>
      </c>
    </row>
    <row r="1362" spans="1:6" x14ac:dyDescent="0.25">
      <c r="A1362" t="s">
        <v>121</v>
      </c>
      <c r="B1362" s="1">
        <v>46083</v>
      </c>
      <c r="C1362">
        <v>94</v>
      </c>
      <c r="D1362">
        <f t="shared" si="63"/>
        <v>112.8</v>
      </c>
      <c r="E1362">
        <f t="shared" si="64"/>
        <v>5</v>
      </c>
      <c r="F1362">
        <f t="shared" si="65"/>
        <v>0.19999999999999998</v>
      </c>
    </row>
    <row r="1363" spans="1:6" x14ac:dyDescent="0.25">
      <c r="A1363" t="s">
        <v>121</v>
      </c>
      <c r="B1363" s="1">
        <v>46090</v>
      </c>
      <c r="C1363">
        <v>109</v>
      </c>
      <c r="D1363">
        <f t="shared" si="63"/>
        <v>110</v>
      </c>
      <c r="E1363">
        <f t="shared" si="64"/>
        <v>5</v>
      </c>
      <c r="F1363">
        <f t="shared" si="65"/>
        <v>9.1743119266055051E-3</v>
      </c>
    </row>
    <row r="1364" spans="1:6" x14ac:dyDescent="0.25">
      <c r="A1364" t="s">
        <v>121</v>
      </c>
      <c r="B1364" s="1">
        <v>46097</v>
      </c>
      <c r="C1364">
        <v>109</v>
      </c>
      <c r="D1364">
        <f t="shared" si="63"/>
        <v>109</v>
      </c>
      <c r="E1364">
        <f t="shared" si="64"/>
        <v>5</v>
      </c>
      <c r="F1364">
        <f t="shared" si="65"/>
        <v>0</v>
      </c>
    </row>
    <row r="1365" spans="1:6" x14ac:dyDescent="0.25">
      <c r="A1365" t="s">
        <v>121</v>
      </c>
      <c r="B1365" s="1">
        <v>46104</v>
      </c>
      <c r="C1365">
        <v>109</v>
      </c>
      <c r="D1365">
        <f t="shared" si="63"/>
        <v>108.6</v>
      </c>
      <c r="E1365">
        <f t="shared" si="64"/>
        <v>5</v>
      </c>
      <c r="F1365">
        <f t="shared" si="65"/>
        <v>3.6697247706422541E-3</v>
      </c>
    </row>
    <row r="1366" spans="1:6" x14ac:dyDescent="0.25">
      <c r="A1366" t="s">
        <v>121</v>
      </c>
      <c r="B1366" s="1">
        <v>46111</v>
      </c>
      <c r="C1366">
        <v>110</v>
      </c>
      <c r="D1366">
        <f t="shared" si="63"/>
        <v>107.6</v>
      </c>
      <c r="E1366">
        <f t="shared" si="64"/>
        <v>5</v>
      </c>
      <c r="F1366">
        <f t="shared" si="65"/>
        <v>2.1818181818181868E-2</v>
      </c>
    </row>
    <row r="1367" spans="1:6" x14ac:dyDescent="0.25">
      <c r="A1367" t="s">
        <v>121</v>
      </c>
      <c r="B1367" s="1">
        <v>46118</v>
      </c>
      <c r="C1367">
        <v>108</v>
      </c>
      <c r="D1367">
        <f t="shared" si="63"/>
        <v>106.2</v>
      </c>
      <c r="E1367">
        <f t="shared" si="64"/>
        <v>5</v>
      </c>
      <c r="F1367">
        <f t="shared" si="65"/>
        <v>1.6666666666666639E-2</v>
      </c>
    </row>
    <row r="1368" spans="1:6" x14ac:dyDescent="0.25">
      <c r="A1368" t="s">
        <v>121</v>
      </c>
      <c r="B1368" s="1">
        <v>46125</v>
      </c>
      <c r="C1368">
        <v>104</v>
      </c>
      <c r="D1368">
        <f t="shared" si="63"/>
        <v>109</v>
      </c>
      <c r="E1368">
        <f t="shared" si="64"/>
        <v>5</v>
      </c>
      <c r="F1368">
        <f t="shared" si="65"/>
        <v>4.807692307692308E-2</v>
      </c>
    </row>
    <row r="1369" spans="1:6" x14ac:dyDescent="0.25">
      <c r="A1369" t="s">
        <v>121</v>
      </c>
      <c r="B1369" s="1">
        <v>46132</v>
      </c>
      <c r="C1369">
        <v>103</v>
      </c>
      <c r="D1369">
        <f t="shared" si="63"/>
        <v>108</v>
      </c>
      <c r="E1369">
        <f t="shared" si="64"/>
        <v>5</v>
      </c>
      <c r="F1369">
        <f t="shared" si="65"/>
        <v>4.8543689320388349E-2</v>
      </c>
    </row>
    <row r="1370" spans="1:6" x14ac:dyDescent="0.25">
      <c r="A1370" t="s">
        <v>121</v>
      </c>
      <c r="B1370" s="1">
        <v>46139</v>
      </c>
      <c r="C1370">
        <v>128</v>
      </c>
      <c r="D1370">
        <f t="shared" si="63"/>
        <v>106.8</v>
      </c>
      <c r="E1370">
        <f t="shared" si="64"/>
        <v>5</v>
      </c>
      <c r="F1370">
        <f t="shared" si="65"/>
        <v>0.16562500000000002</v>
      </c>
    </row>
    <row r="1371" spans="1:6" x14ac:dyDescent="0.25">
      <c r="A1371" t="s">
        <v>121</v>
      </c>
      <c r="B1371" s="1">
        <v>46146</v>
      </c>
      <c r="C1371">
        <v>130</v>
      </c>
      <c r="D1371">
        <f t="shared" si="63"/>
        <v>110.6</v>
      </c>
      <c r="E1371">
        <f t="shared" si="64"/>
        <v>5</v>
      </c>
      <c r="F1371">
        <f t="shared" si="65"/>
        <v>0.14923076923076928</v>
      </c>
    </row>
    <row r="1372" spans="1:6" x14ac:dyDescent="0.25">
      <c r="A1372" t="s">
        <v>121</v>
      </c>
      <c r="B1372" s="1">
        <v>46153</v>
      </c>
      <c r="C1372">
        <v>113</v>
      </c>
      <c r="D1372">
        <f t="shared" si="63"/>
        <v>114.6</v>
      </c>
      <c r="E1372">
        <f t="shared" si="64"/>
        <v>5</v>
      </c>
      <c r="F1372">
        <f t="shared" si="65"/>
        <v>1.415929203539818E-2</v>
      </c>
    </row>
    <row r="1373" spans="1:6" x14ac:dyDescent="0.25">
      <c r="A1373" t="s">
        <v>121</v>
      </c>
      <c r="B1373" s="1">
        <v>46160</v>
      </c>
      <c r="C1373">
        <v>117</v>
      </c>
      <c r="D1373">
        <f t="shared" si="63"/>
        <v>115.6</v>
      </c>
      <c r="E1373">
        <f t="shared" si="64"/>
        <v>5</v>
      </c>
      <c r="F1373">
        <f t="shared" si="65"/>
        <v>1.1965811965812015E-2</v>
      </c>
    </row>
    <row r="1374" spans="1:6" x14ac:dyDescent="0.25">
      <c r="A1374" t="s">
        <v>121</v>
      </c>
      <c r="B1374" s="1">
        <v>46167</v>
      </c>
      <c r="C1374">
        <v>118</v>
      </c>
      <c r="D1374">
        <f t="shared" si="63"/>
        <v>118.2</v>
      </c>
      <c r="E1374">
        <f t="shared" si="64"/>
        <v>5</v>
      </c>
      <c r="F1374">
        <f t="shared" si="65"/>
        <v>1.6949152542373122E-3</v>
      </c>
    </row>
    <row r="1375" spans="1:6" x14ac:dyDescent="0.25">
      <c r="A1375" t="s">
        <v>121</v>
      </c>
      <c r="B1375" s="1">
        <v>46174</v>
      </c>
      <c r="C1375">
        <v>119</v>
      </c>
      <c r="D1375">
        <f t="shared" si="63"/>
        <v>121.2</v>
      </c>
      <c r="E1375">
        <f t="shared" si="64"/>
        <v>5</v>
      </c>
      <c r="F1375">
        <f t="shared" si="65"/>
        <v>1.8487394957983218E-2</v>
      </c>
    </row>
    <row r="1376" spans="1:6" x14ac:dyDescent="0.25">
      <c r="A1376" t="s">
        <v>121</v>
      </c>
      <c r="B1376" s="1">
        <v>46181</v>
      </c>
      <c r="C1376">
        <v>102</v>
      </c>
      <c r="D1376">
        <f t="shared" si="63"/>
        <v>119.4</v>
      </c>
      <c r="E1376">
        <f t="shared" si="64"/>
        <v>5</v>
      </c>
      <c r="F1376">
        <f t="shared" si="65"/>
        <v>0.17058823529411771</v>
      </c>
    </row>
    <row r="1377" spans="1:6" x14ac:dyDescent="0.25">
      <c r="A1377" t="s">
        <v>121</v>
      </c>
      <c r="B1377" s="1">
        <v>46188</v>
      </c>
      <c r="C1377">
        <v>137</v>
      </c>
      <c r="D1377">
        <f t="shared" si="63"/>
        <v>113.8</v>
      </c>
      <c r="E1377">
        <f t="shared" si="64"/>
        <v>5</v>
      </c>
      <c r="F1377">
        <f t="shared" si="65"/>
        <v>0.16934306569343069</v>
      </c>
    </row>
    <row r="1378" spans="1:6" x14ac:dyDescent="0.25">
      <c r="A1378" t="s">
        <v>121</v>
      </c>
      <c r="B1378" s="1">
        <v>46195</v>
      </c>
      <c r="C1378">
        <v>124</v>
      </c>
      <c r="D1378">
        <f t="shared" si="63"/>
        <v>118.6</v>
      </c>
      <c r="E1378">
        <f t="shared" si="64"/>
        <v>5</v>
      </c>
      <c r="F1378">
        <f t="shared" si="65"/>
        <v>4.3548387096774242E-2</v>
      </c>
    </row>
    <row r="1379" spans="1:6" x14ac:dyDescent="0.25">
      <c r="A1379" t="s">
        <v>121</v>
      </c>
      <c r="B1379" s="1">
        <v>46202</v>
      </c>
      <c r="C1379">
        <v>123</v>
      </c>
      <c r="D1379">
        <f t="shared" si="63"/>
        <v>120</v>
      </c>
      <c r="E1379">
        <f t="shared" si="64"/>
        <v>5</v>
      </c>
      <c r="F1379">
        <f t="shared" si="65"/>
        <v>2.4390243902439025E-2</v>
      </c>
    </row>
    <row r="1380" spans="1:6" x14ac:dyDescent="0.25">
      <c r="A1380" t="s">
        <v>123</v>
      </c>
      <c r="B1380" s="1">
        <v>46027</v>
      </c>
      <c r="C1380">
        <v>66</v>
      </c>
      <c r="D1380" t="str">
        <f t="shared" si="63"/>
        <v/>
      </c>
      <c r="E1380">
        <f t="shared" si="64"/>
        <v>0</v>
      </c>
      <c r="F1380" t="str">
        <f t="shared" si="65"/>
        <v/>
      </c>
    </row>
    <row r="1381" spans="1:6" x14ac:dyDescent="0.25">
      <c r="A1381" t="s">
        <v>123</v>
      </c>
      <c r="B1381" s="1">
        <v>46034</v>
      </c>
      <c r="C1381">
        <v>80</v>
      </c>
      <c r="D1381" t="str">
        <f t="shared" si="63"/>
        <v/>
      </c>
      <c r="E1381">
        <f t="shared" si="64"/>
        <v>1</v>
      </c>
      <c r="F1381" t="str">
        <f t="shared" si="65"/>
        <v/>
      </c>
    </row>
    <row r="1382" spans="1:6" x14ac:dyDescent="0.25">
      <c r="A1382" t="s">
        <v>123</v>
      </c>
      <c r="B1382" s="1">
        <v>46041</v>
      </c>
      <c r="C1382">
        <v>75</v>
      </c>
      <c r="D1382" t="str">
        <f t="shared" si="63"/>
        <v/>
      </c>
      <c r="E1382">
        <f t="shared" si="64"/>
        <v>2</v>
      </c>
      <c r="F1382" t="str">
        <f t="shared" si="65"/>
        <v/>
      </c>
    </row>
    <row r="1383" spans="1:6" x14ac:dyDescent="0.25">
      <c r="A1383" t="s">
        <v>123</v>
      </c>
      <c r="B1383" s="1">
        <v>46048</v>
      </c>
      <c r="C1383">
        <v>75</v>
      </c>
      <c r="D1383" t="str">
        <f t="shared" si="63"/>
        <v/>
      </c>
      <c r="E1383">
        <f t="shared" si="64"/>
        <v>3</v>
      </c>
      <c r="F1383" t="str">
        <f t="shared" si="65"/>
        <v/>
      </c>
    </row>
    <row r="1384" spans="1:6" x14ac:dyDescent="0.25">
      <c r="A1384" t="s">
        <v>123</v>
      </c>
      <c r="B1384" s="1">
        <v>46055</v>
      </c>
      <c r="C1384">
        <v>74</v>
      </c>
      <c r="D1384" t="str">
        <f t="shared" si="63"/>
        <v/>
      </c>
      <c r="E1384">
        <f t="shared" si="64"/>
        <v>4</v>
      </c>
      <c r="F1384" t="str">
        <f t="shared" si="65"/>
        <v/>
      </c>
    </row>
    <row r="1385" spans="1:6" x14ac:dyDescent="0.25">
      <c r="A1385" t="s">
        <v>123</v>
      </c>
      <c r="B1385" s="1">
        <v>46062</v>
      </c>
      <c r="C1385">
        <v>79</v>
      </c>
      <c r="D1385">
        <f t="shared" si="63"/>
        <v>74</v>
      </c>
      <c r="E1385">
        <f t="shared" si="64"/>
        <v>5</v>
      </c>
      <c r="F1385">
        <f t="shared" si="65"/>
        <v>6.3291139240506333E-2</v>
      </c>
    </row>
    <row r="1386" spans="1:6" x14ac:dyDescent="0.25">
      <c r="A1386" t="s">
        <v>123</v>
      </c>
      <c r="B1386" s="1">
        <v>46069</v>
      </c>
      <c r="C1386">
        <v>89</v>
      </c>
      <c r="D1386">
        <f t="shared" si="63"/>
        <v>76.599999999999994</v>
      </c>
      <c r="E1386">
        <f t="shared" si="64"/>
        <v>5</v>
      </c>
      <c r="F1386">
        <f t="shared" si="65"/>
        <v>0.13932584269662929</v>
      </c>
    </row>
    <row r="1387" spans="1:6" x14ac:dyDescent="0.25">
      <c r="A1387" t="s">
        <v>123</v>
      </c>
      <c r="B1387" s="1">
        <v>46076</v>
      </c>
      <c r="C1387">
        <v>74</v>
      </c>
      <c r="D1387">
        <f t="shared" si="63"/>
        <v>78.400000000000006</v>
      </c>
      <c r="E1387">
        <f t="shared" si="64"/>
        <v>5</v>
      </c>
      <c r="F1387">
        <f t="shared" si="65"/>
        <v>5.9459459459459539E-2</v>
      </c>
    </row>
    <row r="1388" spans="1:6" x14ac:dyDescent="0.25">
      <c r="A1388" t="s">
        <v>123</v>
      </c>
      <c r="B1388" s="1">
        <v>46083</v>
      </c>
      <c r="C1388">
        <v>91</v>
      </c>
      <c r="D1388">
        <f t="shared" si="63"/>
        <v>78.2</v>
      </c>
      <c r="E1388">
        <f t="shared" si="64"/>
        <v>5</v>
      </c>
      <c r="F1388">
        <f t="shared" si="65"/>
        <v>0.14065934065934063</v>
      </c>
    </row>
    <row r="1389" spans="1:6" x14ac:dyDescent="0.25">
      <c r="A1389" t="s">
        <v>123</v>
      </c>
      <c r="B1389" s="1">
        <v>46090</v>
      </c>
      <c r="C1389">
        <v>90</v>
      </c>
      <c r="D1389">
        <f t="shared" si="63"/>
        <v>81.400000000000006</v>
      </c>
      <c r="E1389">
        <f t="shared" si="64"/>
        <v>5</v>
      </c>
      <c r="F1389">
        <f t="shared" si="65"/>
        <v>9.5555555555555491E-2</v>
      </c>
    </row>
    <row r="1390" spans="1:6" x14ac:dyDescent="0.25">
      <c r="A1390" t="s">
        <v>123</v>
      </c>
      <c r="B1390" s="1">
        <v>46097</v>
      </c>
      <c r="C1390">
        <v>92</v>
      </c>
      <c r="D1390">
        <f t="shared" si="63"/>
        <v>84.6</v>
      </c>
      <c r="E1390">
        <f t="shared" si="64"/>
        <v>5</v>
      </c>
      <c r="F1390">
        <f t="shared" si="65"/>
        <v>8.0434782608695715E-2</v>
      </c>
    </row>
    <row r="1391" spans="1:6" x14ac:dyDescent="0.25">
      <c r="A1391" t="s">
        <v>123</v>
      </c>
      <c r="B1391" s="1">
        <v>46104</v>
      </c>
      <c r="C1391">
        <v>83</v>
      </c>
      <c r="D1391">
        <f t="shared" si="63"/>
        <v>87.2</v>
      </c>
      <c r="E1391">
        <f t="shared" si="64"/>
        <v>5</v>
      </c>
      <c r="F1391">
        <f t="shared" si="65"/>
        <v>5.0602409638554252E-2</v>
      </c>
    </row>
    <row r="1392" spans="1:6" x14ac:dyDescent="0.25">
      <c r="A1392" t="s">
        <v>123</v>
      </c>
      <c r="B1392" s="1">
        <v>46111</v>
      </c>
      <c r="C1392">
        <v>70</v>
      </c>
      <c r="D1392">
        <f t="shared" si="63"/>
        <v>86</v>
      </c>
      <c r="E1392">
        <f t="shared" si="64"/>
        <v>5</v>
      </c>
      <c r="F1392">
        <f t="shared" si="65"/>
        <v>0.22857142857142856</v>
      </c>
    </row>
    <row r="1393" spans="1:6" x14ac:dyDescent="0.25">
      <c r="A1393" t="s">
        <v>123</v>
      </c>
      <c r="B1393" s="1">
        <v>46118</v>
      </c>
      <c r="C1393">
        <v>93</v>
      </c>
      <c r="D1393">
        <f t="shared" si="63"/>
        <v>85.2</v>
      </c>
      <c r="E1393">
        <f t="shared" si="64"/>
        <v>5</v>
      </c>
      <c r="F1393">
        <f t="shared" si="65"/>
        <v>8.3870967741935448E-2</v>
      </c>
    </row>
    <row r="1394" spans="1:6" x14ac:dyDescent="0.25">
      <c r="A1394" t="s">
        <v>123</v>
      </c>
      <c r="B1394" s="1">
        <v>46125</v>
      </c>
      <c r="C1394">
        <v>84</v>
      </c>
      <c r="D1394">
        <f t="shared" si="63"/>
        <v>85.6</v>
      </c>
      <c r="E1394">
        <f t="shared" si="64"/>
        <v>5</v>
      </c>
      <c r="F1394">
        <f t="shared" si="65"/>
        <v>1.904761904761898E-2</v>
      </c>
    </row>
    <row r="1395" spans="1:6" x14ac:dyDescent="0.25">
      <c r="A1395" t="s">
        <v>123</v>
      </c>
      <c r="B1395" s="1">
        <v>46132</v>
      </c>
      <c r="C1395">
        <v>105</v>
      </c>
      <c r="D1395">
        <f t="shared" si="63"/>
        <v>84.4</v>
      </c>
      <c r="E1395">
        <f t="shared" si="64"/>
        <v>5</v>
      </c>
      <c r="F1395">
        <f t="shared" si="65"/>
        <v>0.19619047619047614</v>
      </c>
    </row>
    <row r="1396" spans="1:6" x14ac:dyDescent="0.25">
      <c r="A1396" t="s">
        <v>123</v>
      </c>
      <c r="B1396" s="1">
        <v>46139</v>
      </c>
      <c r="C1396">
        <v>104</v>
      </c>
      <c r="D1396">
        <f t="shared" si="63"/>
        <v>87</v>
      </c>
      <c r="E1396">
        <f t="shared" si="64"/>
        <v>5</v>
      </c>
      <c r="F1396">
        <f t="shared" si="65"/>
        <v>0.16346153846153846</v>
      </c>
    </row>
    <row r="1397" spans="1:6" x14ac:dyDescent="0.25">
      <c r="A1397" t="s">
        <v>123</v>
      </c>
      <c r="B1397" s="1">
        <v>46146</v>
      </c>
      <c r="C1397">
        <v>95</v>
      </c>
      <c r="D1397">
        <f t="shared" si="63"/>
        <v>91.2</v>
      </c>
      <c r="E1397">
        <f t="shared" si="64"/>
        <v>5</v>
      </c>
      <c r="F1397">
        <f t="shared" si="65"/>
        <v>3.9999999999999973E-2</v>
      </c>
    </row>
    <row r="1398" spans="1:6" x14ac:dyDescent="0.25">
      <c r="A1398" t="s">
        <v>123</v>
      </c>
      <c r="B1398" s="1">
        <v>46153</v>
      </c>
      <c r="C1398">
        <v>107</v>
      </c>
      <c r="D1398">
        <f t="shared" si="63"/>
        <v>96.2</v>
      </c>
      <c r="E1398">
        <f t="shared" si="64"/>
        <v>5</v>
      </c>
      <c r="F1398">
        <f t="shared" si="65"/>
        <v>0.10093457943925231</v>
      </c>
    </row>
    <row r="1399" spans="1:6" x14ac:dyDescent="0.25">
      <c r="A1399" t="s">
        <v>123</v>
      </c>
      <c r="B1399" s="1">
        <v>46160</v>
      </c>
      <c r="C1399">
        <v>91</v>
      </c>
      <c r="D1399">
        <f t="shared" si="63"/>
        <v>99</v>
      </c>
      <c r="E1399">
        <f t="shared" si="64"/>
        <v>5</v>
      </c>
      <c r="F1399">
        <f t="shared" si="65"/>
        <v>8.7912087912087919E-2</v>
      </c>
    </row>
    <row r="1400" spans="1:6" x14ac:dyDescent="0.25">
      <c r="A1400" t="s">
        <v>123</v>
      </c>
      <c r="B1400" s="1">
        <v>46167</v>
      </c>
      <c r="C1400">
        <v>94</v>
      </c>
      <c r="D1400">
        <f t="shared" si="63"/>
        <v>100.4</v>
      </c>
      <c r="E1400">
        <f t="shared" si="64"/>
        <v>5</v>
      </c>
      <c r="F1400">
        <f t="shared" si="65"/>
        <v>6.808510638297878E-2</v>
      </c>
    </row>
    <row r="1401" spans="1:6" x14ac:dyDescent="0.25">
      <c r="A1401" t="s">
        <v>123</v>
      </c>
      <c r="B1401" s="1">
        <v>46174</v>
      </c>
      <c r="C1401">
        <v>83</v>
      </c>
      <c r="D1401">
        <f t="shared" si="63"/>
        <v>98.2</v>
      </c>
      <c r="E1401">
        <f t="shared" si="64"/>
        <v>5</v>
      </c>
      <c r="F1401">
        <f t="shared" si="65"/>
        <v>0.18313253012048197</v>
      </c>
    </row>
    <row r="1402" spans="1:6" x14ac:dyDescent="0.25">
      <c r="A1402" t="s">
        <v>123</v>
      </c>
      <c r="B1402" s="1">
        <v>46181</v>
      </c>
      <c r="C1402">
        <v>95</v>
      </c>
      <c r="D1402">
        <f t="shared" si="63"/>
        <v>94</v>
      </c>
      <c r="E1402">
        <f t="shared" si="64"/>
        <v>5</v>
      </c>
      <c r="F1402">
        <f t="shared" si="65"/>
        <v>1.0526315789473684E-2</v>
      </c>
    </row>
    <row r="1403" spans="1:6" x14ac:dyDescent="0.25">
      <c r="A1403" t="s">
        <v>123</v>
      </c>
      <c r="B1403" s="1">
        <v>46188</v>
      </c>
      <c r="C1403">
        <v>86</v>
      </c>
      <c r="D1403">
        <f t="shared" si="63"/>
        <v>94</v>
      </c>
      <c r="E1403">
        <f t="shared" si="64"/>
        <v>5</v>
      </c>
      <c r="F1403">
        <f t="shared" si="65"/>
        <v>9.3023255813953487E-2</v>
      </c>
    </row>
    <row r="1404" spans="1:6" x14ac:dyDescent="0.25">
      <c r="A1404" t="s">
        <v>123</v>
      </c>
      <c r="B1404" s="1">
        <v>46195</v>
      </c>
      <c r="C1404">
        <v>77</v>
      </c>
      <c r="D1404">
        <f t="shared" si="63"/>
        <v>89.8</v>
      </c>
      <c r="E1404">
        <f t="shared" si="64"/>
        <v>5</v>
      </c>
      <c r="F1404">
        <f t="shared" si="65"/>
        <v>0.16623376623376621</v>
      </c>
    </row>
    <row r="1405" spans="1:6" x14ac:dyDescent="0.25">
      <c r="A1405" t="s">
        <v>123</v>
      </c>
      <c r="B1405" s="1">
        <v>46202</v>
      </c>
      <c r="C1405">
        <v>72</v>
      </c>
      <c r="D1405">
        <f t="shared" si="63"/>
        <v>87</v>
      </c>
      <c r="E1405">
        <f t="shared" si="64"/>
        <v>5</v>
      </c>
      <c r="F1405">
        <f t="shared" si="65"/>
        <v>0.20833333333333334</v>
      </c>
    </row>
    <row r="1406" spans="1:6" x14ac:dyDescent="0.25">
      <c r="A1406" t="s">
        <v>125</v>
      </c>
      <c r="B1406" s="1">
        <v>46027</v>
      </c>
      <c r="C1406">
        <v>73</v>
      </c>
      <c r="D1406" t="str">
        <f t="shared" si="63"/>
        <v/>
      </c>
      <c r="E1406">
        <f t="shared" si="64"/>
        <v>0</v>
      </c>
      <c r="F1406" t="str">
        <f t="shared" si="65"/>
        <v/>
      </c>
    </row>
    <row r="1407" spans="1:6" x14ac:dyDescent="0.25">
      <c r="A1407" t="s">
        <v>125</v>
      </c>
      <c r="B1407" s="1">
        <v>46034</v>
      </c>
      <c r="C1407">
        <v>77</v>
      </c>
      <c r="D1407" t="str">
        <f t="shared" si="63"/>
        <v/>
      </c>
      <c r="E1407">
        <f t="shared" si="64"/>
        <v>1</v>
      </c>
      <c r="F1407" t="str">
        <f t="shared" si="65"/>
        <v/>
      </c>
    </row>
    <row r="1408" spans="1:6" x14ac:dyDescent="0.25">
      <c r="A1408" t="s">
        <v>125</v>
      </c>
      <c r="B1408" s="1">
        <v>46041</v>
      </c>
      <c r="C1408">
        <v>117</v>
      </c>
      <c r="D1408" t="str">
        <f t="shared" si="63"/>
        <v/>
      </c>
      <c r="E1408">
        <f t="shared" si="64"/>
        <v>2</v>
      </c>
      <c r="F1408" t="str">
        <f t="shared" si="65"/>
        <v/>
      </c>
    </row>
    <row r="1409" spans="1:6" x14ac:dyDescent="0.25">
      <c r="A1409" t="s">
        <v>125</v>
      </c>
      <c r="B1409" s="1">
        <v>46048</v>
      </c>
      <c r="C1409">
        <v>59</v>
      </c>
      <c r="D1409" t="str">
        <f t="shared" si="63"/>
        <v/>
      </c>
      <c r="E1409">
        <f t="shared" si="64"/>
        <v>3</v>
      </c>
      <c r="F1409" t="str">
        <f t="shared" si="65"/>
        <v/>
      </c>
    </row>
    <row r="1410" spans="1:6" x14ac:dyDescent="0.25">
      <c r="A1410" t="s">
        <v>125</v>
      </c>
      <c r="B1410" s="1">
        <v>46055</v>
      </c>
      <c r="C1410">
        <v>33</v>
      </c>
      <c r="D1410" t="str">
        <f t="shared" ref="D1410:D1473" si="66">IF(E1410 &lt; 5, "", AVERAGEIFS(C:C, A:A, A1410, B:B, "&gt;=" &amp; (B1410-35), B:B, "&lt;=" &amp; (B1410-7)))</f>
        <v/>
      </c>
      <c r="E1410">
        <f t="shared" ref="E1410:E1473" si="67">COUNTIFS(A:A, A1410, B:B, "&gt;=" &amp; (B1410-35), B:B, "&lt;=" &amp; (B1410-7))</f>
        <v>4</v>
      </c>
      <c r="F1410" t="str">
        <f t="shared" ref="F1410:F1473" si="68">IF(OR(C1410=0, D1410=""), "", ABS(C1410 - D1410) / C1410)</f>
        <v/>
      </c>
    </row>
    <row r="1411" spans="1:6" x14ac:dyDescent="0.25">
      <c r="A1411" t="s">
        <v>125</v>
      </c>
      <c r="B1411" s="1">
        <v>46062</v>
      </c>
      <c r="C1411">
        <v>32</v>
      </c>
      <c r="D1411">
        <f t="shared" si="66"/>
        <v>71.8</v>
      </c>
      <c r="E1411">
        <f t="shared" si="67"/>
        <v>5</v>
      </c>
      <c r="F1411">
        <f t="shared" si="68"/>
        <v>1.2437499999999999</v>
      </c>
    </row>
    <row r="1412" spans="1:6" x14ac:dyDescent="0.25">
      <c r="A1412" t="s">
        <v>125</v>
      </c>
      <c r="B1412" s="1">
        <v>46069</v>
      </c>
      <c r="C1412">
        <v>70</v>
      </c>
      <c r="D1412">
        <f t="shared" si="66"/>
        <v>63.6</v>
      </c>
      <c r="E1412">
        <f t="shared" si="67"/>
        <v>5</v>
      </c>
      <c r="F1412">
        <f t="shared" si="68"/>
        <v>9.1428571428571415E-2</v>
      </c>
    </row>
    <row r="1413" spans="1:6" x14ac:dyDescent="0.25">
      <c r="A1413" t="s">
        <v>125</v>
      </c>
      <c r="B1413" s="1">
        <v>46076</v>
      </c>
      <c r="C1413">
        <v>66</v>
      </c>
      <c r="D1413">
        <f t="shared" si="66"/>
        <v>62.2</v>
      </c>
      <c r="E1413">
        <f t="shared" si="67"/>
        <v>5</v>
      </c>
      <c r="F1413">
        <f t="shared" si="68"/>
        <v>5.757575757575753E-2</v>
      </c>
    </row>
    <row r="1414" spans="1:6" x14ac:dyDescent="0.25">
      <c r="A1414" t="s">
        <v>125</v>
      </c>
      <c r="B1414" s="1">
        <v>46083</v>
      </c>
      <c r="C1414">
        <v>86</v>
      </c>
      <c r="D1414">
        <f t="shared" si="66"/>
        <v>52</v>
      </c>
      <c r="E1414">
        <f t="shared" si="67"/>
        <v>5</v>
      </c>
      <c r="F1414">
        <f t="shared" si="68"/>
        <v>0.39534883720930231</v>
      </c>
    </row>
    <row r="1415" spans="1:6" x14ac:dyDescent="0.25">
      <c r="A1415" t="s">
        <v>125</v>
      </c>
      <c r="B1415" s="1">
        <v>46090</v>
      </c>
      <c r="C1415">
        <v>103</v>
      </c>
      <c r="D1415">
        <f t="shared" si="66"/>
        <v>57.4</v>
      </c>
      <c r="E1415">
        <f t="shared" si="67"/>
        <v>5</v>
      </c>
      <c r="F1415">
        <f t="shared" si="68"/>
        <v>0.44271844660194176</v>
      </c>
    </row>
    <row r="1416" spans="1:6" x14ac:dyDescent="0.25">
      <c r="A1416" t="s">
        <v>125</v>
      </c>
      <c r="B1416" s="1">
        <v>46097</v>
      </c>
      <c r="C1416">
        <v>138</v>
      </c>
      <c r="D1416">
        <f t="shared" si="66"/>
        <v>71.400000000000006</v>
      </c>
      <c r="E1416">
        <f t="shared" si="67"/>
        <v>5</v>
      </c>
      <c r="F1416">
        <f t="shared" si="68"/>
        <v>0.48260869565217385</v>
      </c>
    </row>
    <row r="1417" spans="1:6" x14ac:dyDescent="0.25">
      <c r="A1417" t="s">
        <v>125</v>
      </c>
      <c r="B1417" s="1">
        <v>46104</v>
      </c>
      <c r="C1417">
        <v>97</v>
      </c>
      <c r="D1417">
        <f t="shared" si="66"/>
        <v>92.6</v>
      </c>
      <c r="E1417">
        <f t="shared" si="67"/>
        <v>5</v>
      </c>
      <c r="F1417">
        <f t="shared" si="68"/>
        <v>4.5360824742268102E-2</v>
      </c>
    </row>
    <row r="1418" spans="1:6" x14ac:dyDescent="0.25">
      <c r="A1418" t="s">
        <v>125</v>
      </c>
      <c r="B1418" s="1">
        <v>46111</v>
      </c>
      <c r="C1418">
        <v>103</v>
      </c>
      <c r="D1418">
        <f t="shared" si="66"/>
        <v>98</v>
      </c>
      <c r="E1418">
        <f t="shared" si="67"/>
        <v>5</v>
      </c>
      <c r="F1418">
        <f t="shared" si="68"/>
        <v>4.8543689320388349E-2</v>
      </c>
    </row>
    <row r="1419" spans="1:6" x14ac:dyDescent="0.25">
      <c r="A1419" t="s">
        <v>125</v>
      </c>
      <c r="B1419" s="1">
        <v>46118</v>
      </c>
      <c r="C1419">
        <v>69</v>
      </c>
      <c r="D1419">
        <f t="shared" si="66"/>
        <v>105.4</v>
      </c>
      <c r="E1419">
        <f t="shared" si="67"/>
        <v>5</v>
      </c>
      <c r="F1419">
        <f t="shared" si="68"/>
        <v>0.52753623188405807</v>
      </c>
    </row>
    <row r="1420" spans="1:6" x14ac:dyDescent="0.25">
      <c r="A1420" t="s">
        <v>125</v>
      </c>
      <c r="B1420" s="1">
        <v>46125</v>
      </c>
      <c r="C1420">
        <v>108</v>
      </c>
      <c r="D1420">
        <f t="shared" si="66"/>
        <v>102</v>
      </c>
      <c r="E1420">
        <f t="shared" si="67"/>
        <v>5</v>
      </c>
      <c r="F1420">
        <f t="shared" si="68"/>
        <v>5.5555555555555552E-2</v>
      </c>
    </row>
    <row r="1421" spans="1:6" x14ac:dyDescent="0.25">
      <c r="A1421" t="s">
        <v>125</v>
      </c>
      <c r="B1421" s="1">
        <v>46132</v>
      </c>
      <c r="C1421">
        <v>132</v>
      </c>
      <c r="D1421">
        <f t="shared" si="66"/>
        <v>103</v>
      </c>
      <c r="E1421">
        <f t="shared" si="67"/>
        <v>5</v>
      </c>
      <c r="F1421">
        <f t="shared" si="68"/>
        <v>0.2196969696969697</v>
      </c>
    </row>
    <row r="1422" spans="1:6" x14ac:dyDescent="0.25">
      <c r="A1422" t="s">
        <v>125</v>
      </c>
      <c r="B1422" s="1">
        <v>46139</v>
      </c>
      <c r="C1422">
        <v>132</v>
      </c>
      <c r="D1422">
        <f t="shared" si="66"/>
        <v>101.8</v>
      </c>
      <c r="E1422">
        <f t="shared" si="67"/>
        <v>5</v>
      </c>
      <c r="F1422">
        <f t="shared" si="68"/>
        <v>0.22878787878787882</v>
      </c>
    </row>
    <row r="1423" spans="1:6" x14ac:dyDescent="0.25">
      <c r="A1423" t="s">
        <v>125</v>
      </c>
      <c r="B1423" s="1">
        <v>46146</v>
      </c>
      <c r="C1423">
        <v>38</v>
      </c>
      <c r="D1423">
        <f t="shared" si="66"/>
        <v>108.8</v>
      </c>
      <c r="E1423">
        <f t="shared" si="67"/>
        <v>5</v>
      </c>
      <c r="F1423">
        <f t="shared" si="68"/>
        <v>1.8631578947368421</v>
      </c>
    </row>
    <row r="1424" spans="1:6" x14ac:dyDescent="0.25">
      <c r="A1424" t="s">
        <v>125</v>
      </c>
      <c r="B1424" s="1">
        <v>46153</v>
      </c>
      <c r="C1424">
        <v>121</v>
      </c>
      <c r="D1424">
        <f t="shared" si="66"/>
        <v>95.8</v>
      </c>
      <c r="E1424">
        <f t="shared" si="67"/>
        <v>5</v>
      </c>
      <c r="F1424">
        <f t="shared" si="68"/>
        <v>0.20826446280991737</v>
      </c>
    </row>
    <row r="1425" spans="1:6" x14ac:dyDescent="0.25">
      <c r="A1425" t="s">
        <v>125</v>
      </c>
      <c r="B1425" s="1">
        <v>46160</v>
      </c>
      <c r="C1425">
        <v>142</v>
      </c>
      <c r="D1425">
        <f t="shared" si="66"/>
        <v>106.2</v>
      </c>
      <c r="E1425">
        <f t="shared" si="67"/>
        <v>5</v>
      </c>
      <c r="F1425">
        <f t="shared" si="68"/>
        <v>0.25211267605633803</v>
      </c>
    </row>
    <row r="1426" spans="1:6" x14ac:dyDescent="0.25">
      <c r="A1426" t="s">
        <v>125</v>
      </c>
      <c r="B1426" s="1">
        <v>46167</v>
      </c>
      <c r="C1426">
        <v>122</v>
      </c>
      <c r="D1426">
        <f t="shared" si="66"/>
        <v>113</v>
      </c>
      <c r="E1426">
        <f t="shared" si="67"/>
        <v>5</v>
      </c>
      <c r="F1426">
        <f t="shared" si="68"/>
        <v>7.3770491803278687E-2</v>
      </c>
    </row>
    <row r="1427" spans="1:6" x14ac:dyDescent="0.25">
      <c r="A1427" t="s">
        <v>125</v>
      </c>
      <c r="B1427" s="1">
        <v>46174</v>
      </c>
      <c r="C1427">
        <v>56</v>
      </c>
      <c r="D1427">
        <f t="shared" si="66"/>
        <v>111</v>
      </c>
      <c r="E1427">
        <f t="shared" si="67"/>
        <v>5</v>
      </c>
      <c r="F1427">
        <f t="shared" si="68"/>
        <v>0.9821428571428571</v>
      </c>
    </row>
    <row r="1428" spans="1:6" x14ac:dyDescent="0.25">
      <c r="A1428" t="s">
        <v>125</v>
      </c>
      <c r="B1428" s="1">
        <v>46181</v>
      </c>
      <c r="C1428">
        <v>91</v>
      </c>
      <c r="D1428">
        <f t="shared" si="66"/>
        <v>95.8</v>
      </c>
      <c r="E1428">
        <f t="shared" si="67"/>
        <v>5</v>
      </c>
      <c r="F1428">
        <f t="shared" si="68"/>
        <v>5.2747252747252719E-2</v>
      </c>
    </row>
    <row r="1429" spans="1:6" x14ac:dyDescent="0.25">
      <c r="A1429" t="s">
        <v>125</v>
      </c>
      <c r="B1429" s="1">
        <v>46188</v>
      </c>
      <c r="C1429">
        <v>118</v>
      </c>
      <c r="D1429">
        <f t="shared" si="66"/>
        <v>106.4</v>
      </c>
      <c r="E1429">
        <f t="shared" si="67"/>
        <v>5</v>
      </c>
      <c r="F1429">
        <f t="shared" si="68"/>
        <v>9.8305084745762661E-2</v>
      </c>
    </row>
    <row r="1430" spans="1:6" x14ac:dyDescent="0.25">
      <c r="A1430" t="s">
        <v>125</v>
      </c>
      <c r="B1430" s="1">
        <v>46195</v>
      </c>
      <c r="C1430">
        <v>114</v>
      </c>
      <c r="D1430">
        <f t="shared" si="66"/>
        <v>105.8</v>
      </c>
      <c r="E1430">
        <f t="shared" si="67"/>
        <v>5</v>
      </c>
      <c r="F1430">
        <f t="shared" si="68"/>
        <v>7.1929824561403538E-2</v>
      </c>
    </row>
    <row r="1431" spans="1:6" x14ac:dyDescent="0.25">
      <c r="A1431" t="s">
        <v>125</v>
      </c>
      <c r="B1431" s="1">
        <v>46202</v>
      </c>
      <c r="C1431">
        <v>80</v>
      </c>
      <c r="D1431">
        <f t="shared" si="66"/>
        <v>100.2</v>
      </c>
      <c r="E1431">
        <f t="shared" si="67"/>
        <v>5</v>
      </c>
      <c r="F1431">
        <f t="shared" si="68"/>
        <v>0.25250000000000006</v>
      </c>
    </row>
    <row r="1432" spans="1:6" x14ac:dyDescent="0.25">
      <c r="A1432" t="s">
        <v>127</v>
      </c>
      <c r="B1432" s="1">
        <v>46027</v>
      </c>
      <c r="C1432">
        <v>72</v>
      </c>
      <c r="D1432" t="str">
        <f t="shared" si="66"/>
        <v/>
      </c>
      <c r="E1432">
        <f t="shared" si="67"/>
        <v>0</v>
      </c>
      <c r="F1432" t="str">
        <f t="shared" si="68"/>
        <v/>
      </c>
    </row>
    <row r="1433" spans="1:6" x14ac:dyDescent="0.25">
      <c r="A1433" t="s">
        <v>127</v>
      </c>
      <c r="B1433" s="1">
        <v>46034</v>
      </c>
      <c r="C1433">
        <v>57</v>
      </c>
      <c r="D1433" t="str">
        <f t="shared" si="66"/>
        <v/>
      </c>
      <c r="E1433">
        <f t="shared" si="67"/>
        <v>1</v>
      </c>
      <c r="F1433" t="str">
        <f t="shared" si="68"/>
        <v/>
      </c>
    </row>
    <row r="1434" spans="1:6" x14ac:dyDescent="0.25">
      <c r="A1434" t="s">
        <v>127</v>
      </c>
      <c r="B1434" s="1">
        <v>46041</v>
      </c>
      <c r="C1434">
        <v>64</v>
      </c>
      <c r="D1434" t="str">
        <f t="shared" si="66"/>
        <v/>
      </c>
      <c r="E1434">
        <f t="shared" si="67"/>
        <v>2</v>
      </c>
      <c r="F1434" t="str">
        <f t="shared" si="68"/>
        <v/>
      </c>
    </row>
    <row r="1435" spans="1:6" x14ac:dyDescent="0.25">
      <c r="A1435" t="s">
        <v>127</v>
      </c>
      <c r="B1435" s="1">
        <v>46048</v>
      </c>
      <c r="C1435">
        <v>67</v>
      </c>
      <c r="D1435" t="str">
        <f t="shared" si="66"/>
        <v/>
      </c>
      <c r="E1435">
        <f t="shared" si="67"/>
        <v>3</v>
      </c>
      <c r="F1435" t="str">
        <f t="shared" si="68"/>
        <v/>
      </c>
    </row>
    <row r="1436" spans="1:6" x14ac:dyDescent="0.25">
      <c r="A1436" t="s">
        <v>127</v>
      </c>
      <c r="B1436" s="1">
        <v>46055</v>
      </c>
      <c r="C1436">
        <v>74</v>
      </c>
      <c r="D1436" t="str">
        <f t="shared" si="66"/>
        <v/>
      </c>
      <c r="E1436">
        <f t="shared" si="67"/>
        <v>4</v>
      </c>
      <c r="F1436" t="str">
        <f t="shared" si="68"/>
        <v/>
      </c>
    </row>
    <row r="1437" spans="1:6" x14ac:dyDescent="0.25">
      <c r="A1437" t="s">
        <v>127</v>
      </c>
      <c r="B1437" s="1">
        <v>46062</v>
      </c>
      <c r="C1437">
        <v>73</v>
      </c>
      <c r="D1437">
        <f t="shared" si="66"/>
        <v>66.8</v>
      </c>
      <c r="E1437">
        <f t="shared" si="67"/>
        <v>5</v>
      </c>
      <c r="F1437">
        <f t="shared" si="68"/>
        <v>8.4931506849315108E-2</v>
      </c>
    </row>
    <row r="1438" spans="1:6" x14ac:dyDescent="0.25">
      <c r="A1438" t="s">
        <v>127</v>
      </c>
      <c r="B1438" s="1">
        <v>46069</v>
      </c>
      <c r="C1438">
        <v>89</v>
      </c>
      <c r="D1438">
        <f t="shared" si="66"/>
        <v>67</v>
      </c>
      <c r="E1438">
        <f t="shared" si="67"/>
        <v>5</v>
      </c>
      <c r="F1438">
        <f t="shared" si="68"/>
        <v>0.24719101123595505</v>
      </c>
    </row>
    <row r="1439" spans="1:6" x14ac:dyDescent="0.25">
      <c r="A1439" t="s">
        <v>127</v>
      </c>
      <c r="B1439" s="1">
        <v>46076</v>
      </c>
      <c r="C1439">
        <v>56</v>
      </c>
      <c r="D1439">
        <f t="shared" si="66"/>
        <v>73.400000000000006</v>
      </c>
      <c r="E1439">
        <f t="shared" si="67"/>
        <v>5</v>
      </c>
      <c r="F1439">
        <f t="shared" si="68"/>
        <v>0.31071428571428583</v>
      </c>
    </row>
    <row r="1440" spans="1:6" x14ac:dyDescent="0.25">
      <c r="A1440" t="s">
        <v>127</v>
      </c>
      <c r="B1440" s="1">
        <v>46083</v>
      </c>
      <c r="C1440">
        <v>67</v>
      </c>
      <c r="D1440">
        <f t="shared" si="66"/>
        <v>71.8</v>
      </c>
      <c r="E1440">
        <f t="shared" si="67"/>
        <v>5</v>
      </c>
      <c r="F1440">
        <f t="shared" si="68"/>
        <v>7.1641791044776082E-2</v>
      </c>
    </row>
    <row r="1441" spans="1:6" x14ac:dyDescent="0.25">
      <c r="A1441" t="s">
        <v>127</v>
      </c>
      <c r="B1441" s="1">
        <v>46090</v>
      </c>
      <c r="C1441">
        <v>71</v>
      </c>
      <c r="D1441">
        <f t="shared" si="66"/>
        <v>71.8</v>
      </c>
      <c r="E1441">
        <f t="shared" si="67"/>
        <v>5</v>
      </c>
      <c r="F1441">
        <f t="shared" si="68"/>
        <v>1.1267605633802778E-2</v>
      </c>
    </row>
    <row r="1442" spans="1:6" x14ac:dyDescent="0.25">
      <c r="A1442" t="s">
        <v>127</v>
      </c>
      <c r="B1442" s="1">
        <v>46097</v>
      </c>
      <c r="C1442">
        <v>72</v>
      </c>
      <c r="D1442">
        <f t="shared" si="66"/>
        <v>71.2</v>
      </c>
      <c r="E1442">
        <f t="shared" si="67"/>
        <v>5</v>
      </c>
      <c r="F1442">
        <f t="shared" si="68"/>
        <v>1.1111111111111072E-2</v>
      </c>
    </row>
    <row r="1443" spans="1:6" x14ac:dyDescent="0.25">
      <c r="A1443" t="s">
        <v>127</v>
      </c>
      <c r="B1443" s="1">
        <v>46104</v>
      </c>
      <c r="C1443">
        <v>77</v>
      </c>
      <c r="D1443">
        <f t="shared" si="66"/>
        <v>71</v>
      </c>
      <c r="E1443">
        <f t="shared" si="67"/>
        <v>5</v>
      </c>
      <c r="F1443">
        <f t="shared" si="68"/>
        <v>7.792207792207792E-2</v>
      </c>
    </row>
    <row r="1444" spans="1:6" x14ac:dyDescent="0.25">
      <c r="A1444" t="s">
        <v>127</v>
      </c>
      <c r="B1444" s="1">
        <v>46111</v>
      </c>
      <c r="C1444">
        <v>70</v>
      </c>
      <c r="D1444">
        <f t="shared" si="66"/>
        <v>68.599999999999994</v>
      </c>
      <c r="E1444">
        <f t="shared" si="67"/>
        <v>5</v>
      </c>
      <c r="F1444">
        <f t="shared" si="68"/>
        <v>2.000000000000008E-2</v>
      </c>
    </row>
    <row r="1445" spans="1:6" x14ac:dyDescent="0.25">
      <c r="A1445" t="s">
        <v>127</v>
      </c>
      <c r="B1445" s="1">
        <v>46118</v>
      </c>
      <c r="C1445">
        <v>53</v>
      </c>
      <c r="D1445">
        <f t="shared" si="66"/>
        <v>71.400000000000006</v>
      </c>
      <c r="E1445">
        <f t="shared" si="67"/>
        <v>5</v>
      </c>
      <c r="F1445">
        <f t="shared" si="68"/>
        <v>0.34716981132075481</v>
      </c>
    </row>
    <row r="1446" spans="1:6" x14ac:dyDescent="0.25">
      <c r="A1446" t="s">
        <v>127</v>
      </c>
      <c r="B1446" s="1">
        <v>46125</v>
      </c>
      <c r="C1446">
        <v>67</v>
      </c>
      <c r="D1446">
        <f t="shared" si="66"/>
        <v>68.599999999999994</v>
      </c>
      <c r="E1446">
        <f t="shared" si="67"/>
        <v>5</v>
      </c>
      <c r="F1446">
        <f t="shared" si="68"/>
        <v>2.3880597014925287E-2</v>
      </c>
    </row>
    <row r="1447" spans="1:6" x14ac:dyDescent="0.25">
      <c r="A1447" t="s">
        <v>127</v>
      </c>
      <c r="B1447" s="1">
        <v>46132</v>
      </c>
      <c r="C1447">
        <v>69</v>
      </c>
      <c r="D1447">
        <f t="shared" si="66"/>
        <v>67.8</v>
      </c>
      <c r="E1447">
        <f t="shared" si="67"/>
        <v>5</v>
      </c>
      <c r="F1447">
        <f t="shared" si="68"/>
        <v>1.7391304347826129E-2</v>
      </c>
    </row>
    <row r="1448" spans="1:6" x14ac:dyDescent="0.25">
      <c r="A1448" t="s">
        <v>127</v>
      </c>
      <c r="B1448" s="1">
        <v>46139</v>
      </c>
      <c r="C1448">
        <v>78</v>
      </c>
      <c r="D1448">
        <f t="shared" si="66"/>
        <v>67.2</v>
      </c>
      <c r="E1448">
        <f t="shared" si="67"/>
        <v>5</v>
      </c>
      <c r="F1448">
        <f t="shared" si="68"/>
        <v>0.13846153846153841</v>
      </c>
    </row>
    <row r="1449" spans="1:6" x14ac:dyDescent="0.25">
      <c r="A1449" t="s">
        <v>127</v>
      </c>
      <c r="B1449" s="1">
        <v>46146</v>
      </c>
      <c r="C1449">
        <v>80</v>
      </c>
      <c r="D1449">
        <f t="shared" si="66"/>
        <v>67.400000000000006</v>
      </c>
      <c r="E1449">
        <f t="shared" si="67"/>
        <v>5</v>
      </c>
      <c r="F1449">
        <f t="shared" si="68"/>
        <v>0.15749999999999992</v>
      </c>
    </row>
    <row r="1450" spans="1:6" x14ac:dyDescent="0.25">
      <c r="A1450" t="s">
        <v>127</v>
      </c>
      <c r="B1450" s="1">
        <v>46153</v>
      </c>
      <c r="C1450">
        <v>83</v>
      </c>
      <c r="D1450">
        <f t="shared" si="66"/>
        <v>69.400000000000006</v>
      </c>
      <c r="E1450">
        <f t="shared" si="67"/>
        <v>5</v>
      </c>
      <c r="F1450">
        <f t="shared" si="68"/>
        <v>0.16385542168674691</v>
      </c>
    </row>
    <row r="1451" spans="1:6" x14ac:dyDescent="0.25">
      <c r="A1451" t="s">
        <v>127</v>
      </c>
      <c r="B1451" s="1">
        <v>46160</v>
      </c>
      <c r="C1451">
        <v>84</v>
      </c>
      <c r="D1451">
        <f t="shared" si="66"/>
        <v>75.400000000000006</v>
      </c>
      <c r="E1451">
        <f t="shared" si="67"/>
        <v>5</v>
      </c>
      <c r="F1451">
        <f t="shared" si="68"/>
        <v>0.10238095238095231</v>
      </c>
    </row>
    <row r="1452" spans="1:6" x14ac:dyDescent="0.25">
      <c r="A1452" t="s">
        <v>127</v>
      </c>
      <c r="B1452" s="1">
        <v>46167</v>
      </c>
      <c r="C1452">
        <v>65</v>
      </c>
      <c r="D1452">
        <f t="shared" si="66"/>
        <v>78.8</v>
      </c>
      <c r="E1452">
        <f t="shared" si="67"/>
        <v>5</v>
      </c>
      <c r="F1452">
        <f t="shared" si="68"/>
        <v>0.21230769230769225</v>
      </c>
    </row>
    <row r="1453" spans="1:6" x14ac:dyDescent="0.25">
      <c r="A1453" t="s">
        <v>127</v>
      </c>
      <c r="B1453" s="1">
        <v>46174</v>
      </c>
      <c r="C1453">
        <v>89</v>
      </c>
      <c r="D1453">
        <f t="shared" si="66"/>
        <v>78</v>
      </c>
      <c r="E1453">
        <f t="shared" si="67"/>
        <v>5</v>
      </c>
      <c r="F1453">
        <f t="shared" si="68"/>
        <v>0.12359550561797752</v>
      </c>
    </row>
    <row r="1454" spans="1:6" x14ac:dyDescent="0.25">
      <c r="A1454" t="s">
        <v>127</v>
      </c>
      <c r="B1454" s="1">
        <v>46181</v>
      </c>
      <c r="C1454">
        <v>84</v>
      </c>
      <c r="D1454">
        <f t="shared" si="66"/>
        <v>80.2</v>
      </c>
      <c r="E1454">
        <f t="shared" si="67"/>
        <v>5</v>
      </c>
      <c r="F1454">
        <f t="shared" si="68"/>
        <v>4.5238095238095202E-2</v>
      </c>
    </row>
    <row r="1455" spans="1:6" x14ac:dyDescent="0.25">
      <c r="A1455" t="s">
        <v>127</v>
      </c>
      <c r="B1455" s="1">
        <v>46188</v>
      </c>
      <c r="C1455">
        <v>76</v>
      </c>
      <c r="D1455">
        <f t="shared" si="66"/>
        <v>81</v>
      </c>
      <c r="E1455">
        <f t="shared" si="67"/>
        <v>5</v>
      </c>
      <c r="F1455">
        <f t="shared" si="68"/>
        <v>6.5789473684210523E-2</v>
      </c>
    </row>
    <row r="1456" spans="1:6" x14ac:dyDescent="0.25">
      <c r="A1456" t="s">
        <v>127</v>
      </c>
      <c r="B1456" s="1">
        <v>46195</v>
      </c>
      <c r="C1456">
        <v>83</v>
      </c>
      <c r="D1456">
        <f t="shared" si="66"/>
        <v>79.599999999999994</v>
      </c>
      <c r="E1456">
        <f t="shared" si="67"/>
        <v>5</v>
      </c>
      <c r="F1456">
        <f t="shared" si="68"/>
        <v>4.0963855421686818E-2</v>
      </c>
    </row>
    <row r="1457" spans="1:6" x14ac:dyDescent="0.25">
      <c r="A1457" t="s">
        <v>127</v>
      </c>
      <c r="B1457" s="1">
        <v>46202</v>
      </c>
      <c r="C1457">
        <v>89</v>
      </c>
      <c r="D1457">
        <f t="shared" si="66"/>
        <v>79.400000000000006</v>
      </c>
      <c r="E1457">
        <f t="shared" si="67"/>
        <v>5</v>
      </c>
      <c r="F1457">
        <f t="shared" si="68"/>
        <v>0.10786516853932578</v>
      </c>
    </row>
    <row r="1458" spans="1:6" x14ac:dyDescent="0.25">
      <c r="A1458" t="s">
        <v>129</v>
      </c>
      <c r="B1458" s="1">
        <v>46027</v>
      </c>
      <c r="C1458">
        <v>23</v>
      </c>
      <c r="D1458" t="str">
        <f t="shared" si="66"/>
        <v/>
      </c>
      <c r="E1458">
        <f t="shared" si="67"/>
        <v>0</v>
      </c>
      <c r="F1458" t="str">
        <f t="shared" si="68"/>
        <v/>
      </c>
    </row>
    <row r="1459" spans="1:6" x14ac:dyDescent="0.25">
      <c r="A1459" t="s">
        <v>129</v>
      </c>
      <c r="B1459" s="1">
        <v>46034</v>
      </c>
      <c r="C1459">
        <v>14</v>
      </c>
      <c r="D1459" t="str">
        <f t="shared" si="66"/>
        <v/>
      </c>
      <c r="E1459">
        <f t="shared" si="67"/>
        <v>1</v>
      </c>
      <c r="F1459" t="str">
        <f t="shared" si="68"/>
        <v/>
      </c>
    </row>
    <row r="1460" spans="1:6" x14ac:dyDescent="0.25">
      <c r="A1460" t="s">
        <v>129</v>
      </c>
      <c r="B1460" s="1">
        <v>46041</v>
      </c>
      <c r="C1460">
        <v>17</v>
      </c>
      <c r="D1460" t="str">
        <f t="shared" si="66"/>
        <v/>
      </c>
      <c r="E1460">
        <f t="shared" si="67"/>
        <v>2</v>
      </c>
      <c r="F1460" t="str">
        <f t="shared" si="68"/>
        <v/>
      </c>
    </row>
    <row r="1461" spans="1:6" x14ac:dyDescent="0.25">
      <c r="A1461" t="s">
        <v>129</v>
      </c>
      <c r="B1461" s="1">
        <v>46048</v>
      </c>
      <c r="C1461">
        <v>21</v>
      </c>
      <c r="D1461" t="str">
        <f t="shared" si="66"/>
        <v/>
      </c>
      <c r="E1461">
        <f t="shared" si="67"/>
        <v>3</v>
      </c>
      <c r="F1461" t="str">
        <f t="shared" si="68"/>
        <v/>
      </c>
    </row>
    <row r="1462" spans="1:6" x14ac:dyDescent="0.25">
      <c r="A1462" t="s">
        <v>129</v>
      </c>
      <c r="B1462" s="1">
        <v>46055</v>
      </c>
      <c r="C1462">
        <v>18</v>
      </c>
      <c r="D1462" t="str">
        <f t="shared" si="66"/>
        <v/>
      </c>
      <c r="E1462">
        <f t="shared" si="67"/>
        <v>4</v>
      </c>
      <c r="F1462" t="str">
        <f t="shared" si="68"/>
        <v/>
      </c>
    </row>
    <row r="1463" spans="1:6" x14ac:dyDescent="0.25">
      <c r="A1463" t="s">
        <v>129</v>
      </c>
      <c r="B1463" s="1">
        <v>46062</v>
      </c>
      <c r="C1463">
        <v>17</v>
      </c>
      <c r="D1463">
        <f t="shared" si="66"/>
        <v>18.600000000000001</v>
      </c>
      <c r="E1463">
        <f t="shared" si="67"/>
        <v>5</v>
      </c>
      <c r="F1463">
        <f t="shared" si="68"/>
        <v>9.4117647058823611E-2</v>
      </c>
    </row>
    <row r="1464" spans="1:6" x14ac:dyDescent="0.25">
      <c r="A1464" t="s">
        <v>129</v>
      </c>
      <c r="B1464" s="1">
        <v>46069</v>
      </c>
      <c r="C1464">
        <v>18</v>
      </c>
      <c r="D1464">
        <f t="shared" si="66"/>
        <v>17.399999999999999</v>
      </c>
      <c r="E1464">
        <f t="shared" si="67"/>
        <v>5</v>
      </c>
      <c r="F1464">
        <f t="shared" si="68"/>
        <v>3.3333333333333409E-2</v>
      </c>
    </row>
    <row r="1465" spans="1:6" x14ac:dyDescent="0.25">
      <c r="A1465" t="s">
        <v>129</v>
      </c>
      <c r="B1465" s="1">
        <v>46076</v>
      </c>
      <c r="C1465">
        <v>22</v>
      </c>
      <c r="D1465">
        <f t="shared" si="66"/>
        <v>18.2</v>
      </c>
      <c r="E1465">
        <f t="shared" si="67"/>
        <v>5</v>
      </c>
      <c r="F1465">
        <f t="shared" si="68"/>
        <v>0.17272727272727276</v>
      </c>
    </row>
    <row r="1466" spans="1:6" x14ac:dyDescent="0.25">
      <c r="A1466" t="s">
        <v>129</v>
      </c>
      <c r="B1466" s="1">
        <v>46083</v>
      </c>
      <c r="C1466">
        <v>16</v>
      </c>
      <c r="D1466">
        <f t="shared" si="66"/>
        <v>19.2</v>
      </c>
      <c r="E1466">
        <f t="shared" si="67"/>
        <v>5</v>
      </c>
      <c r="F1466">
        <f t="shared" si="68"/>
        <v>0.19999999999999996</v>
      </c>
    </row>
    <row r="1467" spans="1:6" x14ac:dyDescent="0.25">
      <c r="A1467" t="s">
        <v>129</v>
      </c>
      <c r="B1467" s="1">
        <v>46090</v>
      </c>
      <c r="C1467">
        <v>23</v>
      </c>
      <c r="D1467">
        <f t="shared" si="66"/>
        <v>18.2</v>
      </c>
      <c r="E1467">
        <f t="shared" si="67"/>
        <v>5</v>
      </c>
      <c r="F1467">
        <f t="shared" si="68"/>
        <v>0.20869565217391309</v>
      </c>
    </row>
    <row r="1468" spans="1:6" x14ac:dyDescent="0.25">
      <c r="A1468" t="s">
        <v>129</v>
      </c>
      <c r="B1468" s="1">
        <v>46097</v>
      </c>
      <c r="C1468">
        <v>25</v>
      </c>
      <c r="D1468">
        <f t="shared" si="66"/>
        <v>19.2</v>
      </c>
      <c r="E1468">
        <f t="shared" si="67"/>
        <v>5</v>
      </c>
      <c r="F1468">
        <f t="shared" si="68"/>
        <v>0.23200000000000004</v>
      </c>
    </row>
    <row r="1469" spans="1:6" x14ac:dyDescent="0.25">
      <c r="A1469" t="s">
        <v>129</v>
      </c>
      <c r="B1469" s="1">
        <v>46104</v>
      </c>
      <c r="C1469">
        <v>15</v>
      </c>
      <c r="D1469">
        <f t="shared" si="66"/>
        <v>20.8</v>
      </c>
      <c r="E1469">
        <f t="shared" si="67"/>
        <v>5</v>
      </c>
      <c r="F1469">
        <f t="shared" si="68"/>
        <v>0.38666666666666671</v>
      </c>
    </row>
    <row r="1470" spans="1:6" x14ac:dyDescent="0.25">
      <c r="A1470" t="s">
        <v>129</v>
      </c>
      <c r="B1470" s="1">
        <v>46111</v>
      </c>
      <c r="C1470">
        <v>24</v>
      </c>
      <c r="D1470">
        <f t="shared" si="66"/>
        <v>20.2</v>
      </c>
      <c r="E1470">
        <f t="shared" si="67"/>
        <v>5</v>
      </c>
      <c r="F1470">
        <f t="shared" si="68"/>
        <v>0.15833333333333335</v>
      </c>
    </row>
    <row r="1471" spans="1:6" x14ac:dyDescent="0.25">
      <c r="A1471" t="s">
        <v>129</v>
      </c>
      <c r="B1471" s="1">
        <v>46118</v>
      </c>
      <c r="C1471">
        <v>25</v>
      </c>
      <c r="D1471">
        <f t="shared" si="66"/>
        <v>20.6</v>
      </c>
      <c r="E1471">
        <f t="shared" si="67"/>
        <v>5</v>
      </c>
      <c r="F1471">
        <f t="shared" si="68"/>
        <v>0.17599999999999993</v>
      </c>
    </row>
    <row r="1472" spans="1:6" x14ac:dyDescent="0.25">
      <c r="A1472" t="s">
        <v>129</v>
      </c>
      <c r="B1472" s="1">
        <v>46125</v>
      </c>
      <c r="C1472">
        <v>18</v>
      </c>
      <c r="D1472">
        <f t="shared" si="66"/>
        <v>22.4</v>
      </c>
      <c r="E1472">
        <f t="shared" si="67"/>
        <v>5</v>
      </c>
      <c r="F1472">
        <f t="shared" si="68"/>
        <v>0.24444444444444435</v>
      </c>
    </row>
    <row r="1473" spans="1:6" x14ac:dyDescent="0.25">
      <c r="A1473" t="s">
        <v>129</v>
      </c>
      <c r="B1473" s="1">
        <v>46132</v>
      </c>
      <c r="C1473">
        <v>24</v>
      </c>
      <c r="D1473">
        <f t="shared" si="66"/>
        <v>21.4</v>
      </c>
      <c r="E1473">
        <f t="shared" si="67"/>
        <v>5</v>
      </c>
      <c r="F1473">
        <f t="shared" si="68"/>
        <v>0.10833333333333339</v>
      </c>
    </row>
    <row r="1474" spans="1:6" x14ac:dyDescent="0.25">
      <c r="A1474" t="s">
        <v>129</v>
      </c>
      <c r="B1474" s="1">
        <v>46139</v>
      </c>
      <c r="C1474">
        <v>22</v>
      </c>
      <c r="D1474">
        <f t="shared" ref="D1474:D1537" si="69">IF(E1474 &lt; 5, "", AVERAGEIFS(C:C, A:A, A1474, B:B, "&gt;=" &amp; (B1474-35), B:B, "&lt;=" &amp; (B1474-7)))</f>
        <v>21.2</v>
      </c>
      <c r="E1474">
        <f t="shared" ref="E1474:E1537" si="70">COUNTIFS(A:A, A1474, B:B, "&gt;=" &amp; (B1474-35), B:B, "&lt;=" &amp; (B1474-7))</f>
        <v>5</v>
      </c>
      <c r="F1474">
        <f t="shared" ref="F1474:F1537" si="71">IF(OR(C1474=0, D1474=""), "", ABS(C1474 - D1474) / C1474)</f>
        <v>3.6363636363636397E-2</v>
      </c>
    </row>
    <row r="1475" spans="1:6" x14ac:dyDescent="0.25">
      <c r="A1475" t="s">
        <v>129</v>
      </c>
      <c r="B1475" s="1">
        <v>46146</v>
      </c>
      <c r="C1475">
        <v>25</v>
      </c>
      <c r="D1475">
        <f t="shared" si="69"/>
        <v>22.6</v>
      </c>
      <c r="E1475">
        <f t="shared" si="70"/>
        <v>5</v>
      </c>
      <c r="F1475">
        <f t="shared" si="71"/>
        <v>9.5999999999999946E-2</v>
      </c>
    </row>
    <row r="1476" spans="1:6" x14ac:dyDescent="0.25">
      <c r="A1476" t="s">
        <v>129</v>
      </c>
      <c r="B1476" s="1">
        <v>46153</v>
      </c>
      <c r="C1476">
        <v>26</v>
      </c>
      <c r="D1476">
        <f t="shared" si="69"/>
        <v>22.8</v>
      </c>
      <c r="E1476">
        <f t="shared" si="70"/>
        <v>5</v>
      </c>
      <c r="F1476">
        <f t="shared" si="71"/>
        <v>0.12307692307692306</v>
      </c>
    </row>
    <row r="1477" spans="1:6" x14ac:dyDescent="0.25">
      <c r="A1477" t="s">
        <v>129</v>
      </c>
      <c r="B1477" s="1">
        <v>46160</v>
      </c>
      <c r="C1477">
        <v>25</v>
      </c>
      <c r="D1477">
        <f t="shared" si="69"/>
        <v>23</v>
      </c>
      <c r="E1477">
        <f t="shared" si="70"/>
        <v>5</v>
      </c>
      <c r="F1477">
        <f t="shared" si="71"/>
        <v>0.08</v>
      </c>
    </row>
    <row r="1478" spans="1:6" x14ac:dyDescent="0.25">
      <c r="A1478" t="s">
        <v>129</v>
      </c>
      <c r="B1478" s="1">
        <v>46167</v>
      </c>
      <c r="C1478">
        <v>15</v>
      </c>
      <c r="D1478">
        <f t="shared" si="69"/>
        <v>24.4</v>
      </c>
      <c r="E1478">
        <f t="shared" si="70"/>
        <v>5</v>
      </c>
      <c r="F1478">
        <f t="shared" si="71"/>
        <v>0.62666666666666659</v>
      </c>
    </row>
    <row r="1479" spans="1:6" x14ac:dyDescent="0.25">
      <c r="A1479" t="s">
        <v>129</v>
      </c>
      <c r="B1479" s="1">
        <v>46174</v>
      </c>
      <c r="C1479">
        <v>27</v>
      </c>
      <c r="D1479">
        <f t="shared" si="69"/>
        <v>22.6</v>
      </c>
      <c r="E1479">
        <f t="shared" si="70"/>
        <v>5</v>
      </c>
      <c r="F1479">
        <f t="shared" si="71"/>
        <v>0.16296296296296292</v>
      </c>
    </row>
    <row r="1480" spans="1:6" x14ac:dyDescent="0.25">
      <c r="A1480" t="s">
        <v>129</v>
      </c>
      <c r="B1480" s="1">
        <v>46181</v>
      </c>
      <c r="C1480">
        <v>30</v>
      </c>
      <c r="D1480">
        <f t="shared" si="69"/>
        <v>23.6</v>
      </c>
      <c r="E1480">
        <f t="shared" si="70"/>
        <v>5</v>
      </c>
      <c r="F1480">
        <f t="shared" si="71"/>
        <v>0.21333333333333329</v>
      </c>
    </row>
    <row r="1481" spans="1:6" x14ac:dyDescent="0.25">
      <c r="A1481" t="s">
        <v>129</v>
      </c>
      <c r="B1481" s="1">
        <v>46188</v>
      </c>
      <c r="C1481">
        <v>21</v>
      </c>
      <c r="D1481">
        <f t="shared" si="69"/>
        <v>24.6</v>
      </c>
      <c r="E1481">
        <f t="shared" si="70"/>
        <v>5</v>
      </c>
      <c r="F1481">
        <f t="shared" si="71"/>
        <v>0.17142857142857149</v>
      </c>
    </row>
    <row r="1482" spans="1:6" x14ac:dyDescent="0.25">
      <c r="A1482" t="s">
        <v>129</v>
      </c>
      <c r="B1482" s="1">
        <v>46195</v>
      </c>
      <c r="C1482">
        <v>34</v>
      </c>
      <c r="D1482">
        <f t="shared" si="69"/>
        <v>23.6</v>
      </c>
      <c r="E1482">
        <f t="shared" si="70"/>
        <v>5</v>
      </c>
      <c r="F1482">
        <f t="shared" si="71"/>
        <v>0.30588235294117644</v>
      </c>
    </row>
    <row r="1483" spans="1:6" x14ac:dyDescent="0.25">
      <c r="A1483" t="s">
        <v>129</v>
      </c>
      <c r="B1483" s="1">
        <v>46202</v>
      </c>
      <c r="C1483">
        <v>24</v>
      </c>
      <c r="D1483">
        <f t="shared" si="69"/>
        <v>25.4</v>
      </c>
      <c r="E1483">
        <f t="shared" si="70"/>
        <v>5</v>
      </c>
      <c r="F1483">
        <f t="shared" si="71"/>
        <v>5.8333333333333272E-2</v>
      </c>
    </row>
    <row r="1484" spans="1:6" x14ac:dyDescent="0.25">
      <c r="A1484" t="s">
        <v>131</v>
      </c>
      <c r="B1484" s="1">
        <v>46027</v>
      </c>
      <c r="C1484">
        <v>99</v>
      </c>
      <c r="D1484" t="str">
        <f t="shared" si="69"/>
        <v/>
      </c>
      <c r="E1484">
        <f t="shared" si="70"/>
        <v>0</v>
      </c>
      <c r="F1484" t="str">
        <f t="shared" si="71"/>
        <v/>
      </c>
    </row>
    <row r="1485" spans="1:6" x14ac:dyDescent="0.25">
      <c r="A1485" t="s">
        <v>131</v>
      </c>
      <c r="B1485" s="1">
        <v>46034</v>
      </c>
      <c r="C1485">
        <v>83</v>
      </c>
      <c r="D1485" t="str">
        <f t="shared" si="69"/>
        <v/>
      </c>
      <c r="E1485">
        <f t="shared" si="70"/>
        <v>1</v>
      </c>
      <c r="F1485" t="str">
        <f t="shared" si="71"/>
        <v/>
      </c>
    </row>
    <row r="1486" spans="1:6" x14ac:dyDescent="0.25">
      <c r="A1486" t="s">
        <v>131</v>
      </c>
      <c r="B1486" s="1">
        <v>46041</v>
      </c>
      <c r="C1486">
        <v>90</v>
      </c>
      <c r="D1486" t="str">
        <f t="shared" si="69"/>
        <v/>
      </c>
      <c r="E1486">
        <f t="shared" si="70"/>
        <v>2</v>
      </c>
      <c r="F1486" t="str">
        <f t="shared" si="71"/>
        <v/>
      </c>
    </row>
    <row r="1487" spans="1:6" x14ac:dyDescent="0.25">
      <c r="A1487" t="s">
        <v>131</v>
      </c>
      <c r="B1487" s="1">
        <v>46048</v>
      </c>
      <c r="C1487">
        <v>109</v>
      </c>
      <c r="D1487" t="str">
        <f t="shared" si="69"/>
        <v/>
      </c>
      <c r="E1487">
        <f t="shared" si="70"/>
        <v>3</v>
      </c>
      <c r="F1487" t="str">
        <f t="shared" si="71"/>
        <v/>
      </c>
    </row>
    <row r="1488" spans="1:6" x14ac:dyDescent="0.25">
      <c r="A1488" t="s">
        <v>131</v>
      </c>
      <c r="B1488" s="1">
        <v>46055</v>
      </c>
      <c r="C1488">
        <v>91</v>
      </c>
      <c r="D1488" t="str">
        <f t="shared" si="69"/>
        <v/>
      </c>
      <c r="E1488">
        <f t="shared" si="70"/>
        <v>4</v>
      </c>
      <c r="F1488" t="str">
        <f t="shared" si="71"/>
        <v/>
      </c>
    </row>
    <row r="1489" spans="1:6" x14ac:dyDescent="0.25">
      <c r="A1489" t="s">
        <v>131</v>
      </c>
      <c r="B1489" s="1">
        <v>46062</v>
      </c>
      <c r="C1489">
        <v>97</v>
      </c>
      <c r="D1489">
        <f t="shared" si="69"/>
        <v>94.4</v>
      </c>
      <c r="E1489">
        <f t="shared" si="70"/>
        <v>5</v>
      </c>
      <c r="F1489">
        <f t="shared" si="71"/>
        <v>2.6804123711340149E-2</v>
      </c>
    </row>
    <row r="1490" spans="1:6" x14ac:dyDescent="0.25">
      <c r="A1490" t="s">
        <v>131</v>
      </c>
      <c r="B1490" s="1">
        <v>46069</v>
      </c>
      <c r="C1490">
        <v>93</v>
      </c>
      <c r="D1490">
        <f t="shared" si="69"/>
        <v>94</v>
      </c>
      <c r="E1490">
        <f t="shared" si="70"/>
        <v>5</v>
      </c>
      <c r="F1490">
        <f t="shared" si="71"/>
        <v>1.0752688172043012E-2</v>
      </c>
    </row>
    <row r="1491" spans="1:6" x14ac:dyDescent="0.25">
      <c r="A1491" t="s">
        <v>131</v>
      </c>
      <c r="B1491" s="1">
        <v>46076</v>
      </c>
      <c r="C1491">
        <v>112</v>
      </c>
      <c r="D1491">
        <f t="shared" si="69"/>
        <v>96</v>
      </c>
      <c r="E1491">
        <f t="shared" si="70"/>
        <v>5</v>
      </c>
      <c r="F1491">
        <f t="shared" si="71"/>
        <v>0.14285714285714285</v>
      </c>
    </row>
    <row r="1492" spans="1:6" x14ac:dyDescent="0.25">
      <c r="A1492" t="s">
        <v>131</v>
      </c>
      <c r="B1492" s="1">
        <v>46083</v>
      </c>
      <c r="C1492">
        <v>115</v>
      </c>
      <c r="D1492">
        <f t="shared" si="69"/>
        <v>100.4</v>
      </c>
      <c r="E1492">
        <f t="shared" si="70"/>
        <v>5</v>
      </c>
      <c r="F1492">
        <f t="shared" si="71"/>
        <v>0.12695652173913038</v>
      </c>
    </row>
    <row r="1493" spans="1:6" x14ac:dyDescent="0.25">
      <c r="A1493" t="s">
        <v>131</v>
      </c>
      <c r="B1493" s="1">
        <v>46090</v>
      </c>
      <c r="C1493">
        <v>118</v>
      </c>
      <c r="D1493">
        <f t="shared" si="69"/>
        <v>101.6</v>
      </c>
      <c r="E1493">
        <f t="shared" si="70"/>
        <v>5</v>
      </c>
      <c r="F1493">
        <f t="shared" si="71"/>
        <v>0.13898305084745768</v>
      </c>
    </row>
    <row r="1494" spans="1:6" x14ac:dyDescent="0.25">
      <c r="A1494" t="s">
        <v>131</v>
      </c>
      <c r="B1494" s="1">
        <v>46097</v>
      </c>
      <c r="C1494">
        <v>95</v>
      </c>
      <c r="D1494">
        <f t="shared" si="69"/>
        <v>107</v>
      </c>
      <c r="E1494">
        <f t="shared" si="70"/>
        <v>5</v>
      </c>
      <c r="F1494">
        <f t="shared" si="71"/>
        <v>0.12631578947368421</v>
      </c>
    </row>
    <row r="1495" spans="1:6" x14ac:dyDescent="0.25">
      <c r="A1495" t="s">
        <v>131</v>
      </c>
      <c r="B1495" s="1">
        <v>46104</v>
      </c>
      <c r="C1495">
        <v>106</v>
      </c>
      <c r="D1495">
        <f t="shared" si="69"/>
        <v>106.6</v>
      </c>
      <c r="E1495">
        <f t="shared" si="70"/>
        <v>5</v>
      </c>
      <c r="F1495">
        <f t="shared" si="71"/>
        <v>5.6603773584905127E-3</v>
      </c>
    </row>
    <row r="1496" spans="1:6" x14ac:dyDescent="0.25">
      <c r="A1496" t="s">
        <v>131</v>
      </c>
      <c r="B1496" s="1">
        <v>46111</v>
      </c>
      <c r="C1496">
        <v>113</v>
      </c>
      <c r="D1496">
        <f t="shared" si="69"/>
        <v>109.2</v>
      </c>
      <c r="E1496">
        <f t="shared" si="70"/>
        <v>5</v>
      </c>
      <c r="F1496">
        <f t="shared" si="71"/>
        <v>3.3628318584070768E-2</v>
      </c>
    </row>
    <row r="1497" spans="1:6" x14ac:dyDescent="0.25">
      <c r="A1497" t="s">
        <v>131</v>
      </c>
      <c r="B1497" s="1">
        <v>46118</v>
      </c>
      <c r="C1497">
        <v>106</v>
      </c>
      <c r="D1497">
        <f t="shared" si="69"/>
        <v>109.4</v>
      </c>
      <c r="E1497">
        <f t="shared" si="70"/>
        <v>5</v>
      </c>
      <c r="F1497">
        <f t="shared" si="71"/>
        <v>3.2075471698113263E-2</v>
      </c>
    </row>
    <row r="1498" spans="1:6" x14ac:dyDescent="0.25">
      <c r="A1498" t="s">
        <v>131</v>
      </c>
      <c r="B1498" s="1">
        <v>46125</v>
      </c>
      <c r="C1498">
        <v>111</v>
      </c>
      <c r="D1498">
        <f t="shared" si="69"/>
        <v>107.6</v>
      </c>
      <c r="E1498">
        <f t="shared" si="70"/>
        <v>5</v>
      </c>
      <c r="F1498">
        <f t="shared" si="71"/>
        <v>3.0630630630630682E-2</v>
      </c>
    </row>
    <row r="1499" spans="1:6" x14ac:dyDescent="0.25">
      <c r="A1499" t="s">
        <v>131</v>
      </c>
      <c r="B1499" s="1">
        <v>46132</v>
      </c>
      <c r="C1499">
        <v>100</v>
      </c>
      <c r="D1499">
        <f t="shared" si="69"/>
        <v>106.2</v>
      </c>
      <c r="E1499">
        <f t="shared" si="70"/>
        <v>5</v>
      </c>
      <c r="F1499">
        <f t="shared" si="71"/>
        <v>6.2000000000000027E-2</v>
      </c>
    </row>
    <row r="1500" spans="1:6" x14ac:dyDescent="0.25">
      <c r="A1500" t="s">
        <v>131</v>
      </c>
      <c r="B1500" s="1">
        <v>46139</v>
      </c>
      <c r="C1500">
        <v>121</v>
      </c>
      <c r="D1500">
        <f t="shared" si="69"/>
        <v>107.2</v>
      </c>
      <c r="E1500">
        <f t="shared" si="70"/>
        <v>5</v>
      </c>
      <c r="F1500">
        <f t="shared" si="71"/>
        <v>0.11404958677685947</v>
      </c>
    </row>
    <row r="1501" spans="1:6" x14ac:dyDescent="0.25">
      <c r="A1501" t="s">
        <v>131</v>
      </c>
      <c r="B1501" s="1">
        <v>46146</v>
      </c>
      <c r="C1501">
        <v>124</v>
      </c>
      <c r="D1501">
        <f t="shared" si="69"/>
        <v>110.2</v>
      </c>
      <c r="E1501">
        <f t="shared" si="70"/>
        <v>5</v>
      </c>
      <c r="F1501">
        <f t="shared" si="71"/>
        <v>0.11129032258064514</v>
      </c>
    </row>
    <row r="1502" spans="1:6" x14ac:dyDescent="0.25">
      <c r="A1502" t="s">
        <v>131</v>
      </c>
      <c r="B1502" s="1">
        <v>46153</v>
      </c>
      <c r="C1502">
        <v>98</v>
      </c>
      <c r="D1502">
        <f t="shared" si="69"/>
        <v>112.4</v>
      </c>
      <c r="E1502">
        <f t="shared" si="70"/>
        <v>5</v>
      </c>
      <c r="F1502">
        <f t="shared" si="71"/>
        <v>0.14693877551020415</v>
      </c>
    </row>
    <row r="1503" spans="1:6" x14ac:dyDescent="0.25">
      <c r="A1503" t="s">
        <v>131</v>
      </c>
      <c r="B1503" s="1">
        <v>46160</v>
      </c>
      <c r="C1503">
        <v>111</v>
      </c>
      <c r="D1503">
        <f t="shared" si="69"/>
        <v>110.8</v>
      </c>
      <c r="E1503">
        <f t="shared" si="70"/>
        <v>5</v>
      </c>
      <c r="F1503">
        <f t="shared" si="71"/>
        <v>1.8018018018018274E-3</v>
      </c>
    </row>
    <row r="1504" spans="1:6" x14ac:dyDescent="0.25">
      <c r="A1504" t="s">
        <v>131</v>
      </c>
      <c r="B1504" s="1">
        <v>46167</v>
      </c>
      <c r="C1504">
        <v>115</v>
      </c>
      <c r="D1504">
        <f t="shared" si="69"/>
        <v>110.8</v>
      </c>
      <c r="E1504">
        <f t="shared" si="70"/>
        <v>5</v>
      </c>
      <c r="F1504">
        <f t="shared" si="71"/>
        <v>3.6521739130434806E-2</v>
      </c>
    </row>
    <row r="1505" spans="1:6" x14ac:dyDescent="0.25">
      <c r="A1505" t="s">
        <v>131</v>
      </c>
      <c r="B1505" s="1">
        <v>46174</v>
      </c>
      <c r="C1505">
        <v>125</v>
      </c>
      <c r="D1505">
        <f t="shared" si="69"/>
        <v>113.8</v>
      </c>
      <c r="E1505">
        <f t="shared" si="70"/>
        <v>5</v>
      </c>
      <c r="F1505">
        <f t="shared" si="71"/>
        <v>8.9600000000000027E-2</v>
      </c>
    </row>
    <row r="1506" spans="1:6" x14ac:dyDescent="0.25">
      <c r="A1506" t="s">
        <v>131</v>
      </c>
      <c r="B1506" s="1">
        <v>46181</v>
      </c>
      <c r="C1506">
        <v>116</v>
      </c>
      <c r="D1506">
        <f t="shared" si="69"/>
        <v>114.6</v>
      </c>
      <c r="E1506">
        <f t="shared" si="70"/>
        <v>5</v>
      </c>
      <c r="F1506">
        <f t="shared" si="71"/>
        <v>1.2068965517241428E-2</v>
      </c>
    </row>
    <row r="1507" spans="1:6" x14ac:dyDescent="0.25">
      <c r="A1507" t="s">
        <v>131</v>
      </c>
      <c r="B1507" s="1">
        <v>46188</v>
      </c>
      <c r="C1507">
        <v>125</v>
      </c>
      <c r="D1507">
        <f t="shared" si="69"/>
        <v>113</v>
      </c>
      <c r="E1507">
        <f t="shared" si="70"/>
        <v>5</v>
      </c>
      <c r="F1507">
        <f t="shared" si="71"/>
        <v>9.6000000000000002E-2</v>
      </c>
    </row>
    <row r="1508" spans="1:6" x14ac:dyDescent="0.25">
      <c r="A1508" t="s">
        <v>131</v>
      </c>
      <c r="B1508" s="1">
        <v>46195</v>
      </c>
      <c r="C1508">
        <v>128</v>
      </c>
      <c r="D1508">
        <f t="shared" si="69"/>
        <v>118.4</v>
      </c>
      <c r="E1508">
        <f t="shared" si="70"/>
        <v>5</v>
      </c>
      <c r="F1508">
        <f t="shared" si="71"/>
        <v>7.4999999999999956E-2</v>
      </c>
    </row>
    <row r="1509" spans="1:6" x14ac:dyDescent="0.25">
      <c r="A1509" t="s">
        <v>131</v>
      </c>
      <c r="B1509" s="1">
        <v>46202</v>
      </c>
      <c r="C1509">
        <v>148</v>
      </c>
      <c r="D1509">
        <f t="shared" si="69"/>
        <v>121.8</v>
      </c>
      <c r="E1509">
        <f t="shared" si="70"/>
        <v>5</v>
      </c>
      <c r="F1509">
        <f t="shared" si="71"/>
        <v>0.17702702702702705</v>
      </c>
    </row>
    <row r="1510" spans="1:6" x14ac:dyDescent="0.25">
      <c r="A1510" t="s">
        <v>133</v>
      </c>
      <c r="B1510" s="1">
        <v>46027</v>
      </c>
      <c r="C1510">
        <v>49</v>
      </c>
      <c r="D1510" t="str">
        <f t="shared" si="69"/>
        <v/>
      </c>
      <c r="E1510">
        <f t="shared" si="70"/>
        <v>0</v>
      </c>
      <c r="F1510" t="str">
        <f t="shared" si="71"/>
        <v/>
      </c>
    </row>
    <row r="1511" spans="1:6" x14ac:dyDescent="0.25">
      <c r="A1511" t="s">
        <v>133</v>
      </c>
      <c r="B1511" s="1">
        <v>46034</v>
      </c>
      <c r="C1511">
        <v>48</v>
      </c>
      <c r="D1511" t="str">
        <f t="shared" si="69"/>
        <v/>
      </c>
      <c r="E1511">
        <f t="shared" si="70"/>
        <v>1</v>
      </c>
      <c r="F1511" t="str">
        <f t="shared" si="71"/>
        <v/>
      </c>
    </row>
    <row r="1512" spans="1:6" x14ac:dyDescent="0.25">
      <c r="A1512" t="s">
        <v>133</v>
      </c>
      <c r="B1512" s="1">
        <v>46041</v>
      </c>
      <c r="C1512">
        <v>41</v>
      </c>
      <c r="D1512" t="str">
        <f t="shared" si="69"/>
        <v/>
      </c>
      <c r="E1512">
        <f t="shared" si="70"/>
        <v>2</v>
      </c>
      <c r="F1512" t="str">
        <f t="shared" si="71"/>
        <v/>
      </c>
    </row>
    <row r="1513" spans="1:6" x14ac:dyDescent="0.25">
      <c r="A1513" t="s">
        <v>133</v>
      </c>
      <c r="B1513" s="1">
        <v>46048</v>
      </c>
      <c r="C1513">
        <v>44</v>
      </c>
      <c r="D1513" t="str">
        <f t="shared" si="69"/>
        <v/>
      </c>
      <c r="E1513">
        <f t="shared" si="70"/>
        <v>3</v>
      </c>
      <c r="F1513" t="str">
        <f t="shared" si="71"/>
        <v/>
      </c>
    </row>
    <row r="1514" spans="1:6" x14ac:dyDescent="0.25">
      <c r="A1514" t="s">
        <v>133</v>
      </c>
      <c r="B1514" s="1">
        <v>46055</v>
      </c>
      <c r="C1514">
        <v>38</v>
      </c>
      <c r="D1514" t="str">
        <f t="shared" si="69"/>
        <v/>
      </c>
      <c r="E1514">
        <f t="shared" si="70"/>
        <v>4</v>
      </c>
      <c r="F1514" t="str">
        <f t="shared" si="71"/>
        <v/>
      </c>
    </row>
    <row r="1515" spans="1:6" x14ac:dyDescent="0.25">
      <c r="A1515" t="s">
        <v>133</v>
      </c>
      <c r="B1515" s="1">
        <v>46062</v>
      </c>
      <c r="C1515">
        <v>42</v>
      </c>
      <c r="D1515">
        <f t="shared" si="69"/>
        <v>44</v>
      </c>
      <c r="E1515">
        <f t="shared" si="70"/>
        <v>5</v>
      </c>
      <c r="F1515">
        <f t="shared" si="71"/>
        <v>4.7619047619047616E-2</v>
      </c>
    </row>
    <row r="1516" spans="1:6" x14ac:dyDescent="0.25">
      <c r="A1516" t="s">
        <v>133</v>
      </c>
      <c r="B1516" s="1">
        <v>46069</v>
      </c>
      <c r="C1516">
        <v>36</v>
      </c>
      <c r="D1516">
        <f t="shared" si="69"/>
        <v>42.6</v>
      </c>
      <c r="E1516">
        <f t="shared" si="70"/>
        <v>5</v>
      </c>
      <c r="F1516">
        <f t="shared" si="71"/>
        <v>0.18333333333333338</v>
      </c>
    </row>
    <row r="1517" spans="1:6" x14ac:dyDescent="0.25">
      <c r="A1517" t="s">
        <v>133</v>
      </c>
      <c r="B1517" s="1">
        <v>46076</v>
      </c>
      <c r="C1517">
        <v>44</v>
      </c>
      <c r="D1517">
        <f t="shared" si="69"/>
        <v>40.200000000000003</v>
      </c>
      <c r="E1517">
        <f t="shared" si="70"/>
        <v>5</v>
      </c>
      <c r="F1517">
        <f t="shared" si="71"/>
        <v>8.6363636363636295E-2</v>
      </c>
    </row>
    <row r="1518" spans="1:6" x14ac:dyDescent="0.25">
      <c r="A1518" t="s">
        <v>133</v>
      </c>
      <c r="B1518" s="1">
        <v>46083</v>
      </c>
      <c r="C1518">
        <v>45</v>
      </c>
      <c r="D1518">
        <f t="shared" si="69"/>
        <v>40.799999999999997</v>
      </c>
      <c r="E1518">
        <f t="shared" si="70"/>
        <v>5</v>
      </c>
      <c r="F1518">
        <f t="shared" si="71"/>
        <v>9.3333333333333393E-2</v>
      </c>
    </row>
    <row r="1519" spans="1:6" x14ac:dyDescent="0.25">
      <c r="A1519" t="s">
        <v>133</v>
      </c>
      <c r="B1519" s="1">
        <v>46090</v>
      </c>
      <c r="C1519">
        <v>52</v>
      </c>
      <c r="D1519">
        <f t="shared" si="69"/>
        <v>41</v>
      </c>
      <c r="E1519">
        <f t="shared" si="70"/>
        <v>5</v>
      </c>
      <c r="F1519">
        <f t="shared" si="71"/>
        <v>0.21153846153846154</v>
      </c>
    </row>
    <row r="1520" spans="1:6" x14ac:dyDescent="0.25">
      <c r="A1520" t="s">
        <v>133</v>
      </c>
      <c r="B1520" s="1">
        <v>46097</v>
      </c>
      <c r="C1520">
        <v>51</v>
      </c>
      <c r="D1520">
        <f t="shared" si="69"/>
        <v>43.8</v>
      </c>
      <c r="E1520">
        <f t="shared" si="70"/>
        <v>5</v>
      </c>
      <c r="F1520">
        <f t="shared" si="71"/>
        <v>0.14117647058823535</v>
      </c>
    </row>
    <row r="1521" spans="1:6" x14ac:dyDescent="0.25">
      <c r="A1521" t="s">
        <v>133</v>
      </c>
      <c r="B1521" s="1">
        <v>46104</v>
      </c>
      <c r="C1521">
        <v>50</v>
      </c>
      <c r="D1521">
        <f t="shared" si="69"/>
        <v>45.6</v>
      </c>
      <c r="E1521">
        <f t="shared" si="70"/>
        <v>5</v>
      </c>
      <c r="F1521">
        <f t="shared" si="71"/>
        <v>8.7999999999999967E-2</v>
      </c>
    </row>
    <row r="1522" spans="1:6" x14ac:dyDescent="0.25">
      <c r="A1522" t="s">
        <v>133</v>
      </c>
      <c r="B1522" s="1">
        <v>46111</v>
      </c>
      <c r="C1522">
        <v>44</v>
      </c>
      <c r="D1522">
        <f t="shared" si="69"/>
        <v>48.4</v>
      </c>
      <c r="E1522">
        <f t="shared" si="70"/>
        <v>5</v>
      </c>
      <c r="F1522">
        <f t="shared" si="71"/>
        <v>9.9999999999999964E-2</v>
      </c>
    </row>
    <row r="1523" spans="1:6" x14ac:dyDescent="0.25">
      <c r="A1523" t="s">
        <v>133</v>
      </c>
      <c r="B1523" s="1">
        <v>46118</v>
      </c>
      <c r="C1523">
        <v>46</v>
      </c>
      <c r="D1523">
        <f t="shared" si="69"/>
        <v>48.4</v>
      </c>
      <c r="E1523">
        <f t="shared" si="70"/>
        <v>5</v>
      </c>
      <c r="F1523">
        <f t="shared" si="71"/>
        <v>5.217391304347823E-2</v>
      </c>
    </row>
    <row r="1524" spans="1:6" x14ac:dyDescent="0.25">
      <c r="A1524" t="s">
        <v>133</v>
      </c>
      <c r="B1524" s="1">
        <v>46125</v>
      </c>
      <c r="C1524">
        <v>46</v>
      </c>
      <c r="D1524">
        <f t="shared" si="69"/>
        <v>48.6</v>
      </c>
      <c r="E1524">
        <f t="shared" si="70"/>
        <v>5</v>
      </c>
      <c r="F1524">
        <f t="shared" si="71"/>
        <v>5.652173913043481E-2</v>
      </c>
    </row>
    <row r="1525" spans="1:6" x14ac:dyDescent="0.25">
      <c r="A1525" t="s">
        <v>133</v>
      </c>
      <c r="B1525" s="1">
        <v>46132</v>
      </c>
      <c r="C1525">
        <v>49</v>
      </c>
      <c r="D1525">
        <f t="shared" si="69"/>
        <v>47.4</v>
      </c>
      <c r="E1525">
        <f t="shared" si="70"/>
        <v>5</v>
      </c>
      <c r="F1525">
        <f t="shared" si="71"/>
        <v>3.2653061224489827E-2</v>
      </c>
    </row>
    <row r="1526" spans="1:6" x14ac:dyDescent="0.25">
      <c r="A1526" t="s">
        <v>133</v>
      </c>
      <c r="B1526" s="1">
        <v>46139</v>
      </c>
      <c r="C1526">
        <v>38</v>
      </c>
      <c r="D1526">
        <f t="shared" si="69"/>
        <v>47</v>
      </c>
      <c r="E1526">
        <f t="shared" si="70"/>
        <v>5</v>
      </c>
      <c r="F1526">
        <f t="shared" si="71"/>
        <v>0.23684210526315788</v>
      </c>
    </row>
    <row r="1527" spans="1:6" x14ac:dyDescent="0.25">
      <c r="A1527" t="s">
        <v>133</v>
      </c>
      <c r="B1527" s="1">
        <v>46146</v>
      </c>
      <c r="C1527">
        <v>53</v>
      </c>
      <c r="D1527">
        <f t="shared" si="69"/>
        <v>44.6</v>
      </c>
      <c r="E1527">
        <f t="shared" si="70"/>
        <v>5</v>
      </c>
      <c r="F1527">
        <f t="shared" si="71"/>
        <v>0.15849056603773581</v>
      </c>
    </row>
    <row r="1528" spans="1:6" x14ac:dyDescent="0.25">
      <c r="A1528" t="s">
        <v>133</v>
      </c>
      <c r="B1528" s="1">
        <v>46153</v>
      </c>
      <c r="C1528">
        <v>41</v>
      </c>
      <c r="D1528">
        <f t="shared" si="69"/>
        <v>46.4</v>
      </c>
      <c r="E1528">
        <f t="shared" si="70"/>
        <v>5</v>
      </c>
      <c r="F1528">
        <f t="shared" si="71"/>
        <v>0.13170731707317071</v>
      </c>
    </row>
    <row r="1529" spans="1:6" x14ac:dyDescent="0.25">
      <c r="A1529" t="s">
        <v>133</v>
      </c>
      <c r="B1529" s="1">
        <v>46160</v>
      </c>
      <c r="C1529">
        <v>47</v>
      </c>
      <c r="D1529">
        <f t="shared" si="69"/>
        <v>45.4</v>
      </c>
      <c r="E1529">
        <f t="shared" si="70"/>
        <v>5</v>
      </c>
      <c r="F1529">
        <f t="shared" si="71"/>
        <v>3.404255319148939E-2</v>
      </c>
    </row>
    <row r="1530" spans="1:6" x14ac:dyDescent="0.25">
      <c r="A1530" t="s">
        <v>133</v>
      </c>
      <c r="B1530" s="1">
        <v>46167</v>
      </c>
      <c r="C1530">
        <v>51</v>
      </c>
      <c r="D1530">
        <f t="shared" si="69"/>
        <v>45.6</v>
      </c>
      <c r="E1530">
        <f t="shared" si="70"/>
        <v>5</v>
      </c>
      <c r="F1530">
        <f t="shared" si="71"/>
        <v>0.10588235294117644</v>
      </c>
    </row>
    <row r="1531" spans="1:6" x14ac:dyDescent="0.25">
      <c r="A1531" t="s">
        <v>133</v>
      </c>
      <c r="B1531" s="1">
        <v>46174</v>
      </c>
      <c r="C1531">
        <v>48</v>
      </c>
      <c r="D1531">
        <f t="shared" si="69"/>
        <v>46</v>
      </c>
      <c r="E1531">
        <f t="shared" si="70"/>
        <v>5</v>
      </c>
      <c r="F1531">
        <f t="shared" si="71"/>
        <v>4.1666666666666664E-2</v>
      </c>
    </row>
    <row r="1532" spans="1:6" x14ac:dyDescent="0.25">
      <c r="A1532" t="s">
        <v>133</v>
      </c>
      <c r="B1532" s="1">
        <v>46181</v>
      </c>
      <c r="C1532">
        <v>61</v>
      </c>
      <c r="D1532">
        <f t="shared" si="69"/>
        <v>48</v>
      </c>
      <c r="E1532">
        <f t="shared" si="70"/>
        <v>5</v>
      </c>
      <c r="F1532">
        <f t="shared" si="71"/>
        <v>0.21311475409836064</v>
      </c>
    </row>
    <row r="1533" spans="1:6" x14ac:dyDescent="0.25">
      <c r="A1533" t="s">
        <v>133</v>
      </c>
      <c r="B1533" s="1">
        <v>46188</v>
      </c>
      <c r="C1533">
        <v>52</v>
      </c>
      <c r="D1533">
        <f t="shared" si="69"/>
        <v>49.6</v>
      </c>
      <c r="E1533">
        <f t="shared" si="70"/>
        <v>5</v>
      </c>
      <c r="F1533">
        <f t="shared" si="71"/>
        <v>4.6153846153846129E-2</v>
      </c>
    </row>
    <row r="1534" spans="1:6" x14ac:dyDescent="0.25">
      <c r="A1534" t="s">
        <v>133</v>
      </c>
      <c r="B1534" s="1">
        <v>46195</v>
      </c>
      <c r="C1534">
        <v>62</v>
      </c>
      <c r="D1534">
        <f t="shared" si="69"/>
        <v>51.8</v>
      </c>
      <c r="E1534">
        <f t="shared" si="70"/>
        <v>5</v>
      </c>
      <c r="F1534">
        <f t="shared" si="71"/>
        <v>0.16451612903225812</v>
      </c>
    </row>
    <row r="1535" spans="1:6" x14ac:dyDescent="0.25">
      <c r="A1535" t="s">
        <v>133</v>
      </c>
      <c r="B1535" s="1">
        <v>46202</v>
      </c>
      <c r="C1535">
        <v>60</v>
      </c>
      <c r="D1535">
        <f t="shared" si="69"/>
        <v>54.8</v>
      </c>
      <c r="E1535">
        <f t="shared" si="70"/>
        <v>5</v>
      </c>
      <c r="F1535">
        <f t="shared" si="71"/>
        <v>8.6666666666666711E-2</v>
      </c>
    </row>
    <row r="1536" spans="1:6" x14ac:dyDescent="0.25">
      <c r="A1536" t="s">
        <v>135</v>
      </c>
      <c r="B1536" s="1">
        <v>46027</v>
      </c>
      <c r="C1536">
        <v>71</v>
      </c>
      <c r="D1536" t="str">
        <f t="shared" si="69"/>
        <v/>
      </c>
      <c r="E1536">
        <f t="shared" si="70"/>
        <v>0</v>
      </c>
      <c r="F1536" t="str">
        <f t="shared" si="71"/>
        <v/>
      </c>
    </row>
    <row r="1537" spans="1:6" x14ac:dyDescent="0.25">
      <c r="A1537" t="s">
        <v>135</v>
      </c>
      <c r="B1537" s="1">
        <v>46034</v>
      </c>
      <c r="C1537">
        <v>65</v>
      </c>
      <c r="D1537" t="str">
        <f t="shared" si="69"/>
        <v/>
      </c>
      <c r="E1537">
        <f t="shared" si="70"/>
        <v>1</v>
      </c>
      <c r="F1537" t="str">
        <f t="shared" si="71"/>
        <v/>
      </c>
    </row>
    <row r="1538" spans="1:6" x14ac:dyDescent="0.25">
      <c r="A1538" t="s">
        <v>135</v>
      </c>
      <c r="B1538" s="1">
        <v>46041</v>
      </c>
      <c r="C1538">
        <v>63</v>
      </c>
      <c r="D1538" t="str">
        <f t="shared" ref="D1538:D1601" si="72">IF(E1538 &lt; 5, "", AVERAGEIFS(C:C, A:A, A1538, B:B, "&gt;=" &amp; (B1538-35), B:B, "&lt;=" &amp; (B1538-7)))</f>
        <v/>
      </c>
      <c r="E1538">
        <f t="shared" ref="E1538:E1601" si="73">COUNTIFS(A:A, A1538, B:B, "&gt;=" &amp; (B1538-35), B:B, "&lt;=" &amp; (B1538-7))</f>
        <v>2</v>
      </c>
      <c r="F1538" t="str">
        <f t="shared" ref="F1538:F1601" si="74">IF(OR(C1538=0, D1538=""), "", ABS(C1538 - D1538) / C1538)</f>
        <v/>
      </c>
    </row>
    <row r="1539" spans="1:6" x14ac:dyDescent="0.25">
      <c r="A1539" t="s">
        <v>135</v>
      </c>
      <c r="B1539" s="1">
        <v>46048</v>
      </c>
      <c r="C1539">
        <v>68</v>
      </c>
      <c r="D1539" t="str">
        <f t="shared" si="72"/>
        <v/>
      </c>
      <c r="E1539">
        <f t="shared" si="73"/>
        <v>3</v>
      </c>
      <c r="F1539" t="str">
        <f t="shared" si="74"/>
        <v/>
      </c>
    </row>
    <row r="1540" spans="1:6" x14ac:dyDescent="0.25">
      <c r="A1540" t="s">
        <v>135</v>
      </c>
      <c r="B1540" s="1">
        <v>46055</v>
      </c>
      <c r="C1540">
        <v>59</v>
      </c>
      <c r="D1540" t="str">
        <f t="shared" si="72"/>
        <v/>
      </c>
      <c r="E1540">
        <f t="shared" si="73"/>
        <v>4</v>
      </c>
      <c r="F1540" t="str">
        <f t="shared" si="74"/>
        <v/>
      </c>
    </row>
    <row r="1541" spans="1:6" x14ac:dyDescent="0.25">
      <c r="A1541" t="s">
        <v>135</v>
      </c>
      <c r="B1541" s="1">
        <v>46062</v>
      </c>
      <c r="C1541">
        <v>79</v>
      </c>
      <c r="D1541">
        <f t="shared" si="72"/>
        <v>65.2</v>
      </c>
      <c r="E1541">
        <f t="shared" si="73"/>
        <v>5</v>
      </c>
      <c r="F1541">
        <f t="shared" si="74"/>
        <v>0.17468354430379743</v>
      </c>
    </row>
    <row r="1542" spans="1:6" x14ac:dyDescent="0.25">
      <c r="A1542" t="s">
        <v>135</v>
      </c>
      <c r="B1542" s="1">
        <v>46069</v>
      </c>
      <c r="C1542">
        <v>68</v>
      </c>
      <c r="D1542">
        <f t="shared" si="72"/>
        <v>66.8</v>
      </c>
      <c r="E1542">
        <f t="shared" si="73"/>
        <v>5</v>
      </c>
      <c r="F1542">
        <f t="shared" si="74"/>
        <v>1.7647058823529453E-2</v>
      </c>
    </row>
    <row r="1543" spans="1:6" x14ac:dyDescent="0.25">
      <c r="A1543" t="s">
        <v>135</v>
      </c>
      <c r="B1543" s="1">
        <v>46076</v>
      </c>
      <c r="C1543">
        <v>73</v>
      </c>
      <c r="D1543">
        <f t="shared" si="72"/>
        <v>67.400000000000006</v>
      </c>
      <c r="E1543">
        <f t="shared" si="73"/>
        <v>5</v>
      </c>
      <c r="F1543">
        <f t="shared" si="74"/>
        <v>7.6712328767123208E-2</v>
      </c>
    </row>
    <row r="1544" spans="1:6" x14ac:dyDescent="0.25">
      <c r="A1544" t="s">
        <v>135</v>
      </c>
      <c r="B1544" s="1">
        <v>46083</v>
      </c>
      <c r="C1544">
        <v>86</v>
      </c>
      <c r="D1544">
        <f t="shared" si="72"/>
        <v>69.400000000000006</v>
      </c>
      <c r="E1544">
        <f t="shared" si="73"/>
        <v>5</v>
      </c>
      <c r="F1544">
        <f t="shared" si="74"/>
        <v>0.19302325581395341</v>
      </c>
    </row>
    <row r="1545" spans="1:6" x14ac:dyDescent="0.25">
      <c r="A1545" t="s">
        <v>135</v>
      </c>
      <c r="B1545" s="1">
        <v>46090</v>
      </c>
      <c r="C1545">
        <v>77</v>
      </c>
      <c r="D1545">
        <f t="shared" si="72"/>
        <v>73</v>
      </c>
      <c r="E1545">
        <f t="shared" si="73"/>
        <v>5</v>
      </c>
      <c r="F1545">
        <f t="shared" si="74"/>
        <v>5.1948051948051951E-2</v>
      </c>
    </row>
    <row r="1546" spans="1:6" x14ac:dyDescent="0.25">
      <c r="A1546" t="s">
        <v>135</v>
      </c>
      <c r="B1546" s="1">
        <v>46097</v>
      </c>
      <c r="C1546">
        <v>84</v>
      </c>
      <c r="D1546">
        <f t="shared" si="72"/>
        <v>76.599999999999994</v>
      </c>
      <c r="E1546">
        <f t="shared" si="73"/>
        <v>5</v>
      </c>
      <c r="F1546">
        <f t="shared" si="74"/>
        <v>8.8095238095238157E-2</v>
      </c>
    </row>
    <row r="1547" spans="1:6" x14ac:dyDescent="0.25">
      <c r="A1547" t="s">
        <v>135</v>
      </c>
      <c r="B1547" s="1">
        <v>46104</v>
      </c>
      <c r="C1547">
        <v>72</v>
      </c>
      <c r="D1547">
        <f t="shared" si="72"/>
        <v>77.599999999999994</v>
      </c>
      <c r="E1547">
        <f t="shared" si="73"/>
        <v>5</v>
      </c>
      <c r="F1547">
        <f t="shared" si="74"/>
        <v>7.7777777777777696E-2</v>
      </c>
    </row>
    <row r="1548" spans="1:6" x14ac:dyDescent="0.25">
      <c r="A1548" t="s">
        <v>135</v>
      </c>
      <c r="B1548" s="1">
        <v>46111</v>
      </c>
      <c r="C1548">
        <v>79</v>
      </c>
      <c r="D1548">
        <f t="shared" si="72"/>
        <v>78.400000000000006</v>
      </c>
      <c r="E1548">
        <f t="shared" si="73"/>
        <v>5</v>
      </c>
      <c r="F1548">
        <f t="shared" si="74"/>
        <v>7.5949367088606872E-3</v>
      </c>
    </row>
    <row r="1549" spans="1:6" x14ac:dyDescent="0.25">
      <c r="A1549" t="s">
        <v>135</v>
      </c>
      <c r="B1549" s="1">
        <v>46118</v>
      </c>
      <c r="C1549">
        <v>80</v>
      </c>
      <c r="D1549">
        <f t="shared" si="72"/>
        <v>79.599999999999994</v>
      </c>
      <c r="E1549">
        <f t="shared" si="73"/>
        <v>5</v>
      </c>
      <c r="F1549">
        <f t="shared" si="74"/>
        <v>5.0000000000000712E-3</v>
      </c>
    </row>
    <row r="1550" spans="1:6" x14ac:dyDescent="0.25">
      <c r="A1550" t="s">
        <v>135</v>
      </c>
      <c r="B1550" s="1">
        <v>46125</v>
      </c>
      <c r="C1550">
        <v>81</v>
      </c>
      <c r="D1550">
        <f t="shared" si="72"/>
        <v>78.400000000000006</v>
      </c>
      <c r="E1550">
        <f t="shared" si="73"/>
        <v>5</v>
      </c>
      <c r="F1550">
        <f t="shared" si="74"/>
        <v>3.2098765432098698E-2</v>
      </c>
    </row>
    <row r="1551" spans="1:6" x14ac:dyDescent="0.25">
      <c r="A1551" t="s">
        <v>135</v>
      </c>
      <c r="B1551" s="1">
        <v>46132</v>
      </c>
      <c r="C1551">
        <v>76</v>
      </c>
      <c r="D1551">
        <f t="shared" si="72"/>
        <v>79.2</v>
      </c>
      <c r="E1551">
        <f t="shared" si="73"/>
        <v>5</v>
      </c>
      <c r="F1551">
        <f t="shared" si="74"/>
        <v>4.2105263157894778E-2</v>
      </c>
    </row>
    <row r="1552" spans="1:6" x14ac:dyDescent="0.25">
      <c r="A1552" t="s">
        <v>135</v>
      </c>
      <c r="B1552" s="1">
        <v>46139</v>
      </c>
      <c r="C1552">
        <v>85</v>
      </c>
      <c r="D1552">
        <f t="shared" si="72"/>
        <v>77.599999999999994</v>
      </c>
      <c r="E1552">
        <f t="shared" si="73"/>
        <v>5</v>
      </c>
      <c r="F1552">
        <f t="shared" si="74"/>
        <v>8.7058823529411827E-2</v>
      </c>
    </row>
    <row r="1553" spans="1:6" x14ac:dyDescent="0.25">
      <c r="A1553" t="s">
        <v>135</v>
      </c>
      <c r="B1553" s="1">
        <v>46146</v>
      </c>
      <c r="C1553">
        <v>79</v>
      </c>
      <c r="D1553">
        <f t="shared" si="72"/>
        <v>80.2</v>
      </c>
      <c r="E1553">
        <f t="shared" si="73"/>
        <v>5</v>
      </c>
      <c r="F1553">
        <f t="shared" si="74"/>
        <v>1.5189873417721555E-2</v>
      </c>
    </row>
    <row r="1554" spans="1:6" x14ac:dyDescent="0.25">
      <c r="A1554" t="s">
        <v>135</v>
      </c>
      <c r="B1554" s="1">
        <v>46153</v>
      </c>
      <c r="C1554">
        <v>92</v>
      </c>
      <c r="D1554">
        <f t="shared" si="72"/>
        <v>80.2</v>
      </c>
      <c r="E1554">
        <f t="shared" si="73"/>
        <v>5</v>
      </c>
      <c r="F1554">
        <f t="shared" si="74"/>
        <v>0.12826086956521737</v>
      </c>
    </row>
    <row r="1555" spans="1:6" x14ac:dyDescent="0.25">
      <c r="A1555" t="s">
        <v>135</v>
      </c>
      <c r="B1555" s="1">
        <v>46160</v>
      </c>
      <c r="C1555">
        <v>92</v>
      </c>
      <c r="D1555">
        <f t="shared" si="72"/>
        <v>82.6</v>
      </c>
      <c r="E1555">
        <f t="shared" si="73"/>
        <v>5</v>
      </c>
      <c r="F1555">
        <f t="shared" si="74"/>
        <v>0.10217391304347832</v>
      </c>
    </row>
    <row r="1556" spans="1:6" x14ac:dyDescent="0.25">
      <c r="A1556" t="s">
        <v>135</v>
      </c>
      <c r="B1556" s="1">
        <v>46167</v>
      </c>
      <c r="C1556">
        <v>77</v>
      </c>
      <c r="D1556">
        <f t="shared" si="72"/>
        <v>84.8</v>
      </c>
      <c r="E1556">
        <f t="shared" si="73"/>
        <v>5</v>
      </c>
      <c r="F1556">
        <f t="shared" si="74"/>
        <v>0.10129870129870126</v>
      </c>
    </row>
    <row r="1557" spans="1:6" x14ac:dyDescent="0.25">
      <c r="A1557" t="s">
        <v>135</v>
      </c>
      <c r="B1557" s="1">
        <v>46174</v>
      </c>
      <c r="C1557">
        <v>91</v>
      </c>
      <c r="D1557">
        <f t="shared" si="72"/>
        <v>85</v>
      </c>
      <c r="E1557">
        <f t="shared" si="73"/>
        <v>5</v>
      </c>
      <c r="F1557">
        <f t="shared" si="74"/>
        <v>6.5934065934065936E-2</v>
      </c>
    </row>
    <row r="1558" spans="1:6" x14ac:dyDescent="0.25">
      <c r="A1558" t="s">
        <v>135</v>
      </c>
      <c r="B1558" s="1">
        <v>46181</v>
      </c>
      <c r="C1558">
        <v>94</v>
      </c>
      <c r="D1558">
        <f t="shared" si="72"/>
        <v>86.2</v>
      </c>
      <c r="E1558">
        <f t="shared" si="73"/>
        <v>5</v>
      </c>
      <c r="F1558">
        <f t="shared" si="74"/>
        <v>8.2978723404255286E-2</v>
      </c>
    </row>
    <row r="1559" spans="1:6" x14ac:dyDescent="0.25">
      <c r="A1559" t="s">
        <v>135</v>
      </c>
      <c r="B1559" s="1">
        <v>46188</v>
      </c>
      <c r="C1559">
        <v>71</v>
      </c>
      <c r="D1559">
        <f t="shared" si="72"/>
        <v>89.2</v>
      </c>
      <c r="E1559">
        <f t="shared" si="73"/>
        <v>5</v>
      </c>
      <c r="F1559">
        <f t="shared" si="74"/>
        <v>0.25633802816901413</v>
      </c>
    </row>
    <row r="1560" spans="1:6" x14ac:dyDescent="0.25">
      <c r="A1560" t="s">
        <v>135</v>
      </c>
      <c r="B1560" s="1">
        <v>46195</v>
      </c>
      <c r="C1560">
        <v>86</v>
      </c>
      <c r="D1560">
        <f t="shared" si="72"/>
        <v>85</v>
      </c>
      <c r="E1560">
        <f t="shared" si="73"/>
        <v>5</v>
      </c>
      <c r="F1560">
        <f t="shared" si="74"/>
        <v>1.1627906976744186E-2</v>
      </c>
    </row>
    <row r="1561" spans="1:6" x14ac:dyDescent="0.25">
      <c r="A1561" t="s">
        <v>135</v>
      </c>
      <c r="B1561" s="1">
        <v>46202</v>
      </c>
      <c r="C1561">
        <v>85</v>
      </c>
      <c r="D1561">
        <f t="shared" si="72"/>
        <v>83.8</v>
      </c>
      <c r="E1561">
        <f t="shared" si="73"/>
        <v>5</v>
      </c>
      <c r="F1561">
        <f t="shared" si="74"/>
        <v>1.4117647058823563E-2</v>
      </c>
    </row>
    <row r="1562" spans="1:6" x14ac:dyDescent="0.25">
      <c r="A1562" t="s">
        <v>137</v>
      </c>
      <c r="B1562" s="1">
        <v>46027</v>
      </c>
      <c r="C1562">
        <v>42</v>
      </c>
      <c r="D1562" t="str">
        <f t="shared" si="72"/>
        <v/>
      </c>
      <c r="E1562">
        <f t="shared" si="73"/>
        <v>0</v>
      </c>
      <c r="F1562" t="str">
        <f t="shared" si="74"/>
        <v/>
      </c>
    </row>
    <row r="1563" spans="1:6" x14ac:dyDescent="0.25">
      <c r="A1563" t="s">
        <v>137</v>
      </c>
      <c r="B1563" s="1">
        <v>46034</v>
      </c>
      <c r="C1563">
        <v>53</v>
      </c>
      <c r="D1563" t="str">
        <f t="shared" si="72"/>
        <v/>
      </c>
      <c r="E1563">
        <f t="shared" si="73"/>
        <v>1</v>
      </c>
      <c r="F1563" t="str">
        <f t="shared" si="74"/>
        <v/>
      </c>
    </row>
    <row r="1564" spans="1:6" x14ac:dyDescent="0.25">
      <c r="A1564" t="s">
        <v>137</v>
      </c>
      <c r="B1564" s="1">
        <v>46041</v>
      </c>
      <c r="C1564">
        <v>55</v>
      </c>
      <c r="D1564" t="str">
        <f t="shared" si="72"/>
        <v/>
      </c>
      <c r="E1564">
        <f t="shared" si="73"/>
        <v>2</v>
      </c>
      <c r="F1564" t="str">
        <f t="shared" si="74"/>
        <v/>
      </c>
    </row>
    <row r="1565" spans="1:6" x14ac:dyDescent="0.25">
      <c r="A1565" t="s">
        <v>137</v>
      </c>
      <c r="B1565" s="1">
        <v>46048</v>
      </c>
      <c r="C1565">
        <v>47</v>
      </c>
      <c r="D1565" t="str">
        <f t="shared" si="72"/>
        <v/>
      </c>
      <c r="E1565">
        <f t="shared" si="73"/>
        <v>3</v>
      </c>
      <c r="F1565" t="str">
        <f t="shared" si="74"/>
        <v/>
      </c>
    </row>
    <row r="1566" spans="1:6" x14ac:dyDescent="0.25">
      <c r="A1566" t="s">
        <v>137</v>
      </c>
      <c r="B1566" s="1">
        <v>46055</v>
      </c>
      <c r="C1566">
        <v>55</v>
      </c>
      <c r="D1566" t="str">
        <f t="shared" si="72"/>
        <v/>
      </c>
      <c r="E1566">
        <f t="shared" si="73"/>
        <v>4</v>
      </c>
      <c r="F1566" t="str">
        <f t="shared" si="74"/>
        <v/>
      </c>
    </row>
    <row r="1567" spans="1:6" x14ac:dyDescent="0.25">
      <c r="A1567" t="s">
        <v>137</v>
      </c>
      <c r="B1567" s="1">
        <v>46062</v>
      </c>
      <c r="C1567">
        <v>52</v>
      </c>
      <c r="D1567">
        <f t="shared" si="72"/>
        <v>50.4</v>
      </c>
      <c r="E1567">
        <f t="shared" si="73"/>
        <v>5</v>
      </c>
      <c r="F1567">
        <f t="shared" si="74"/>
        <v>3.0769230769230795E-2</v>
      </c>
    </row>
    <row r="1568" spans="1:6" x14ac:dyDescent="0.25">
      <c r="A1568" t="s">
        <v>137</v>
      </c>
      <c r="B1568" s="1">
        <v>46069</v>
      </c>
      <c r="C1568">
        <v>55</v>
      </c>
      <c r="D1568">
        <f t="shared" si="72"/>
        <v>52.4</v>
      </c>
      <c r="E1568">
        <f t="shared" si="73"/>
        <v>5</v>
      </c>
      <c r="F1568">
        <f t="shared" si="74"/>
        <v>4.72727272727273E-2</v>
      </c>
    </row>
    <row r="1569" spans="1:6" x14ac:dyDescent="0.25">
      <c r="A1569" t="s">
        <v>137</v>
      </c>
      <c r="B1569" s="1">
        <v>46076</v>
      </c>
      <c r="C1569">
        <v>55</v>
      </c>
      <c r="D1569">
        <f t="shared" si="72"/>
        <v>52.8</v>
      </c>
      <c r="E1569">
        <f t="shared" si="73"/>
        <v>5</v>
      </c>
      <c r="F1569">
        <f t="shared" si="74"/>
        <v>4.0000000000000049E-2</v>
      </c>
    </row>
    <row r="1570" spans="1:6" x14ac:dyDescent="0.25">
      <c r="A1570" t="s">
        <v>137</v>
      </c>
      <c r="B1570" s="1">
        <v>46083</v>
      </c>
      <c r="C1570">
        <v>53</v>
      </c>
      <c r="D1570">
        <f t="shared" si="72"/>
        <v>52.8</v>
      </c>
      <c r="E1570">
        <f t="shared" si="73"/>
        <v>5</v>
      </c>
      <c r="F1570">
        <f t="shared" si="74"/>
        <v>3.7735849056604312E-3</v>
      </c>
    </row>
    <row r="1571" spans="1:6" x14ac:dyDescent="0.25">
      <c r="A1571" t="s">
        <v>137</v>
      </c>
      <c r="B1571" s="1">
        <v>46090</v>
      </c>
      <c r="C1571">
        <v>51</v>
      </c>
      <c r="D1571">
        <f t="shared" si="72"/>
        <v>54</v>
      </c>
      <c r="E1571">
        <f t="shared" si="73"/>
        <v>5</v>
      </c>
      <c r="F1571">
        <f t="shared" si="74"/>
        <v>5.8823529411764705E-2</v>
      </c>
    </row>
    <row r="1572" spans="1:6" x14ac:dyDescent="0.25">
      <c r="A1572" t="s">
        <v>137</v>
      </c>
      <c r="B1572" s="1">
        <v>46097</v>
      </c>
      <c r="C1572">
        <v>59</v>
      </c>
      <c r="D1572">
        <f t="shared" si="72"/>
        <v>53.2</v>
      </c>
      <c r="E1572">
        <f t="shared" si="73"/>
        <v>5</v>
      </c>
      <c r="F1572">
        <f t="shared" si="74"/>
        <v>9.8305084745762661E-2</v>
      </c>
    </row>
    <row r="1573" spans="1:6" x14ac:dyDescent="0.25">
      <c r="A1573" t="s">
        <v>137</v>
      </c>
      <c r="B1573" s="1">
        <v>46104</v>
      </c>
      <c r="C1573">
        <v>51</v>
      </c>
      <c r="D1573">
        <f t="shared" si="72"/>
        <v>54.6</v>
      </c>
      <c r="E1573">
        <f t="shared" si="73"/>
        <v>5</v>
      </c>
      <c r="F1573">
        <f t="shared" si="74"/>
        <v>7.0588235294117674E-2</v>
      </c>
    </row>
    <row r="1574" spans="1:6" x14ac:dyDescent="0.25">
      <c r="A1574" t="s">
        <v>137</v>
      </c>
      <c r="B1574" s="1">
        <v>46111</v>
      </c>
      <c r="C1574">
        <v>55</v>
      </c>
      <c r="D1574">
        <f t="shared" si="72"/>
        <v>53.8</v>
      </c>
      <c r="E1574">
        <f t="shared" si="73"/>
        <v>5</v>
      </c>
      <c r="F1574">
        <f t="shared" si="74"/>
        <v>2.1818181818181868E-2</v>
      </c>
    </row>
    <row r="1575" spans="1:6" x14ac:dyDescent="0.25">
      <c r="A1575" t="s">
        <v>137</v>
      </c>
      <c r="B1575" s="1">
        <v>46118</v>
      </c>
      <c r="C1575">
        <v>58</v>
      </c>
      <c r="D1575">
        <f t="shared" si="72"/>
        <v>53.8</v>
      </c>
      <c r="E1575">
        <f t="shared" si="73"/>
        <v>5</v>
      </c>
      <c r="F1575">
        <f t="shared" si="74"/>
        <v>7.2413793103448323E-2</v>
      </c>
    </row>
    <row r="1576" spans="1:6" x14ac:dyDescent="0.25">
      <c r="A1576" t="s">
        <v>137</v>
      </c>
      <c r="B1576" s="1">
        <v>46125</v>
      </c>
      <c r="C1576">
        <v>48</v>
      </c>
      <c r="D1576">
        <f t="shared" si="72"/>
        <v>54.8</v>
      </c>
      <c r="E1576">
        <f t="shared" si="73"/>
        <v>5</v>
      </c>
      <c r="F1576">
        <f t="shared" si="74"/>
        <v>0.14166666666666661</v>
      </c>
    </row>
    <row r="1577" spans="1:6" x14ac:dyDescent="0.25">
      <c r="A1577" t="s">
        <v>137</v>
      </c>
      <c r="B1577" s="1">
        <v>46132</v>
      </c>
      <c r="C1577">
        <v>59</v>
      </c>
      <c r="D1577">
        <f t="shared" si="72"/>
        <v>54.2</v>
      </c>
      <c r="E1577">
        <f t="shared" si="73"/>
        <v>5</v>
      </c>
      <c r="F1577">
        <f t="shared" si="74"/>
        <v>8.1355932203389783E-2</v>
      </c>
    </row>
    <row r="1578" spans="1:6" x14ac:dyDescent="0.25">
      <c r="A1578" t="s">
        <v>137</v>
      </c>
      <c r="B1578" s="1">
        <v>46139</v>
      </c>
      <c r="C1578">
        <v>55</v>
      </c>
      <c r="D1578">
        <f t="shared" si="72"/>
        <v>54.2</v>
      </c>
      <c r="E1578">
        <f t="shared" si="73"/>
        <v>5</v>
      </c>
      <c r="F1578">
        <f t="shared" si="74"/>
        <v>1.4545454545454493E-2</v>
      </c>
    </row>
    <row r="1579" spans="1:6" x14ac:dyDescent="0.25">
      <c r="A1579" t="s">
        <v>137</v>
      </c>
      <c r="B1579" s="1">
        <v>46146</v>
      </c>
      <c r="C1579">
        <v>57</v>
      </c>
      <c r="D1579">
        <f t="shared" si="72"/>
        <v>55</v>
      </c>
      <c r="E1579">
        <f t="shared" si="73"/>
        <v>5</v>
      </c>
      <c r="F1579">
        <f t="shared" si="74"/>
        <v>3.5087719298245612E-2</v>
      </c>
    </row>
    <row r="1580" spans="1:6" x14ac:dyDescent="0.25">
      <c r="A1580" t="s">
        <v>137</v>
      </c>
      <c r="B1580" s="1">
        <v>46153</v>
      </c>
      <c r="C1580">
        <v>61</v>
      </c>
      <c r="D1580">
        <f t="shared" si="72"/>
        <v>55.4</v>
      </c>
      <c r="E1580">
        <f t="shared" si="73"/>
        <v>5</v>
      </c>
      <c r="F1580">
        <f t="shared" si="74"/>
        <v>9.1803278688524614E-2</v>
      </c>
    </row>
    <row r="1581" spans="1:6" x14ac:dyDescent="0.25">
      <c r="A1581" t="s">
        <v>137</v>
      </c>
      <c r="B1581" s="1">
        <v>46160</v>
      </c>
      <c r="C1581">
        <v>59</v>
      </c>
      <c r="D1581">
        <f t="shared" si="72"/>
        <v>56</v>
      </c>
      <c r="E1581">
        <f t="shared" si="73"/>
        <v>5</v>
      </c>
      <c r="F1581">
        <f t="shared" si="74"/>
        <v>5.0847457627118647E-2</v>
      </c>
    </row>
    <row r="1582" spans="1:6" x14ac:dyDescent="0.25">
      <c r="A1582" t="s">
        <v>137</v>
      </c>
      <c r="B1582" s="1">
        <v>46167</v>
      </c>
      <c r="C1582">
        <v>61</v>
      </c>
      <c r="D1582">
        <f t="shared" si="72"/>
        <v>58.2</v>
      </c>
      <c r="E1582">
        <f t="shared" si="73"/>
        <v>5</v>
      </c>
      <c r="F1582">
        <f t="shared" si="74"/>
        <v>4.5901639344262252E-2</v>
      </c>
    </row>
    <row r="1583" spans="1:6" x14ac:dyDescent="0.25">
      <c r="A1583" t="s">
        <v>137</v>
      </c>
      <c r="B1583" s="1">
        <v>46174</v>
      </c>
      <c r="C1583">
        <v>58</v>
      </c>
      <c r="D1583">
        <f t="shared" si="72"/>
        <v>58.6</v>
      </c>
      <c r="E1583">
        <f t="shared" si="73"/>
        <v>5</v>
      </c>
      <c r="F1583">
        <f t="shared" si="74"/>
        <v>1.0344827586206921E-2</v>
      </c>
    </row>
    <row r="1584" spans="1:6" x14ac:dyDescent="0.25">
      <c r="A1584" t="s">
        <v>137</v>
      </c>
      <c r="B1584" s="1">
        <v>46181</v>
      </c>
      <c r="C1584">
        <v>57</v>
      </c>
      <c r="D1584">
        <f t="shared" si="72"/>
        <v>59.2</v>
      </c>
      <c r="E1584">
        <f t="shared" si="73"/>
        <v>5</v>
      </c>
      <c r="F1584">
        <f t="shared" si="74"/>
        <v>3.8596491228070226E-2</v>
      </c>
    </row>
    <row r="1585" spans="1:6" x14ac:dyDescent="0.25">
      <c r="A1585" t="s">
        <v>137</v>
      </c>
      <c r="B1585" s="1">
        <v>46188</v>
      </c>
      <c r="C1585">
        <v>60</v>
      </c>
      <c r="D1585">
        <f t="shared" si="72"/>
        <v>59.2</v>
      </c>
      <c r="E1585">
        <f t="shared" si="73"/>
        <v>5</v>
      </c>
      <c r="F1585">
        <f t="shared" si="74"/>
        <v>1.3333333333333286E-2</v>
      </c>
    </row>
    <row r="1586" spans="1:6" x14ac:dyDescent="0.25">
      <c r="A1586" t="s">
        <v>137</v>
      </c>
      <c r="B1586" s="1">
        <v>46195</v>
      </c>
      <c r="C1586">
        <v>61</v>
      </c>
      <c r="D1586">
        <f t="shared" si="72"/>
        <v>59</v>
      </c>
      <c r="E1586">
        <f t="shared" si="73"/>
        <v>5</v>
      </c>
      <c r="F1586">
        <f t="shared" si="74"/>
        <v>3.2786885245901641E-2</v>
      </c>
    </row>
    <row r="1587" spans="1:6" x14ac:dyDescent="0.25">
      <c r="A1587" t="s">
        <v>137</v>
      </c>
      <c r="B1587" s="1">
        <v>46202</v>
      </c>
      <c r="C1587">
        <v>59</v>
      </c>
      <c r="D1587">
        <f t="shared" si="72"/>
        <v>59.4</v>
      </c>
      <c r="E1587">
        <f t="shared" si="73"/>
        <v>5</v>
      </c>
      <c r="F1587">
        <f t="shared" si="74"/>
        <v>6.7796610169491281E-3</v>
      </c>
    </row>
    <row r="1588" spans="1:6" x14ac:dyDescent="0.25">
      <c r="A1588" t="s">
        <v>139</v>
      </c>
      <c r="B1588" s="1">
        <v>46027</v>
      </c>
      <c r="C1588">
        <v>33</v>
      </c>
      <c r="D1588" t="str">
        <f t="shared" si="72"/>
        <v/>
      </c>
      <c r="E1588">
        <f t="shared" si="73"/>
        <v>0</v>
      </c>
      <c r="F1588" t="str">
        <f t="shared" si="74"/>
        <v/>
      </c>
    </row>
    <row r="1589" spans="1:6" x14ac:dyDescent="0.25">
      <c r="A1589" t="s">
        <v>139</v>
      </c>
      <c r="B1589" s="1">
        <v>46034</v>
      </c>
      <c r="C1589">
        <v>86</v>
      </c>
      <c r="D1589" t="str">
        <f t="shared" si="72"/>
        <v/>
      </c>
      <c r="E1589">
        <f t="shared" si="73"/>
        <v>1</v>
      </c>
      <c r="F1589" t="str">
        <f t="shared" si="74"/>
        <v/>
      </c>
    </row>
    <row r="1590" spans="1:6" x14ac:dyDescent="0.25">
      <c r="A1590" t="s">
        <v>139</v>
      </c>
      <c r="B1590" s="1">
        <v>46041</v>
      </c>
      <c r="C1590">
        <v>35</v>
      </c>
      <c r="D1590" t="str">
        <f t="shared" si="72"/>
        <v/>
      </c>
      <c r="E1590">
        <f t="shared" si="73"/>
        <v>2</v>
      </c>
      <c r="F1590" t="str">
        <f t="shared" si="74"/>
        <v/>
      </c>
    </row>
    <row r="1591" spans="1:6" x14ac:dyDescent="0.25">
      <c r="A1591" t="s">
        <v>139</v>
      </c>
      <c r="B1591" s="1">
        <v>46048</v>
      </c>
      <c r="C1591">
        <v>22</v>
      </c>
      <c r="D1591" t="str">
        <f t="shared" si="72"/>
        <v/>
      </c>
      <c r="E1591">
        <f t="shared" si="73"/>
        <v>3</v>
      </c>
      <c r="F1591" t="str">
        <f t="shared" si="74"/>
        <v/>
      </c>
    </row>
    <row r="1592" spans="1:6" x14ac:dyDescent="0.25">
      <c r="A1592" t="s">
        <v>139</v>
      </c>
      <c r="B1592" s="1">
        <v>46055</v>
      </c>
      <c r="C1592">
        <v>32</v>
      </c>
      <c r="D1592" t="str">
        <f t="shared" si="72"/>
        <v/>
      </c>
      <c r="E1592">
        <f t="shared" si="73"/>
        <v>4</v>
      </c>
      <c r="F1592" t="str">
        <f t="shared" si="74"/>
        <v/>
      </c>
    </row>
    <row r="1593" spans="1:6" x14ac:dyDescent="0.25">
      <c r="A1593" t="s">
        <v>139</v>
      </c>
      <c r="B1593" s="1">
        <v>46062</v>
      </c>
      <c r="C1593">
        <v>36</v>
      </c>
      <c r="D1593">
        <f t="shared" si="72"/>
        <v>41.6</v>
      </c>
      <c r="E1593">
        <f t="shared" si="73"/>
        <v>5</v>
      </c>
      <c r="F1593">
        <f t="shared" si="74"/>
        <v>0.15555555555555559</v>
      </c>
    </row>
    <row r="1594" spans="1:6" x14ac:dyDescent="0.25">
      <c r="A1594" t="s">
        <v>139</v>
      </c>
      <c r="B1594" s="1">
        <v>46069</v>
      </c>
      <c r="C1594">
        <v>53</v>
      </c>
      <c r="D1594">
        <f t="shared" si="72"/>
        <v>42.2</v>
      </c>
      <c r="E1594">
        <f t="shared" si="73"/>
        <v>5</v>
      </c>
      <c r="F1594">
        <f t="shared" si="74"/>
        <v>0.20377358490566033</v>
      </c>
    </row>
    <row r="1595" spans="1:6" x14ac:dyDescent="0.25">
      <c r="A1595" t="s">
        <v>139</v>
      </c>
      <c r="B1595" s="1">
        <v>46076</v>
      </c>
      <c r="C1595">
        <v>35</v>
      </c>
      <c r="D1595">
        <f t="shared" si="72"/>
        <v>35.6</v>
      </c>
      <c r="E1595">
        <f t="shared" si="73"/>
        <v>5</v>
      </c>
      <c r="F1595">
        <f t="shared" si="74"/>
        <v>1.7142857142857182E-2</v>
      </c>
    </row>
    <row r="1596" spans="1:6" x14ac:dyDescent="0.25">
      <c r="A1596" t="s">
        <v>139</v>
      </c>
      <c r="B1596" s="1">
        <v>46083</v>
      </c>
      <c r="C1596">
        <v>33</v>
      </c>
      <c r="D1596">
        <f t="shared" si="72"/>
        <v>35.6</v>
      </c>
      <c r="E1596">
        <f t="shared" si="73"/>
        <v>5</v>
      </c>
      <c r="F1596">
        <f t="shared" si="74"/>
        <v>7.8787878787878837E-2</v>
      </c>
    </row>
    <row r="1597" spans="1:6" x14ac:dyDescent="0.25">
      <c r="A1597" t="s">
        <v>139</v>
      </c>
      <c r="B1597" s="1">
        <v>46090</v>
      </c>
      <c r="C1597">
        <v>37</v>
      </c>
      <c r="D1597">
        <f t="shared" si="72"/>
        <v>37.799999999999997</v>
      </c>
      <c r="E1597">
        <f t="shared" si="73"/>
        <v>5</v>
      </c>
      <c r="F1597">
        <f t="shared" si="74"/>
        <v>2.1621621621621546E-2</v>
      </c>
    </row>
    <row r="1598" spans="1:6" x14ac:dyDescent="0.25">
      <c r="A1598" t="s">
        <v>139</v>
      </c>
      <c r="B1598" s="1">
        <v>46097</v>
      </c>
      <c r="C1598">
        <v>41</v>
      </c>
      <c r="D1598">
        <f t="shared" si="72"/>
        <v>38.799999999999997</v>
      </c>
      <c r="E1598">
        <f t="shared" si="73"/>
        <v>5</v>
      </c>
      <c r="F1598">
        <f t="shared" si="74"/>
        <v>5.3658536585365922E-2</v>
      </c>
    </row>
    <row r="1599" spans="1:6" x14ac:dyDescent="0.25">
      <c r="A1599" t="s">
        <v>139</v>
      </c>
      <c r="B1599" s="1">
        <v>46104</v>
      </c>
      <c r="C1599">
        <v>33</v>
      </c>
      <c r="D1599">
        <f t="shared" si="72"/>
        <v>39.799999999999997</v>
      </c>
      <c r="E1599">
        <f t="shared" si="73"/>
        <v>5</v>
      </c>
      <c r="F1599">
        <f t="shared" si="74"/>
        <v>0.20606060606060597</v>
      </c>
    </row>
    <row r="1600" spans="1:6" x14ac:dyDescent="0.25">
      <c r="A1600" t="s">
        <v>139</v>
      </c>
      <c r="B1600" s="1">
        <v>46111</v>
      </c>
      <c r="C1600">
        <v>22</v>
      </c>
      <c r="D1600">
        <f t="shared" si="72"/>
        <v>35.799999999999997</v>
      </c>
      <c r="E1600">
        <f t="shared" si="73"/>
        <v>5</v>
      </c>
      <c r="F1600">
        <f t="shared" si="74"/>
        <v>0.62727272727272709</v>
      </c>
    </row>
    <row r="1601" spans="1:6" x14ac:dyDescent="0.25">
      <c r="A1601" t="s">
        <v>139</v>
      </c>
      <c r="B1601" s="1">
        <v>46118</v>
      </c>
      <c r="C1601">
        <v>24</v>
      </c>
      <c r="D1601">
        <f t="shared" si="72"/>
        <v>33.200000000000003</v>
      </c>
      <c r="E1601">
        <f t="shared" si="73"/>
        <v>5</v>
      </c>
      <c r="F1601">
        <f t="shared" si="74"/>
        <v>0.38333333333333347</v>
      </c>
    </row>
    <row r="1602" spans="1:6" x14ac:dyDescent="0.25">
      <c r="A1602" t="s">
        <v>139</v>
      </c>
      <c r="B1602" s="1">
        <v>46125</v>
      </c>
      <c r="C1602">
        <v>15</v>
      </c>
      <c r="D1602">
        <f t="shared" ref="D1602:D1665" si="75">IF(E1602 &lt; 5, "", AVERAGEIFS(C:C, A:A, A1602, B:B, "&gt;=" &amp; (B1602-35), B:B, "&lt;=" &amp; (B1602-7)))</f>
        <v>31.4</v>
      </c>
      <c r="E1602">
        <f t="shared" ref="E1602:E1665" si="76">COUNTIFS(A:A, A1602, B:B, "&gt;=" &amp; (B1602-35), B:B, "&lt;=" &amp; (B1602-7))</f>
        <v>5</v>
      </c>
      <c r="F1602">
        <f t="shared" ref="F1602:F1665" si="77">IF(OR(C1602=0, D1602=""), "", ABS(C1602 - D1602) / C1602)</f>
        <v>1.0933333333333333</v>
      </c>
    </row>
    <row r="1603" spans="1:6" x14ac:dyDescent="0.25">
      <c r="A1603" t="s">
        <v>139</v>
      </c>
      <c r="B1603" s="1">
        <v>46132</v>
      </c>
      <c r="C1603">
        <v>22</v>
      </c>
      <c r="D1603">
        <f t="shared" si="75"/>
        <v>27</v>
      </c>
      <c r="E1603">
        <f t="shared" si="76"/>
        <v>5</v>
      </c>
      <c r="F1603">
        <f t="shared" si="77"/>
        <v>0.22727272727272727</v>
      </c>
    </row>
    <row r="1604" spans="1:6" x14ac:dyDescent="0.25">
      <c r="A1604" t="s">
        <v>139</v>
      </c>
      <c r="B1604" s="1">
        <v>46139</v>
      </c>
      <c r="C1604">
        <v>63</v>
      </c>
      <c r="D1604">
        <f t="shared" si="75"/>
        <v>23.2</v>
      </c>
      <c r="E1604">
        <f t="shared" si="76"/>
        <v>5</v>
      </c>
      <c r="F1604">
        <f t="shared" si="77"/>
        <v>0.63174603174603172</v>
      </c>
    </row>
    <row r="1605" spans="1:6" x14ac:dyDescent="0.25">
      <c r="A1605" t="s">
        <v>139</v>
      </c>
      <c r="B1605" s="1">
        <v>46146</v>
      </c>
      <c r="C1605">
        <v>36</v>
      </c>
      <c r="D1605">
        <f t="shared" si="75"/>
        <v>29.2</v>
      </c>
      <c r="E1605">
        <f t="shared" si="76"/>
        <v>5</v>
      </c>
      <c r="F1605">
        <f t="shared" si="77"/>
        <v>0.18888888888888891</v>
      </c>
    </row>
    <row r="1606" spans="1:6" x14ac:dyDescent="0.25">
      <c r="A1606" t="s">
        <v>139</v>
      </c>
      <c r="B1606" s="1">
        <v>46153</v>
      </c>
      <c r="C1606">
        <v>30</v>
      </c>
      <c r="D1606">
        <f t="shared" si="75"/>
        <v>32</v>
      </c>
      <c r="E1606">
        <f t="shared" si="76"/>
        <v>5</v>
      </c>
      <c r="F1606">
        <f t="shared" si="77"/>
        <v>6.6666666666666666E-2</v>
      </c>
    </row>
    <row r="1607" spans="1:6" x14ac:dyDescent="0.25">
      <c r="A1607" t="s">
        <v>139</v>
      </c>
      <c r="B1607" s="1">
        <v>46160</v>
      </c>
      <c r="C1607">
        <v>45</v>
      </c>
      <c r="D1607">
        <f t="shared" si="75"/>
        <v>33.200000000000003</v>
      </c>
      <c r="E1607">
        <f t="shared" si="76"/>
        <v>5</v>
      </c>
      <c r="F1607">
        <f t="shared" si="77"/>
        <v>0.26222222222222213</v>
      </c>
    </row>
    <row r="1608" spans="1:6" x14ac:dyDescent="0.25">
      <c r="A1608" t="s">
        <v>139</v>
      </c>
      <c r="B1608" s="1">
        <v>46167</v>
      </c>
      <c r="C1608">
        <v>60</v>
      </c>
      <c r="D1608">
        <f t="shared" si="75"/>
        <v>39.200000000000003</v>
      </c>
      <c r="E1608">
        <f t="shared" si="76"/>
        <v>5</v>
      </c>
      <c r="F1608">
        <f t="shared" si="77"/>
        <v>0.34666666666666662</v>
      </c>
    </row>
    <row r="1609" spans="1:6" x14ac:dyDescent="0.25">
      <c r="A1609" t="s">
        <v>139</v>
      </c>
      <c r="B1609" s="1">
        <v>46174</v>
      </c>
      <c r="C1609">
        <v>37</v>
      </c>
      <c r="D1609">
        <f t="shared" si="75"/>
        <v>46.8</v>
      </c>
      <c r="E1609">
        <f t="shared" si="76"/>
        <v>5</v>
      </c>
      <c r="F1609">
        <f t="shared" si="77"/>
        <v>0.26486486486486477</v>
      </c>
    </row>
    <row r="1610" spans="1:6" x14ac:dyDescent="0.25">
      <c r="A1610" t="s">
        <v>139</v>
      </c>
      <c r="B1610" s="1">
        <v>46181</v>
      </c>
      <c r="C1610">
        <v>31</v>
      </c>
      <c r="D1610">
        <f t="shared" si="75"/>
        <v>41.6</v>
      </c>
      <c r="E1610">
        <f t="shared" si="76"/>
        <v>5</v>
      </c>
      <c r="F1610">
        <f t="shared" si="77"/>
        <v>0.34193548387096778</v>
      </c>
    </row>
    <row r="1611" spans="1:6" x14ac:dyDescent="0.25">
      <c r="A1611" t="s">
        <v>139</v>
      </c>
      <c r="B1611" s="1">
        <v>46188</v>
      </c>
      <c r="C1611">
        <v>58</v>
      </c>
      <c r="D1611">
        <f t="shared" si="75"/>
        <v>40.6</v>
      </c>
      <c r="E1611">
        <f t="shared" si="76"/>
        <v>5</v>
      </c>
      <c r="F1611">
        <f t="shared" si="77"/>
        <v>0.3</v>
      </c>
    </row>
    <row r="1612" spans="1:6" x14ac:dyDescent="0.25">
      <c r="A1612" t="s">
        <v>139</v>
      </c>
      <c r="B1612" s="1">
        <v>46195</v>
      </c>
      <c r="C1612">
        <v>41</v>
      </c>
      <c r="D1612">
        <f t="shared" si="75"/>
        <v>46.2</v>
      </c>
      <c r="E1612">
        <f t="shared" si="76"/>
        <v>5</v>
      </c>
      <c r="F1612">
        <f t="shared" si="77"/>
        <v>0.12682926829268298</v>
      </c>
    </row>
    <row r="1613" spans="1:6" x14ac:dyDescent="0.25">
      <c r="A1613" t="s">
        <v>139</v>
      </c>
      <c r="B1613" s="1">
        <v>46202</v>
      </c>
      <c r="C1613">
        <v>52</v>
      </c>
      <c r="D1613">
        <f t="shared" si="75"/>
        <v>45.4</v>
      </c>
      <c r="E1613">
        <f t="shared" si="76"/>
        <v>5</v>
      </c>
      <c r="F1613">
        <f t="shared" si="77"/>
        <v>0.12692307692307694</v>
      </c>
    </row>
    <row r="1614" spans="1:6" x14ac:dyDescent="0.25">
      <c r="A1614" t="s">
        <v>141</v>
      </c>
      <c r="B1614" s="1">
        <v>46027</v>
      </c>
      <c r="C1614">
        <v>98</v>
      </c>
      <c r="D1614" t="str">
        <f t="shared" si="75"/>
        <v/>
      </c>
      <c r="E1614">
        <f t="shared" si="76"/>
        <v>0</v>
      </c>
      <c r="F1614" t="str">
        <f t="shared" si="77"/>
        <v/>
      </c>
    </row>
    <row r="1615" spans="1:6" x14ac:dyDescent="0.25">
      <c r="A1615" t="s">
        <v>141</v>
      </c>
      <c r="B1615" s="1">
        <v>46034</v>
      </c>
      <c r="C1615">
        <v>102</v>
      </c>
      <c r="D1615" t="str">
        <f t="shared" si="75"/>
        <v/>
      </c>
      <c r="E1615">
        <f t="shared" si="76"/>
        <v>1</v>
      </c>
      <c r="F1615" t="str">
        <f t="shared" si="77"/>
        <v/>
      </c>
    </row>
    <row r="1616" spans="1:6" x14ac:dyDescent="0.25">
      <c r="A1616" t="s">
        <v>141</v>
      </c>
      <c r="B1616" s="1">
        <v>46041</v>
      </c>
      <c r="C1616">
        <v>86</v>
      </c>
      <c r="D1616" t="str">
        <f t="shared" si="75"/>
        <v/>
      </c>
      <c r="E1616">
        <f t="shared" si="76"/>
        <v>2</v>
      </c>
      <c r="F1616" t="str">
        <f t="shared" si="77"/>
        <v/>
      </c>
    </row>
    <row r="1617" spans="1:6" x14ac:dyDescent="0.25">
      <c r="A1617" t="s">
        <v>141</v>
      </c>
      <c r="B1617" s="1">
        <v>46048</v>
      </c>
      <c r="C1617">
        <v>100</v>
      </c>
      <c r="D1617" t="str">
        <f t="shared" si="75"/>
        <v/>
      </c>
      <c r="E1617">
        <f t="shared" si="76"/>
        <v>3</v>
      </c>
      <c r="F1617" t="str">
        <f t="shared" si="77"/>
        <v/>
      </c>
    </row>
    <row r="1618" spans="1:6" x14ac:dyDescent="0.25">
      <c r="A1618" t="s">
        <v>141</v>
      </c>
      <c r="B1618" s="1">
        <v>46055</v>
      </c>
      <c r="C1618">
        <v>93</v>
      </c>
      <c r="D1618" t="str">
        <f t="shared" si="75"/>
        <v/>
      </c>
      <c r="E1618">
        <f t="shared" si="76"/>
        <v>4</v>
      </c>
      <c r="F1618" t="str">
        <f t="shared" si="77"/>
        <v/>
      </c>
    </row>
    <row r="1619" spans="1:6" x14ac:dyDescent="0.25">
      <c r="A1619" t="s">
        <v>141</v>
      </c>
      <c r="B1619" s="1">
        <v>46062</v>
      </c>
      <c r="C1619">
        <v>105</v>
      </c>
      <c r="D1619">
        <f t="shared" si="75"/>
        <v>95.8</v>
      </c>
      <c r="E1619">
        <f t="shared" si="76"/>
        <v>5</v>
      </c>
      <c r="F1619">
        <f t="shared" si="77"/>
        <v>8.7619047619047652E-2</v>
      </c>
    </row>
    <row r="1620" spans="1:6" x14ac:dyDescent="0.25">
      <c r="A1620" t="s">
        <v>141</v>
      </c>
      <c r="B1620" s="1">
        <v>46069</v>
      </c>
      <c r="C1620">
        <v>112</v>
      </c>
      <c r="D1620">
        <f t="shared" si="75"/>
        <v>97.2</v>
      </c>
      <c r="E1620">
        <f t="shared" si="76"/>
        <v>5</v>
      </c>
      <c r="F1620">
        <f t="shared" si="77"/>
        <v>0.13214285714285712</v>
      </c>
    </row>
    <row r="1621" spans="1:6" x14ac:dyDescent="0.25">
      <c r="A1621" t="s">
        <v>141</v>
      </c>
      <c r="B1621" s="1">
        <v>46076</v>
      </c>
      <c r="C1621">
        <v>103</v>
      </c>
      <c r="D1621">
        <f t="shared" si="75"/>
        <v>99.2</v>
      </c>
      <c r="E1621">
        <f t="shared" si="76"/>
        <v>5</v>
      </c>
      <c r="F1621">
        <f t="shared" si="77"/>
        <v>3.6893203883495117E-2</v>
      </c>
    </row>
    <row r="1622" spans="1:6" x14ac:dyDescent="0.25">
      <c r="A1622" t="s">
        <v>141</v>
      </c>
      <c r="B1622" s="1">
        <v>46083</v>
      </c>
      <c r="C1622">
        <v>103</v>
      </c>
      <c r="D1622">
        <f t="shared" si="75"/>
        <v>102.6</v>
      </c>
      <c r="E1622">
        <f t="shared" si="76"/>
        <v>5</v>
      </c>
      <c r="F1622">
        <f t="shared" si="77"/>
        <v>3.8834951456311233E-3</v>
      </c>
    </row>
    <row r="1623" spans="1:6" x14ac:dyDescent="0.25">
      <c r="A1623" t="s">
        <v>141</v>
      </c>
      <c r="B1623" s="1">
        <v>46090</v>
      </c>
      <c r="C1623">
        <v>107</v>
      </c>
      <c r="D1623">
        <f t="shared" si="75"/>
        <v>103.2</v>
      </c>
      <c r="E1623">
        <f t="shared" si="76"/>
        <v>5</v>
      </c>
      <c r="F1623">
        <f t="shared" si="77"/>
        <v>3.551401869158876E-2</v>
      </c>
    </row>
    <row r="1624" spans="1:6" x14ac:dyDescent="0.25">
      <c r="A1624" t="s">
        <v>141</v>
      </c>
      <c r="B1624" s="1">
        <v>46097</v>
      </c>
      <c r="C1624">
        <v>84</v>
      </c>
      <c r="D1624">
        <f t="shared" si="75"/>
        <v>106</v>
      </c>
      <c r="E1624">
        <f t="shared" si="76"/>
        <v>5</v>
      </c>
      <c r="F1624">
        <f t="shared" si="77"/>
        <v>0.26190476190476192</v>
      </c>
    </row>
    <row r="1625" spans="1:6" x14ac:dyDescent="0.25">
      <c r="A1625" t="s">
        <v>141</v>
      </c>
      <c r="B1625" s="1">
        <v>46104</v>
      </c>
      <c r="C1625">
        <v>114</v>
      </c>
      <c r="D1625">
        <f t="shared" si="75"/>
        <v>101.8</v>
      </c>
      <c r="E1625">
        <f t="shared" si="76"/>
        <v>5</v>
      </c>
      <c r="F1625">
        <f t="shared" si="77"/>
        <v>0.10701754385964915</v>
      </c>
    </row>
    <row r="1626" spans="1:6" x14ac:dyDescent="0.25">
      <c r="A1626" t="s">
        <v>141</v>
      </c>
      <c r="B1626" s="1">
        <v>46111</v>
      </c>
      <c r="C1626">
        <v>114</v>
      </c>
      <c r="D1626">
        <f t="shared" si="75"/>
        <v>102.2</v>
      </c>
      <c r="E1626">
        <f t="shared" si="76"/>
        <v>5</v>
      </c>
      <c r="F1626">
        <f t="shared" si="77"/>
        <v>0.10350877192982454</v>
      </c>
    </row>
    <row r="1627" spans="1:6" x14ac:dyDescent="0.25">
      <c r="A1627" t="s">
        <v>141</v>
      </c>
      <c r="B1627" s="1">
        <v>46118</v>
      </c>
      <c r="C1627">
        <v>112</v>
      </c>
      <c r="D1627">
        <f t="shared" si="75"/>
        <v>104.4</v>
      </c>
      <c r="E1627">
        <f t="shared" si="76"/>
        <v>5</v>
      </c>
      <c r="F1627">
        <f t="shared" si="77"/>
        <v>6.785714285714281E-2</v>
      </c>
    </row>
    <row r="1628" spans="1:6" x14ac:dyDescent="0.25">
      <c r="A1628" t="s">
        <v>141</v>
      </c>
      <c r="B1628" s="1">
        <v>46125</v>
      </c>
      <c r="C1628">
        <v>109</v>
      </c>
      <c r="D1628">
        <f t="shared" si="75"/>
        <v>106.2</v>
      </c>
      <c r="E1628">
        <f t="shared" si="76"/>
        <v>5</v>
      </c>
      <c r="F1628">
        <f t="shared" si="77"/>
        <v>2.5688073394495387E-2</v>
      </c>
    </row>
    <row r="1629" spans="1:6" x14ac:dyDescent="0.25">
      <c r="A1629" t="s">
        <v>141</v>
      </c>
      <c r="B1629" s="1">
        <v>46132</v>
      </c>
      <c r="C1629">
        <v>107</v>
      </c>
      <c r="D1629">
        <f t="shared" si="75"/>
        <v>106.6</v>
      </c>
      <c r="E1629">
        <f t="shared" si="76"/>
        <v>5</v>
      </c>
      <c r="F1629">
        <f t="shared" si="77"/>
        <v>3.7383177570093989E-3</v>
      </c>
    </row>
    <row r="1630" spans="1:6" x14ac:dyDescent="0.25">
      <c r="A1630" t="s">
        <v>141</v>
      </c>
      <c r="B1630" s="1">
        <v>46139</v>
      </c>
      <c r="C1630">
        <v>113</v>
      </c>
      <c r="D1630">
        <f t="shared" si="75"/>
        <v>111.2</v>
      </c>
      <c r="E1630">
        <f t="shared" si="76"/>
        <v>5</v>
      </c>
      <c r="F1630">
        <f t="shared" si="77"/>
        <v>1.5929203539822984E-2</v>
      </c>
    </row>
    <row r="1631" spans="1:6" x14ac:dyDescent="0.25">
      <c r="A1631" t="s">
        <v>141</v>
      </c>
      <c r="B1631" s="1">
        <v>46146</v>
      </c>
      <c r="C1631">
        <v>125</v>
      </c>
      <c r="D1631">
        <f t="shared" si="75"/>
        <v>111</v>
      </c>
      <c r="E1631">
        <f t="shared" si="76"/>
        <v>5</v>
      </c>
      <c r="F1631">
        <f t="shared" si="77"/>
        <v>0.112</v>
      </c>
    </row>
    <row r="1632" spans="1:6" x14ac:dyDescent="0.25">
      <c r="A1632" t="s">
        <v>141</v>
      </c>
      <c r="B1632" s="1">
        <v>46153</v>
      </c>
      <c r="C1632">
        <v>116</v>
      </c>
      <c r="D1632">
        <f t="shared" si="75"/>
        <v>113.2</v>
      </c>
      <c r="E1632">
        <f t="shared" si="76"/>
        <v>5</v>
      </c>
      <c r="F1632">
        <f t="shared" si="77"/>
        <v>2.4137931034482734E-2</v>
      </c>
    </row>
    <row r="1633" spans="1:6" x14ac:dyDescent="0.25">
      <c r="A1633" t="s">
        <v>141</v>
      </c>
      <c r="B1633" s="1">
        <v>46160</v>
      </c>
      <c r="C1633">
        <v>128</v>
      </c>
      <c r="D1633">
        <f t="shared" si="75"/>
        <v>114</v>
      </c>
      <c r="E1633">
        <f t="shared" si="76"/>
        <v>5</v>
      </c>
      <c r="F1633">
        <f t="shared" si="77"/>
        <v>0.109375</v>
      </c>
    </row>
    <row r="1634" spans="1:6" x14ac:dyDescent="0.25">
      <c r="A1634" t="s">
        <v>141</v>
      </c>
      <c r="B1634" s="1">
        <v>46167</v>
      </c>
      <c r="C1634">
        <v>100</v>
      </c>
      <c r="D1634">
        <f t="shared" si="75"/>
        <v>117.8</v>
      </c>
      <c r="E1634">
        <f t="shared" si="76"/>
        <v>5</v>
      </c>
      <c r="F1634">
        <f t="shared" si="77"/>
        <v>0.17799999999999996</v>
      </c>
    </row>
    <row r="1635" spans="1:6" x14ac:dyDescent="0.25">
      <c r="A1635" t="s">
        <v>141</v>
      </c>
      <c r="B1635" s="1">
        <v>46174</v>
      </c>
      <c r="C1635">
        <v>117</v>
      </c>
      <c r="D1635">
        <f t="shared" si="75"/>
        <v>116.4</v>
      </c>
      <c r="E1635">
        <f t="shared" si="76"/>
        <v>5</v>
      </c>
      <c r="F1635">
        <f t="shared" si="77"/>
        <v>5.1282051282050796E-3</v>
      </c>
    </row>
    <row r="1636" spans="1:6" x14ac:dyDescent="0.25">
      <c r="A1636" t="s">
        <v>141</v>
      </c>
      <c r="B1636" s="1">
        <v>46181</v>
      </c>
      <c r="C1636">
        <v>124</v>
      </c>
      <c r="D1636">
        <f t="shared" si="75"/>
        <v>117.2</v>
      </c>
      <c r="E1636">
        <f t="shared" si="76"/>
        <v>5</v>
      </c>
      <c r="F1636">
        <f t="shared" si="77"/>
        <v>5.4838709677419335E-2</v>
      </c>
    </row>
    <row r="1637" spans="1:6" x14ac:dyDescent="0.25">
      <c r="A1637" t="s">
        <v>141</v>
      </c>
      <c r="B1637" s="1">
        <v>46188</v>
      </c>
      <c r="C1637">
        <v>123</v>
      </c>
      <c r="D1637">
        <f t="shared" si="75"/>
        <v>117</v>
      </c>
      <c r="E1637">
        <f t="shared" si="76"/>
        <v>5</v>
      </c>
      <c r="F1637">
        <f t="shared" si="77"/>
        <v>4.878048780487805E-2</v>
      </c>
    </row>
    <row r="1638" spans="1:6" x14ac:dyDescent="0.25">
      <c r="A1638" t="s">
        <v>141</v>
      </c>
      <c r="B1638" s="1">
        <v>46195</v>
      </c>
      <c r="C1638">
        <v>112</v>
      </c>
      <c r="D1638">
        <f t="shared" si="75"/>
        <v>118.4</v>
      </c>
      <c r="E1638">
        <f t="shared" si="76"/>
        <v>5</v>
      </c>
      <c r="F1638">
        <f t="shared" si="77"/>
        <v>5.7142857142857197E-2</v>
      </c>
    </row>
    <row r="1639" spans="1:6" x14ac:dyDescent="0.25">
      <c r="A1639" t="s">
        <v>141</v>
      </c>
      <c r="B1639" s="1">
        <v>46202</v>
      </c>
      <c r="C1639">
        <v>121</v>
      </c>
      <c r="D1639">
        <f t="shared" si="75"/>
        <v>115.2</v>
      </c>
      <c r="E1639">
        <f t="shared" si="76"/>
        <v>5</v>
      </c>
      <c r="F1639">
        <f t="shared" si="77"/>
        <v>4.7933884297520636E-2</v>
      </c>
    </row>
    <row r="1640" spans="1:6" x14ac:dyDescent="0.25">
      <c r="A1640" t="s">
        <v>143</v>
      </c>
      <c r="B1640" s="1">
        <v>46027</v>
      </c>
      <c r="C1640">
        <v>33</v>
      </c>
      <c r="D1640" t="str">
        <f t="shared" si="75"/>
        <v/>
      </c>
      <c r="E1640">
        <f t="shared" si="76"/>
        <v>0</v>
      </c>
      <c r="F1640" t="str">
        <f t="shared" si="77"/>
        <v/>
      </c>
    </row>
    <row r="1641" spans="1:6" x14ac:dyDescent="0.25">
      <c r="A1641" t="s">
        <v>143</v>
      </c>
      <c r="B1641" s="1">
        <v>46034</v>
      </c>
      <c r="C1641">
        <v>33</v>
      </c>
      <c r="D1641" t="str">
        <f t="shared" si="75"/>
        <v/>
      </c>
      <c r="E1641">
        <f t="shared" si="76"/>
        <v>1</v>
      </c>
      <c r="F1641" t="str">
        <f t="shared" si="77"/>
        <v/>
      </c>
    </row>
    <row r="1642" spans="1:6" x14ac:dyDescent="0.25">
      <c r="A1642" t="s">
        <v>143</v>
      </c>
      <c r="B1642" s="1">
        <v>46041</v>
      </c>
      <c r="C1642">
        <v>37</v>
      </c>
      <c r="D1642" t="str">
        <f t="shared" si="75"/>
        <v/>
      </c>
      <c r="E1642">
        <f t="shared" si="76"/>
        <v>2</v>
      </c>
      <c r="F1642" t="str">
        <f t="shared" si="77"/>
        <v/>
      </c>
    </row>
    <row r="1643" spans="1:6" x14ac:dyDescent="0.25">
      <c r="A1643" t="s">
        <v>143</v>
      </c>
      <c r="B1643" s="1">
        <v>46048</v>
      </c>
      <c r="C1643">
        <v>46</v>
      </c>
      <c r="D1643" t="str">
        <f t="shared" si="75"/>
        <v/>
      </c>
      <c r="E1643">
        <f t="shared" si="76"/>
        <v>3</v>
      </c>
      <c r="F1643" t="str">
        <f t="shared" si="77"/>
        <v/>
      </c>
    </row>
    <row r="1644" spans="1:6" x14ac:dyDescent="0.25">
      <c r="A1644" t="s">
        <v>143</v>
      </c>
      <c r="B1644" s="1">
        <v>46055</v>
      </c>
      <c r="C1644">
        <v>46</v>
      </c>
      <c r="D1644" t="str">
        <f t="shared" si="75"/>
        <v/>
      </c>
      <c r="E1644">
        <f t="shared" si="76"/>
        <v>4</v>
      </c>
      <c r="F1644" t="str">
        <f t="shared" si="77"/>
        <v/>
      </c>
    </row>
    <row r="1645" spans="1:6" x14ac:dyDescent="0.25">
      <c r="A1645" t="s">
        <v>143</v>
      </c>
      <c r="B1645" s="1">
        <v>46062</v>
      </c>
      <c r="C1645">
        <v>29</v>
      </c>
      <c r="D1645">
        <f t="shared" si="75"/>
        <v>39</v>
      </c>
      <c r="E1645">
        <f t="shared" si="76"/>
        <v>5</v>
      </c>
      <c r="F1645">
        <f t="shared" si="77"/>
        <v>0.34482758620689657</v>
      </c>
    </row>
    <row r="1646" spans="1:6" x14ac:dyDescent="0.25">
      <c r="A1646" t="s">
        <v>143</v>
      </c>
      <c r="B1646" s="1">
        <v>46069</v>
      </c>
      <c r="C1646">
        <v>53</v>
      </c>
      <c r="D1646">
        <f t="shared" si="75"/>
        <v>38.200000000000003</v>
      </c>
      <c r="E1646">
        <f t="shared" si="76"/>
        <v>5</v>
      </c>
      <c r="F1646">
        <f t="shared" si="77"/>
        <v>0.27924528301886786</v>
      </c>
    </row>
    <row r="1647" spans="1:6" x14ac:dyDescent="0.25">
      <c r="A1647" t="s">
        <v>143</v>
      </c>
      <c r="B1647" s="1">
        <v>46076</v>
      </c>
      <c r="C1647">
        <v>40</v>
      </c>
      <c r="D1647">
        <f t="shared" si="75"/>
        <v>42.2</v>
      </c>
      <c r="E1647">
        <f t="shared" si="76"/>
        <v>5</v>
      </c>
      <c r="F1647">
        <f t="shared" si="77"/>
        <v>5.500000000000007E-2</v>
      </c>
    </row>
    <row r="1648" spans="1:6" x14ac:dyDescent="0.25">
      <c r="A1648" t="s">
        <v>143</v>
      </c>
      <c r="B1648" s="1">
        <v>46083</v>
      </c>
      <c r="C1648">
        <v>40</v>
      </c>
      <c r="D1648">
        <f t="shared" si="75"/>
        <v>42.8</v>
      </c>
      <c r="E1648">
        <f t="shared" si="76"/>
        <v>5</v>
      </c>
      <c r="F1648">
        <f t="shared" si="77"/>
        <v>6.9999999999999923E-2</v>
      </c>
    </row>
    <row r="1649" spans="1:6" x14ac:dyDescent="0.25">
      <c r="A1649" t="s">
        <v>143</v>
      </c>
      <c r="B1649" s="1">
        <v>46090</v>
      </c>
      <c r="C1649">
        <v>56</v>
      </c>
      <c r="D1649">
        <f t="shared" si="75"/>
        <v>41.6</v>
      </c>
      <c r="E1649">
        <f t="shared" si="76"/>
        <v>5</v>
      </c>
      <c r="F1649">
        <f t="shared" si="77"/>
        <v>0.25714285714285712</v>
      </c>
    </row>
    <row r="1650" spans="1:6" x14ac:dyDescent="0.25">
      <c r="A1650" t="s">
        <v>143</v>
      </c>
      <c r="B1650" s="1">
        <v>46097</v>
      </c>
      <c r="C1650">
        <v>45</v>
      </c>
      <c r="D1650">
        <f t="shared" si="75"/>
        <v>43.6</v>
      </c>
      <c r="E1650">
        <f t="shared" si="76"/>
        <v>5</v>
      </c>
      <c r="F1650">
        <f t="shared" si="77"/>
        <v>3.1111111111111079E-2</v>
      </c>
    </row>
    <row r="1651" spans="1:6" x14ac:dyDescent="0.25">
      <c r="A1651" t="s">
        <v>143</v>
      </c>
      <c r="B1651" s="1">
        <v>46104</v>
      </c>
      <c r="C1651">
        <v>38</v>
      </c>
      <c r="D1651">
        <f t="shared" si="75"/>
        <v>46.8</v>
      </c>
      <c r="E1651">
        <f t="shared" si="76"/>
        <v>5</v>
      </c>
      <c r="F1651">
        <f t="shared" si="77"/>
        <v>0.23157894736842097</v>
      </c>
    </row>
    <row r="1652" spans="1:6" x14ac:dyDescent="0.25">
      <c r="A1652" t="s">
        <v>143</v>
      </c>
      <c r="B1652" s="1">
        <v>46111</v>
      </c>
      <c r="C1652">
        <v>42</v>
      </c>
      <c r="D1652">
        <f t="shared" si="75"/>
        <v>43.8</v>
      </c>
      <c r="E1652">
        <f t="shared" si="76"/>
        <v>5</v>
      </c>
      <c r="F1652">
        <f t="shared" si="77"/>
        <v>4.2857142857142788E-2</v>
      </c>
    </row>
    <row r="1653" spans="1:6" x14ac:dyDescent="0.25">
      <c r="A1653" t="s">
        <v>143</v>
      </c>
      <c r="B1653" s="1">
        <v>46118</v>
      </c>
      <c r="C1653">
        <v>42</v>
      </c>
      <c r="D1653">
        <f t="shared" si="75"/>
        <v>44.2</v>
      </c>
      <c r="E1653">
        <f t="shared" si="76"/>
        <v>5</v>
      </c>
      <c r="F1653">
        <f t="shared" si="77"/>
        <v>5.2380952380952452E-2</v>
      </c>
    </row>
    <row r="1654" spans="1:6" x14ac:dyDescent="0.25">
      <c r="A1654" t="s">
        <v>143</v>
      </c>
      <c r="B1654" s="1">
        <v>46125</v>
      </c>
      <c r="C1654">
        <v>41</v>
      </c>
      <c r="D1654">
        <f t="shared" si="75"/>
        <v>44.6</v>
      </c>
      <c r="E1654">
        <f t="shared" si="76"/>
        <v>5</v>
      </c>
      <c r="F1654">
        <f t="shared" si="77"/>
        <v>8.7804878048780524E-2</v>
      </c>
    </row>
    <row r="1655" spans="1:6" x14ac:dyDescent="0.25">
      <c r="A1655" t="s">
        <v>143</v>
      </c>
      <c r="B1655" s="1">
        <v>46132</v>
      </c>
      <c r="C1655">
        <v>46</v>
      </c>
      <c r="D1655">
        <f t="shared" si="75"/>
        <v>41.6</v>
      </c>
      <c r="E1655">
        <f t="shared" si="76"/>
        <v>5</v>
      </c>
      <c r="F1655">
        <f t="shared" si="77"/>
        <v>9.5652173913043453E-2</v>
      </c>
    </row>
    <row r="1656" spans="1:6" x14ac:dyDescent="0.25">
      <c r="A1656" t="s">
        <v>143</v>
      </c>
      <c r="B1656" s="1">
        <v>46139</v>
      </c>
      <c r="C1656">
        <v>54</v>
      </c>
      <c r="D1656">
        <f t="shared" si="75"/>
        <v>41.8</v>
      </c>
      <c r="E1656">
        <f t="shared" si="76"/>
        <v>5</v>
      </c>
      <c r="F1656">
        <f t="shared" si="77"/>
        <v>0.22592592592592597</v>
      </c>
    </row>
    <row r="1657" spans="1:6" x14ac:dyDescent="0.25">
      <c r="A1657" t="s">
        <v>143</v>
      </c>
      <c r="B1657" s="1">
        <v>46146</v>
      </c>
      <c r="C1657">
        <v>51</v>
      </c>
      <c r="D1657">
        <f t="shared" si="75"/>
        <v>45</v>
      </c>
      <c r="E1657">
        <f t="shared" si="76"/>
        <v>5</v>
      </c>
      <c r="F1657">
        <f t="shared" si="77"/>
        <v>0.11764705882352941</v>
      </c>
    </row>
    <row r="1658" spans="1:6" x14ac:dyDescent="0.25">
      <c r="A1658" t="s">
        <v>143</v>
      </c>
      <c r="B1658" s="1">
        <v>46153</v>
      </c>
      <c r="C1658">
        <v>41</v>
      </c>
      <c r="D1658">
        <f t="shared" si="75"/>
        <v>46.8</v>
      </c>
      <c r="E1658">
        <f t="shared" si="76"/>
        <v>5</v>
      </c>
      <c r="F1658">
        <f t="shared" si="77"/>
        <v>0.14146341463414627</v>
      </c>
    </row>
    <row r="1659" spans="1:6" x14ac:dyDescent="0.25">
      <c r="A1659" t="s">
        <v>143</v>
      </c>
      <c r="B1659" s="1">
        <v>46160</v>
      </c>
      <c r="C1659">
        <v>69</v>
      </c>
      <c r="D1659">
        <f t="shared" si="75"/>
        <v>46.6</v>
      </c>
      <c r="E1659">
        <f t="shared" si="76"/>
        <v>5</v>
      </c>
      <c r="F1659">
        <f t="shared" si="77"/>
        <v>0.32463768115942027</v>
      </c>
    </row>
    <row r="1660" spans="1:6" x14ac:dyDescent="0.25">
      <c r="A1660" t="s">
        <v>143</v>
      </c>
      <c r="B1660" s="1">
        <v>46167</v>
      </c>
      <c r="C1660">
        <v>44</v>
      </c>
      <c r="D1660">
        <f t="shared" si="75"/>
        <v>52.2</v>
      </c>
      <c r="E1660">
        <f t="shared" si="76"/>
        <v>5</v>
      </c>
      <c r="F1660">
        <f t="shared" si="77"/>
        <v>0.18636363636363643</v>
      </c>
    </row>
    <row r="1661" spans="1:6" x14ac:dyDescent="0.25">
      <c r="A1661" t="s">
        <v>143</v>
      </c>
      <c r="B1661" s="1">
        <v>46174</v>
      </c>
      <c r="C1661">
        <v>52</v>
      </c>
      <c r="D1661">
        <f t="shared" si="75"/>
        <v>51.8</v>
      </c>
      <c r="E1661">
        <f t="shared" si="76"/>
        <v>5</v>
      </c>
      <c r="F1661">
        <f t="shared" si="77"/>
        <v>3.846153846153901E-3</v>
      </c>
    </row>
    <row r="1662" spans="1:6" x14ac:dyDescent="0.25">
      <c r="A1662" t="s">
        <v>143</v>
      </c>
      <c r="B1662" s="1">
        <v>46181</v>
      </c>
      <c r="C1662">
        <v>52</v>
      </c>
      <c r="D1662">
        <f t="shared" si="75"/>
        <v>51.4</v>
      </c>
      <c r="E1662">
        <f t="shared" si="76"/>
        <v>5</v>
      </c>
      <c r="F1662">
        <f t="shared" si="77"/>
        <v>1.1538461538461565E-2</v>
      </c>
    </row>
    <row r="1663" spans="1:6" x14ac:dyDescent="0.25">
      <c r="A1663" t="s">
        <v>143</v>
      </c>
      <c r="B1663" s="1">
        <v>46188</v>
      </c>
      <c r="C1663">
        <v>57</v>
      </c>
      <c r="D1663">
        <f t="shared" si="75"/>
        <v>51.6</v>
      </c>
      <c r="E1663">
        <f t="shared" si="76"/>
        <v>5</v>
      </c>
      <c r="F1663">
        <f t="shared" si="77"/>
        <v>9.4736842105263133E-2</v>
      </c>
    </row>
    <row r="1664" spans="1:6" x14ac:dyDescent="0.25">
      <c r="A1664" t="s">
        <v>143</v>
      </c>
      <c r="B1664" s="1">
        <v>46195</v>
      </c>
      <c r="C1664">
        <v>51</v>
      </c>
      <c r="D1664">
        <f t="shared" si="75"/>
        <v>54.8</v>
      </c>
      <c r="E1664">
        <f t="shared" si="76"/>
        <v>5</v>
      </c>
      <c r="F1664">
        <f t="shared" si="77"/>
        <v>7.4509803921568571E-2</v>
      </c>
    </row>
    <row r="1665" spans="1:6" x14ac:dyDescent="0.25">
      <c r="A1665" t="s">
        <v>143</v>
      </c>
      <c r="B1665" s="1">
        <v>46202</v>
      </c>
      <c r="C1665">
        <v>56</v>
      </c>
      <c r="D1665">
        <f t="shared" si="75"/>
        <v>51.2</v>
      </c>
      <c r="E1665">
        <f t="shared" si="76"/>
        <v>5</v>
      </c>
      <c r="F1665">
        <f t="shared" si="77"/>
        <v>8.571428571428566E-2</v>
      </c>
    </row>
    <row r="1666" spans="1:6" x14ac:dyDescent="0.25">
      <c r="A1666" t="s">
        <v>145</v>
      </c>
      <c r="B1666" s="1">
        <v>46027</v>
      </c>
      <c r="C1666">
        <v>14</v>
      </c>
      <c r="D1666" t="str">
        <f t="shared" ref="D1666:D1729" si="78">IF(E1666 &lt; 5, "", AVERAGEIFS(C:C, A:A, A1666, B:B, "&gt;=" &amp; (B1666-35), B:B, "&lt;=" &amp; (B1666-7)))</f>
        <v/>
      </c>
      <c r="E1666">
        <f t="shared" ref="E1666:E1729" si="79">COUNTIFS(A:A, A1666, B:B, "&gt;=" &amp; (B1666-35), B:B, "&lt;=" &amp; (B1666-7))</f>
        <v>0</v>
      </c>
      <c r="F1666" t="str">
        <f t="shared" ref="F1666:F1729" si="80">IF(OR(C1666=0, D1666=""), "", ABS(C1666 - D1666) / C1666)</f>
        <v/>
      </c>
    </row>
    <row r="1667" spans="1:6" x14ac:dyDescent="0.25">
      <c r="A1667" t="s">
        <v>145</v>
      </c>
      <c r="B1667" s="1">
        <v>46034</v>
      </c>
      <c r="C1667">
        <v>13</v>
      </c>
      <c r="D1667" t="str">
        <f t="shared" si="78"/>
        <v/>
      </c>
      <c r="E1667">
        <f t="shared" si="79"/>
        <v>1</v>
      </c>
      <c r="F1667" t="str">
        <f t="shared" si="80"/>
        <v/>
      </c>
    </row>
    <row r="1668" spans="1:6" x14ac:dyDescent="0.25">
      <c r="A1668" t="s">
        <v>145</v>
      </c>
      <c r="B1668" s="1">
        <v>46041</v>
      </c>
      <c r="C1668">
        <v>12</v>
      </c>
      <c r="D1668" t="str">
        <f t="shared" si="78"/>
        <v/>
      </c>
      <c r="E1668">
        <f t="shared" si="79"/>
        <v>2</v>
      </c>
      <c r="F1668" t="str">
        <f t="shared" si="80"/>
        <v/>
      </c>
    </row>
    <row r="1669" spans="1:6" x14ac:dyDescent="0.25">
      <c r="A1669" t="s">
        <v>145</v>
      </c>
      <c r="B1669" s="1">
        <v>46048</v>
      </c>
      <c r="C1669">
        <v>19</v>
      </c>
      <c r="D1669" t="str">
        <f t="shared" si="78"/>
        <v/>
      </c>
      <c r="E1669">
        <f t="shared" si="79"/>
        <v>3</v>
      </c>
      <c r="F1669" t="str">
        <f t="shared" si="80"/>
        <v/>
      </c>
    </row>
    <row r="1670" spans="1:6" x14ac:dyDescent="0.25">
      <c r="A1670" t="s">
        <v>145</v>
      </c>
      <c r="B1670" s="1">
        <v>46055</v>
      </c>
      <c r="C1670">
        <v>19</v>
      </c>
      <c r="D1670" t="str">
        <f t="shared" si="78"/>
        <v/>
      </c>
      <c r="E1670">
        <f t="shared" si="79"/>
        <v>4</v>
      </c>
      <c r="F1670" t="str">
        <f t="shared" si="80"/>
        <v/>
      </c>
    </row>
    <row r="1671" spans="1:6" x14ac:dyDescent="0.25">
      <c r="A1671" t="s">
        <v>145</v>
      </c>
      <c r="B1671" s="1">
        <v>46062</v>
      </c>
      <c r="C1671">
        <v>14</v>
      </c>
      <c r="D1671">
        <f t="shared" si="78"/>
        <v>15.4</v>
      </c>
      <c r="E1671">
        <f t="shared" si="79"/>
        <v>5</v>
      </c>
      <c r="F1671">
        <f t="shared" si="80"/>
        <v>0.10000000000000002</v>
      </c>
    </row>
    <row r="1672" spans="1:6" x14ac:dyDescent="0.25">
      <c r="A1672" t="s">
        <v>145</v>
      </c>
      <c r="B1672" s="1">
        <v>46069</v>
      </c>
      <c r="C1672">
        <v>19</v>
      </c>
      <c r="D1672">
        <f t="shared" si="78"/>
        <v>15.4</v>
      </c>
      <c r="E1672">
        <f t="shared" si="79"/>
        <v>5</v>
      </c>
      <c r="F1672">
        <f t="shared" si="80"/>
        <v>0.18947368421052629</v>
      </c>
    </row>
    <row r="1673" spans="1:6" x14ac:dyDescent="0.25">
      <c r="A1673" t="s">
        <v>145</v>
      </c>
      <c r="B1673" s="1">
        <v>46076</v>
      </c>
      <c r="C1673">
        <v>20</v>
      </c>
      <c r="D1673">
        <f t="shared" si="78"/>
        <v>16.600000000000001</v>
      </c>
      <c r="E1673">
        <f t="shared" si="79"/>
        <v>5</v>
      </c>
      <c r="F1673">
        <f t="shared" si="80"/>
        <v>0.16999999999999993</v>
      </c>
    </row>
    <row r="1674" spans="1:6" x14ac:dyDescent="0.25">
      <c r="A1674" t="s">
        <v>145</v>
      </c>
      <c r="B1674" s="1">
        <v>46083</v>
      </c>
      <c r="C1674">
        <v>17</v>
      </c>
      <c r="D1674">
        <f t="shared" si="78"/>
        <v>18.2</v>
      </c>
      <c r="E1674">
        <f t="shared" si="79"/>
        <v>5</v>
      </c>
      <c r="F1674">
        <f t="shared" si="80"/>
        <v>7.0588235294117604E-2</v>
      </c>
    </row>
    <row r="1675" spans="1:6" x14ac:dyDescent="0.25">
      <c r="A1675" t="s">
        <v>145</v>
      </c>
      <c r="B1675" s="1">
        <v>46090</v>
      </c>
      <c r="C1675">
        <v>20</v>
      </c>
      <c r="D1675">
        <f t="shared" si="78"/>
        <v>17.8</v>
      </c>
      <c r="E1675">
        <f t="shared" si="79"/>
        <v>5</v>
      </c>
      <c r="F1675">
        <f t="shared" si="80"/>
        <v>0.10999999999999996</v>
      </c>
    </row>
    <row r="1676" spans="1:6" x14ac:dyDescent="0.25">
      <c r="A1676" t="s">
        <v>145</v>
      </c>
      <c r="B1676" s="1">
        <v>46097</v>
      </c>
      <c r="C1676">
        <v>13</v>
      </c>
      <c r="D1676">
        <f t="shared" si="78"/>
        <v>18</v>
      </c>
      <c r="E1676">
        <f t="shared" si="79"/>
        <v>5</v>
      </c>
      <c r="F1676">
        <f t="shared" si="80"/>
        <v>0.38461538461538464</v>
      </c>
    </row>
    <row r="1677" spans="1:6" x14ac:dyDescent="0.25">
      <c r="A1677" t="s">
        <v>145</v>
      </c>
      <c r="B1677" s="1">
        <v>46104</v>
      </c>
      <c r="C1677">
        <v>11</v>
      </c>
      <c r="D1677">
        <f t="shared" si="78"/>
        <v>17.8</v>
      </c>
      <c r="E1677">
        <f t="shared" si="79"/>
        <v>5</v>
      </c>
      <c r="F1677">
        <f t="shared" si="80"/>
        <v>0.61818181818181828</v>
      </c>
    </row>
    <row r="1678" spans="1:6" x14ac:dyDescent="0.25">
      <c r="A1678" t="s">
        <v>145</v>
      </c>
      <c r="B1678" s="1">
        <v>46111</v>
      </c>
      <c r="C1678">
        <v>19</v>
      </c>
      <c r="D1678">
        <f t="shared" si="78"/>
        <v>16.2</v>
      </c>
      <c r="E1678">
        <f t="shared" si="79"/>
        <v>5</v>
      </c>
      <c r="F1678">
        <f t="shared" si="80"/>
        <v>0.14736842105263162</v>
      </c>
    </row>
    <row r="1679" spans="1:6" x14ac:dyDescent="0.25">
      <c r="A1679" t="s">
        <v>145</v>
      </c>
      <c r="B1679" s="1">
        <v>46118</v>
      </c>
      <c r="C1679">
        <v>18</v>
      </c>
      <c r="D1679">
        <f t="shared" si="78"/>
        <v>16</v>
      </c>
      <c r="E1679">
        <f t="shared" si="79"/>
        <v>5</v>
      </c>
      <c r="F1679">
        <f t="shared" si="80"/>
        <v>0.1111111111111111</v>
      </c>
    </row>
    <row r="1680" spans="1:6" x14ac:dyDescent="0.25">
      <c r="A1680" t="s">
        <v>145</v>
      </c>
      <c r="B1680" s="1">
        <v>46125</v>
      </c>
      <c r="C1680">
        <v>21</v>
      </c>
      <c r="D1680">
        <f t="shared" si="78"/>
        <v>16.2</v>
      </c>
      <c r="E1680">
        <f t="shared" si="79"/>
        <v>5</v>
      </c>
      <c r="F1680">
        <f t="shared" si="80"/>
        <v>0.22857142857142859</v>
      </c>
    </row>
    <row r="1681" spans="1:6" x14ac:dyDescent="0.25">
      <c r="A1681" t="s">
        <v>145</v>
      </c>
      <c r="B1681" s="1">
        <v>46132</v>
      </c>
      <c r="C1681">
        <v>16</v>
      </c>
      <c r="D1681">
        <f t="shared" si="78"/>
        <v>16.399999999999999</v>
      </c>
      <c r="E1681">
        <f t="shared" si="79"/>
        <v>5</v>
      </c>
      <c r="F1681">
        <f t="shared" si="80"/>
        <v>2.4999999999999911E-2</v>
      </c>
    </row>
    <row r="1682" spans="1:6" x14ac:dyDescent="0.25">
      <c r="A1682" t="s">
        <v>145</v>
      </c>
      <c r="B1682" s="1">
        <v>46139</v>
      </c>
      <c r="C1682">
        <v>17</v>
      </c>
      <c r="D1682">
        <f t="shared" si="78"/>
        <v>17</v>
      </c>
      <c r="E1682">
        <f t="shared" si="79"/>
        <v>5</v>
      </c>
      <c r="F1682">
        <f t="shared" si="80"/>
        <v>0</v>
      </c>
    </row>
    <row r="1683" spans="1:6" x14ac:dyDescent="0.25">
      <c r="A1683" t="s">
        <v>145</v>
      </c>
      <c r="B1683" s="1">
        <v>46146</v>
      </c>
      <c r="C1683">
        <v>21</v>
      </c>
      <c r="D1683">
        <f t="shared" si="78"/>
        <v>18.2</v>
      </c>
      <c r="E1683">
        <f t="shared" si="79"/>
        <v>5</v>
      </c>
      <c r="F1683">
        <f t="shared" si="80"/>
        <v>0.13333333333333336</v>
      </c>
    </row>
    <row r="1684" spans="1:6" x14ac:dyDescent="0.25">
      <c r="A1684" t="s">
        <v>145</v>
      </c>
      <c r="B1684" s="1">
        <v>46153</v>
      </c>
      <c r="C1684">
        <v>11</v>
      </c>
      <c r="D1684">
        <f t="shared" si="78"/>
        <v>18.600000000000001</v>
      </c>
      <c r="E1684">
        <f t="shared" si="79"/>
        <v>5</v>
      </c>
      <c r="F1684">
        <f t="shared" si="80"/>
        <v>0.69090909090909103</v>
      </c>
    </row>
    <row r="1685" spans="1:6" x14ac:dyDescent="0.25">
      <c r="A1685" t="s">
        <v>145</v>
      </c>
      <c r="B1685" s="1">
        <v>46160</v>
      </c>
      <c r="C1685">
        <v>20</v>
      </c>
      <c r="D1685">
        <f t="shared" si="78"/>
        <v>17.2</v>
      </c>
      <c r="E1685">
        <f t="shared" si="79"/>
        <v>5</v>
      </c>
      <c r="F1685">
        <f t="shared" si="80"/>
        <v>0.14000000000000004</v>
      </c>
    </row>
    <row r="1686" spans="1:6" x14ac:dyDescent="0.25">
      <c r="A1686" t="s">
        <v>145</v>
      </c>
      <c r="B1686" s="1">
        <v>46167</v>
      </c>
      <c r="C1686">
        <v>17</v>
      </c>
      <c r="D1686">
        <f t="shared" si="78"/>
        <v>17</v>
      </c>
      <c r="E1686">
        <f t="shared" si="79"/>
        <v>5</v>
      </c>
      <c r="F1686">
        <f t="shared" si="80"/>
        <v>0</v>
      </c>
    </row>
    <row r="1687" spans="1:6" x14ac:dyDescent="0.25">
      <c r="A1687" t="s">
        <v>145</v>
      </c>
      <c r="B1687" s="1">
        <v>46174</v>
      </c>
      <c r="C1687">
        <v>15</v>
      </c>
      <c r="D1687">
        <f t="shared" si="78"/>
        <v>17.2</v>
      </c>
      <c r="E1687">
        <f t="shared" si="79"/>
        <v>5</v>
      </c>
      <c r="F1687">
        <f t="shared" si="80"/>
        <v>0.14666666666666661</v>
      </c>
    </row>
    <row r="1688" spans="1:6" x14ac:dyDescent="0.25">
      <c r="A1688" t="s">
        <v>145</v>
      </c>
      <c r="B1688" s="1">
        <v>46181</v>
      </c>
      <c r="C1688">
        <v>24</v>
      </c>
      <c r="D1688">
        <f t="shared" si="78"/>
        <v>16.8</v>
      </c>
      <c r="E1688">
        <f t="shared" si="79"/>
        <v>5</v>
      </c>
      <c r="F1688">
        <f t="shared" si="80"/>
        <v>0.3</v>
      </c>
    </row>
    <row r="1689" spans="1:6" x14ac:dyDescent="0.25">
      <c r="A1689" t="s">
        <v>145</v>
      </c>
      <c r="B1689" s="1">
        <v>46188</v>
      </c>
      <c r="C1689">
        <v>17</v>
      </c>
      <c r="D1689">
        <f t="shared" si="78"/>
        <v>17.399999999999999</v>
      </c>
      <c r="E1689">
        <f t="shared" si="79"/>
        <v>5</v>
      </c>
      <c r="F1689">
        <f t="shared" si="80"/>
        <v>2.3529411764705799E-2</v>
      </c>
    </row>
    <row r="1690" spans="1:6" x14ac:dyDescent="0.25">
      <c r="A1690" t="s">
        <v>145</v>
      </c>
      <c r="B1690" s="1">
        <v>46195</v>
      </c>
      <c r="C1690">
        <v>19</v>
      </c>
      <c r="D1690">
        <f t="shared" si="78"/>
        <v>18.600000000000001</v>
      </c>
      <c r="E1690">
        <f t="shared" si="79"/>
        <v>5</v>
      </c>
      <c r="F1690">
        <f t="shared" si="80"/>
        <v>2.1052631578947295E-2</v>
      </c>
    </row>
    <row r="1691" spans="1:6" x14ac:dyDescent="0.25">
      <c r="A1691" t="s">
        <v>145</v>
      </c>
      <c r="B1691" s="1">
        <v>46202</v>
      </c>
      <c r="C1691">
        <v>22</v>
      </c>
      <c r="D1691">
        <f t="shared" si="78"/>
        <v>18.399999999999999</v>
      </c>
      <c r="E1691">
        <f t="shared" si="79"/>
        <v>5</v>
      </c>
      <c r="F1691">
        <f t="shared" si="80"/>
        <v>0.16363636363636369</v>
      </c>
    </row>
    <row r="1692" spans="1:6" x14ac:dyDescent="0.25">
      <c r="A1692" t="s">
        <v>147</v>
      </c>
      <c r="B1692" s="1">
        <v>46027</v>
      </c>
      <c r="C1692">
        <v>48</v>
      </c>
      <c r="D1692" t="str">
        <f t="shared" si="78"/>
        <v/>
      </c>
      <c r="E1692">
        <f t="shared" si="79"/>
        <v>0</v>
      </c>
      <c r="F1692" t="str">
        <f t="shared" si="80"/>
        <v/>
      </c>
    </row>
    <row r="1693" spans="1:6" x14ac:dyDescent="0.25">
      <c r="A1693" t="s">
        <v>147</v>
      </c>
      <c r="B1693" s="1">
        <v>46034</v>
      </c>
      <c r="C1693">
        <v>38</v>
      </c>
      <c r="D1693" t="str">
        <f t="shared" si="78"/>
        <v/>
      </c>
      <c r="E1693">
        <f t="shared" si="79"/>
        <v>1</v>
      </c>
      <c r="F1693" t="str">
        <f t="shared" si="80"/>
        <v/>
      </c>
    </row>
    <row r="1694" spans="1:6" x14ac:dyDescent="0.25">
      <c r="A1694" t="s">
        <v>147</v>
      </c>
      <c r="B1694" s="1">
        <v>46041</v>
      </c>
      <c r="C1694">
        <v>48</v>
      </c>
      <c r="D1694" t="str">
        <f t="shared" si="78"/>
        <v/>
      </c>
      <c r="E1694">
        <f t="shared" si="79"/>
        <v>2</v>
      </c>
      <c r="F1694" t="str">
        <f t="shared" si="80"/>
        <v/>
      </c>
    </row>
    <row r="1695" spans="1:6" x14ac:dyDescent="0.25">
      <c r="A1695" t="s">
        <v>147</v>
      </c>
      <c r="B1695" s="1">
        <v>46048</v>
      </c>
      <c r="C1695">
        <v>50</v>
      </c>
      <c r="D1695" t="str">
        <f t="shared" si="78"/>
        <v/>
      </c>
      <c r="E1695">
        <f t="shared" si="79"/>
        <v>3</v>
      </c>
      <c r="F1695" t="str">
        <f t="shared" si="80"/>
        <v/>
      </c>
    </row>
    <row r="1696" spans="1:6" x14ac:dyDescent="0.25">
      <c r="A1696" t="s">
        <v>147</v>
      </c>
      <c r="B1696" s="1">
        <v>46055</v>
      </c>
      <c r="C1696">
        <v>57</v>
      </c>
      <c r="D1696" t="str">
        <f t="shared" si="78"/>
        <v/>
      </c>
      <c r="E1696">
        <f t="shared" si="79"/>
        <v>4</v>
      </c>
      <c r="F1696" t="str">
        <f t="shared" si="80"/>
        <v/>
      </c>
    </row>
    <row r="1697" spans="1:6" x14ac:dyDescent="0.25">
      <c r="A1697" t="s">
        <v>147</v>
      </c>
      <c r="B1697" s="1">
        <v>46062</v>
      </c>
      <c r="C1697">
        <v>52</v>
      </c>
      <c r="D1697">
        <f t="shared" si="78"/>
        <v>48.2</v>
      </c>
      <c r="E1697">
        <f t="shared" si="79"/>
        <v>5</v>
      </c>
      <c r="F1697">
        <f t="shared" si="80"/>
        <v>7.3076923076923025E-2</v>
      </c>
    </row>
    <row r="1698" spans="1:6" x14ac:dyDescent="0.25">
      <c r="A1698" t="s">
        <v>147</v>
      </c>
      <c r="B1698" s="1">
        <v>46069</v>
      </c>
      <c r="C1698">
        <v>55</v>
      </c>
      <c r="D1698">
        <f t="shared" si="78"/>
        <v>49</v>
      </c>
      <c r="E1698">
        <f t="shared" si="79"/>
        <v>5</v>
      </c>
      <c r="F1698">
        <f t="shared" si="80"/>
        <v>0.10909090909090909</v>
      </c>
    </row>
    <row r="1699" spans="1:6" x14ac:dyDescent="0.25">
      <c r="A1699" t="s">
        <v>147</v>
      </c>
      <c r="B1699" s="1">
        <v>46076</v>
      </c>
      <c r="C1699">
        <v>48</v>
      </c>
      <c r="D1699">
        <f t="shared" si="78"/>
        <v>52.4</v>
      </c>
      <c r="E1699">
        <f t="shared" si="79"/>
        <v>5</v>
      </c>
      <c r="F1699">
        <f t="shared" si="80"/>
        <v>9.1666666666666632E-2</v>
      </c>
    </row>
    <row r="1700" spans="1:6" x14ac:dyDescent="0.25">
      <c r="A1700" t="s">
        <v>147</v>
      </c>
      <c r="B1700" s="1">
        <v>46083</v>
      </c>
      <c r="C1700">
        <v>49</v>
      </c>
      <c r="D1700">
        <f t="shared" si="78"/>
        <v>52.4</v>
      </c>
      <c r="E1700">
        <f t="shared" si="79"/>
        <v>5</v>
      </c>
      <c r="F1700">
        <f t="shared" si="80"/>
        <v>6.9387755102040788E-2</v>
      </c>
    </row>
    <row r="1701" spans="1:6" x14ac:dyDescent="0.25">
      <c r="A1701" t="s">
        <v>147</v>
      </c>
      <c r="B1701" s="1">
        <v>46090</v>
      </c>
      <c r="C1701">
        <v>53</v>
      </c>
      <c r="D1701">
        <f t="shared" si="78"/>
        <v>52.2</v>
      </c>
      <c r="E1701">
        <f t="shared" si="79"/>
        <v>5</v>
      </c>
      <c r="F1701">
        <f t="shared" si="80"/>
        <v>1.5094339622641456E-2</v>
      </c>
    </row>
    <row r="1702" spans="1:6" x14ac:dyDescent="0.25">
      <c r="A1702" t="s">
        <v>147</v>
      </c>
      <c r="B1702" s="1">
        <v>46097</v>
      </c>
      <c r="C1702">
        <v>53</v>
      </c>
      <c r="D1702">
        <f t="shared" si="78"/>
        <v>51.4</v>
      </c>
      <c r="E1702">
        <f t="shared" si="79"/>
        <v>5</v>
      </c>
      <c r="F1702">
        <f t="shared" si="80"/>
        <v>3.0188679245283047E-2</v>
      </c>
    </row>
    <row r="1703" spans="1:6" x14ac:dyDescent="0.25">
      <c r="A1703" t="s">
        <v>147</v>
      </c>
      <c r="B1703" s="1">
        <v>46104</v>
      </c>
      <c r="C1703">
        <v>56</v>
      </c>
      <c r="D1703">
        <f t="shared" si="78"/>
        <v>51.6</v>
      </c>
      <c r="E1703">
        <f t="shared" si="79"/>
        <v>5</v>
      </c>
      <c r="F1703">
        <f t="shared" si="80"/>
        <v>7.8571428571428542E-2</v>
      </c>
    </row>
    <row r="1704" spans="1:6" x14ac:dyDescent="0.25">
      <c r="A1704" t="s">
        <v>147</v>
      </c>
      <c r="B1704" s="1">
        <v>46111</v>
      </c>
      <c r="C1704">
        <v>56</v>
      </c>
      <c r="D1704">
        <f t="shared" si="78"/>
        <v>51.8</v>
      </c>
      <c r="E1704">
        <f t="shared" si="79"/>
        <v>5</v>
      </c>
      <c r="F1704">
        <f t="shared" si="80"/>
        <v>7.5000000000000053E-2</v>
      </c>
    </row>
    <row r="1705" spans="1:6" x14ac:dyDescent="0.25">
      <c r="A1705" t="s">
        <v>147</v>
      </c>
      <c r="B1705" s="1">
        <v>46118</v>
      </c>
      <c r="C1705">
        <v>57</v>
      </c>
      <c r="D1705">
        <f t="shared" si="78"/>
        <v>53.4</v>
      </c>
      <c r="E1705">
        <f t="shared" si="79"/>
        <v>5</v>
      </c>
      <c r="F1705">
        <f t="shared" si="80"/>
        <v>6.3157894736842135E-2</v>
      </c>
    </row>
    <row r="1706" spans="1:6" x14ac:dyDescent="0.25">
      <c r="A1706" t="s">
        <v>147</v>
      </c>
      <c r="B1706" s="1">
        <v>46125</v>
      </c>
      <c r="C1706">
        <v>67</v>
      </c>
      <c r="D1706">
        <f t="shared" si="78"/>
        <v>55</v>
      </c>
      <c r="E1706">
        <f t="shared" si="79"/>
        <v>5</v>
      </c>
      <c r="F1706">
        <f t="shared" si="80"/>
        <v>0.17910447761194029</v>
      </c>
    </row>
    <row r="1707" spans="1:6" x14ac:dyDescent="0.25">
      <c r="A1707" t="s">
        <v>147</v>
      </c>
      <c r="B1707" s="1">
        <v>46132</v>
      </c>
      <c r="C1707">
        <v>62</v>
      </c>
      <c r="D1707">
        <f t="shared" si="78"/>
        <v>57.8</v>
      </c>
      <c r="E1707">
        <f t="shared" si="79"/>
        <v>5</v>
      </c>
      <c r="F1707">
        <f t="shared" si="80"/>
        <v>6.7741935483871016E-2</v>
      </c>
    </row>
    <row r="1708" spans="1:6" x14ac:dyDescent="0.25">
      <c r="A1708" t="s">
        <v>147</v>
      </c>
      <c r="B1708" s="1">
        <v>46139</v>
      </c>
      <c r="C1708">
        <v>47</v>
      </c>
      <c r="D1708">
        <f t="shared" si="78"/>
        <v>59.6</v>
      </c>
      <c r="E1708">
        <f t="shared" si="79"/>
        <v>5</v>
      </c>
      <c r="F1708">
        <f t="shared" si="80"/>
        <v>0.26808510638297878</v>
      </c>
    </row>
    <row r="1709" spans="1:6" x14ac:dyDescent="0.25">
      <c r="A1709" t="s">
        <v>147</v>
      </c>
      <c r="B1709" s="1">
        <v>46146</v>
      </c>
      <c r="C1709">
        <v>53</v>
      </c>
      <c r="D1709">
        <f t="shared" si="78"/>
        <v>57.8</v>
      </c>
      <c r="E1709">
        <f t="shared" si="79"/>
        <v>5</v>
      </c>
      <c r="F1709">
        <f t="shared" si="80"/>
        <v>9.0566037735849009E-2</v>
      </c>
    </row>
    <row r="1710" spans="1:6" x14ac:dyDescent="0.25">
      <c r="A1710" t="s">
        <v>147</v>
      </c>
      <c r="B1710" s="1">
        <v>46153</v>
      </c>
      <c r="C1710">
        <v>64</v>
      </c>
      <c r="D1710">
        <f t="shared" si="78"/>
        <v>57.2</v>
      </c>
      <c r="E1710">
        <f t="shared" si="79"/>
        <v>5</v>
      </c>
      <c r="F1710">
        <f t="shared" si="80"/>
        <v>0.10624999999999996</v>
      </c>
    </row>
    <row r="1711" spans="1:6" x14ac:dyDescent="0.25">
      <c r="A1711" t="s">
        <v>147</v>
      </c>
      <c r="B1711" s="1">
        <v>46160</v>
      </c>
      <c r="C1711">
        <v>59</v>
      </c>
      <c r="D1711">
        <f t="shared" si="78"/>
        <v>58.6</v>
      </c>
      <c r="E1711">
        <f t="shared" si="79"/>
        <v>5</v>
      </c>
      <c r="F1711">
        <f t="shared" si="80"/>
        <v>6.7796610169491281E-3</v>
      </c>
    </row>
    <row r="1712" spans="1:6" x14ac:dyDescent="0.25">
      <c r="A1712" t="s">
        <v>147</v>
      </c>
      <c r="B1712" s="1">
        <v>46167</v>
      </c>
      <c r="C1712">
        <v>59</v>
      </c>
      <c r="D1712">
        <f t="shared" si="78"/>
        <v>57</v>
      </c>
      <c r="E1712">
        <f t="shared" si="79"/>
        <v>5</v>
      </c>
      <c r="F1712">
        <f t="shared" si="80"/>
        <v>3.3898305084745763E-2</v>
      </c>
    </row>
    <row r="1713" spans="1:6" x14ac:dyDescent="0.25">
      <c r="A1713" t="s">
        <v>147</v>
      </c>
      <c r="B1713" s="1">
        <v>46174</v>
      </c>
      <c r="C1713">
        <v>59</v>
      </c>
      <c r="D1713">
        <f t="shared" si="78"/>
        <v>56.4</v>
      </c>
      <c r="E1713">
        <f t="shared" si="79"/>
        <v>5</v>
      </c>
      <c r="F1713">
        <f t="shared" si="80"/>
        <v>4.4067796610169518E-2</v>
      </c>
    </row>
    <row r="1714" spans="1:6" x14ac:dyDescent="0.25">
      <c r="A1714" t="s">
        <v>147</v>
      </c>
      <c r="B1714" s="1">
        <v>46181</v>
      </c>
      <c r="C1714">
        <v>60</v>
      </c>
      <c r="D1714">
        <f t="shared" si="78"/>
        <v>58.8</v>
      </c>
      <c r="E1714">
        <f t="shared" si="79"/>
        <v>5</v>
      </c>
      <c r="F1714">
        <f t="shared" si="80"/>
        <v>2.0000000000000049E-2</v>
      </c>
    </row>
    <row r="1715" spans="1:6" x14ac:dyDescent="0.25">
      <c r="A1715" t="s">
        <v>147</v>
      </c>
      <c r="B1715" s="1">
        <v>46188</v>
      </c>
      <c r="C1715">
        <v>63</v>
      </c>
      <c r="D1715">
        <f t="shared" si="78"/>
        <v>60.2</v>
      </c>
      <c r="E1715">
        <f t="shared" si="79"/>
        <v>5</v>
      </c>
      <c r="F1715">
        <f t="shared" si="80"/>
        <v>4.4444444444444398E-2</v>
      </c>
    </row>
    <row r="1716" spans="1:6" x14ac:dyDescent="0.25">
      <c r="A1716" t="s">
        <v>147</v>
      </c>
      <c r="B1716" s="1">
        <v>46195</v>
      </c>
      <c r="C1716">
        <v>56</v>
      </c>
      <c r="D1716">
        <f t="shared" si="78"/>
        <v>60</v>
      </c>
      <c r="E1716">
        <f t="shared" si="79"/>
        <v>5</v>
      </c>
      <c r="F1716">
        <f t="shared" si="80"/>
        <v>7.1428571428571425E-2</v>
      </c>
    </row>
    <row r="1717" spans="1:6" x14ac:dyDescent="0.25">
      <c r="A1717" t="s">
        <v>147</v>
      </c>
      <c r="B1717" s="1">
        <v>46202</v>
      </c>
      <c r="C1717">
        <v>75</v>
      </c>
      <c r="D1717">
        <f t="shared" si="78"/>
        <v>59.4</v>
      </c>
      <c r="E1717">
        <f t="shared" si="79"/>
        <v>5</v>
      </c>
      <c r="F1717">
        <f t="shared" si="80"/>
        <v>0.20800000000000002</v>
      </c>
    </row>
    <row r="1718" spans="1:6" x14ac:dyDescent="0.25">
      <c r="A1718" t="s">
        <v>149</v>
      </c>
      <c r="B1718" s="1">
        <v>46027</v>
      </c>
      <c r="C1718">
        <v>14</v>
      </c>
      <c r="D1718" t="str">
        <f t="shared" si="78"/>
        <v/>
      </c>
      <c r="E1718">
        <f t="shared" si="79"/>
        <v>0</v>
      </c>
      <c r="F1718" t="str">
        <f t="shared" si="80"/>
        <v/>
      </c>
    </row>
    <row r="1719" spans="1:6" x14ac:dyDescent="0.25">
      <c r="A1719" t="s">
        <v>149</v>
      </c>
      <c r="B1719" s="1">
        <v>46034</v>
      </c>
      <c r="C1719">
        <v>21</v>
      </c>
      <c r="D1719" t="str">
        <f t="shared" si="78"/>
        <v/>
      </c>
      <c r="E1719">
        <f t="shared" si="79"/>
        <v>1</v>
      </c>
      <c r="F1719" t="str">
        <f t="shared" si="80"/>
        <v/>
      </c>
    </row>
    <row r="1720" spans="1:6" x14ac:dyDescent="0.25">
      <c r="A1720" t="s">
        <v>149</v>
      </c>
      <c r="B1720" s="1">
        <v>46041</v>
      </c>
      <c r="C1720">
        <v>18</v>
      </c>
      <c r="D1720" t="str">
        <f t="shared" si="78"/>
        <v/>
      </c>
      <c r="E1720">
        <f t="shared" si="79"/>
        <v>2</v>
      </c>
      <c r="F1720" t="str">
        <f t="shared" si="80"/>
        <v/>
      </c>
    </row>
    <row r="1721" spans="1:6" x14ac:dyDescent="0.25">
      <c r="A1721" t="s">
        <v>149</v>
      </c>
      <c r="B1721" s="1">
        <v>46048</v>
      </c>
      <c r="C1721">
        <v>20</v>
      </c>
      <c r="D1721" t="str">
        <f t="shared" si="78"/>
        <v/>
      </c>
      <c r="E1721">
        <f t="shared" si="79"/>
        <v>3</v>
      </c>
      <c r="F1721" t="str">
        <f t="shared" si="80"/>
        <v/>
      </c>
    </row>
    <row r="1722" spans="1:6" x14ac:dyDescent="0.25">
      <c r="A1722" t="s">
        <v>149</v>
      </c>
      <c r="B1722" s="1">
        <v>46055</v>
      </c>
      <c r="C1722">
        <v>18</v>
      </c>
      <c r="D1722" t="str">
        <f t="shared" si="78"/>
        <v/>
      </c>
      <c r="E1722">
        <f t="shared" si="79"/>
        <v>4</v>
      </c>
      <c r="F1722" t="str">
        <f t="shared" si="80"/>
        <v/>
      </c>
    </row>
    <row r="1723" spans="1:6" x14ac:dyDescent="0.25">
      <c r="A1723" t="s">
        <v>149</v>
      </c>
      <c r="B1723" s="1">
        <v>46062</v>
      </c>
      <c r="C1723">
        <v>20</v>
      </c>
      <c r="D1723">
        <f t="shared" si="78"/>
        <v>18.2</v>
      </c>
      <c r="E1723">
        <f t="shared" si="79"/>
        <v>5</v>
      </c>
      <c r="F1723">
        <f t="shared" si="80"/>
        <v>9.0000000000000038E-2</v>
      </c>
    </row>
    <row r="1724" spans="1:6" x14ac:dyDescent="0.25">
      <c r="A1724" t="s">
        <v>149</v>
      </c>
      <c r="B1724" s="1">
        <v>46069</v>
      </c>
      <c r="C1724">
        <v>18</v>
      </c>
      <c r="D1724">
        <f t="shared" si="78"/>
        <v>19.399999999999999</v>
      </c>
      <c r="E1724">
        <f t="shared" si="79"/>
        <v>5</v>
      </c>
      <c r="F1724">
        <f t="shared" si="80"/>
        <v>7.7777777777777696E-2</v>
      </c>
    </row>
    <row r="1725" spans="1:6" x14ac:dyDescent="0.25">
      <c r="A1725" t="s">
        <v>149</v>
      </c>
      <c r="B1725" s="1">
        <v>46076</v>
      </c>
      <c r="C1725">
        <v>18</v>
      </c>
      <c r="D1725">
        <f t="shared" si="78"/>
        <v>18.8</v>
      </c>
      <c r="E1725">
        <f t="shared" si="79"/>
        <v>5</v>
      </c>
      <c r="F1725">
        <f t="shared" si="80"/>
        <v>4.4444444444444481E-2</v>
      </c>
    </row>
    <row r="1726" spans="1:6" x14ac:dyDescent="0.25">
      <c r="A1726" t="s">
        <v>149</v>
      </c>
      <c r="B1726" s="1">
        <v>46083</v>
      </c>
      <c r="C1726">
        <v>16</v>
      </c>
      <c r="D1726">
        <f t="shared" si="78"/>
        <v>18.8</v>
      </c>
      <c r="E1726">
        <f t="shared" si="79"/>
        <v>5</v>
      </c>
      <c r="F1726">
        <f t="shared" si="80"/>
        <v>0.17500000000000004</v>
      </c>
    </row>
    <row r="1727" spans="1:6" x14ac:dyDescent="0.25">
      <c r="A1727" t="s">
        <v>149</v>
      </c>
      <c r="B1727" s="1">
        <v>46090</v>
      </c>
      <c r="C1727">
        <v>20</v>
      </c>
      <c r="D1727">
        <f t="shared" si="78"/>
        <v>18</v>
      </c>
      <c r="E1727">
        <f t="shared" si="79"/>
        <v>5</v>
      </c>
      <c r="F1727">
        <f t="shared" si="80"/>
        <v>0.1</v>
      </c>
    </row>
    <row r="1728" spans="1:6" x14ac:dyDescent="0.25">
      <c r="A1728" t="s">
        <v>149</v>
      </c>
      <c r="B1728" s="1">
        <v>46097</v>
      </c>
      <c r="C1728">
        <v>20</v>
      </c>
      <c r="D1728">
        <f t="shared" si="78"/>
        <v>18.399999999999999</v>
      </c>
      <c r="E1728">
        <f t="shared" si="79"/>
        <v>5</v>
      </c>
      <c r="F1728">
        <f t="shared" si="80"/>
        <v>8.0000000000000071E-2</v>
      </c>
    </row>
    <row r="1729" spans="1:6" x14ac:dyDescent="0.25">
      <c r="A1729" t="s">
        <v>149</v>
      </c>
      <c r="B1729" s="1">
        <v>46104</v>
      </c>
      <c r="C1729">
        <v>24</v>
      </c>
      <c r="D1729">
        <f t="shared" si="78"/>
        <v>18.399999999999999</v>
      </c>
      <c r="E1729">
        <f t="shared" si="79"/>
        <v>5</v>
      </c>
      <c r="F1729">
        <f t="shared" si="80"/>
        <v>0.23333333333333339</v>
      </c>
    </row>
    <row r="1730" spans="1:6" x14ac:dyDescent="0.25">
      <c r="A1730" t="s">
        <v>149</v>
      </c>
      <c r="B1730" s="1">
        <v>46111</v>
      </c>
      <c r="C1730">
        <v>27</v>
      </c>
      <c r="D1730">
        <f t="shared" ref="D1730:D1793" si="81">IF(E1730 &lt; 5, "", AVERAGEIFS(C:C, A:A, A1730, B:B, "&gt;=" &amp; (B1730-35), B:B, "&lt;=" &amp; (B1730-7)))</f>
        <v>19.600000000000001</v>
      </c>
      <c r="E1730">
        <f t="shared" ref="E1730:E1793" si="82">COUNTIFS(A:A, A1730, B:B, "&gt;=" &amp; (B1730-35), B:B, "&lt;=" &amp; (B1730-7))</f>
        <v>5</v>
      </c>
      <c r="F1730">
        <f t="shared" ref="F1730:F1793" si="83">IF(OR(C1730=0, D1730=""), "", ABS(C1730 - D1730) / C1730)</f>
        <v>0.27407407407407403</v>
      </c>
    </row>
    <row r="1731" spans="1:6" x14ac:dyDescent="0.25">
      <c r="A1731" t="s">
        <v>149</v>
      </c>
      <c r="B1731" s="1">
        <v>46118</v>
      </c>
      <c r="C1731">
        <v>22</v>
      </c>
      <c r="D1731">
        <f t="shared" si="81"/>
        <v>21.4</v>
      </c>
      <c r="E1731">
        <f t="shared" si="82"/>
        <v>5</v>
      </c>
      <c r="F1731">
        <f t="shared" si="83"/>
        <v>2.7272727272727337E-2</v>
      </c>
    </row>
    <row r="1732" spans="1:6" x14ac:dyDescent="0.25">
      <c r="A1732" t="s">
        <v>149</v>
      </c>
      <c r="B1732" s="1">
        <v>46125</v>
      </c>
      <c r="C1732">
        <v>14</v>
      </c>
      <c r="D1732">
        <f t="shared" si="81"/>
        <v>22.6</v>
      </c>
      <c r="E1732">
        <f t="shared" si="82"/>
        <v>5</v>
      </c>
      <c r="F1732">
        <f t="shared" si="83"/>
        <v>0.61428571428571443</v>
      </c>
    </row>
    <row r="1733" spans="1:6" x14ac:dyDescent="0.25">
      <c r="A1733" t="s">
        <v>149</v>
      </c>
      <c r="B1733" s="1">
        <v>46132</v>
      </c>
      <c r="C1733">
        <v>18</v>
      </c>
      <c r="D1733">
        <f t="shared" si="81"/>
        <v>21.4</v>
      </c>
      <c r="E1733">
        <f t="shared" si="82"/>
        <v>5</v>
      </c>
      <c r="F1733">
        <f t="shared" si="83"/>
        <v>0.1888888888888888</v>
      </c>
    </row>
    <row r="1734" spans="1:6" x14ac:dyDescent="0.25">
      <c r="A1734" t="s">
        <v>149</v>
      </c>
      <c r="B1734" s="1">
        <v>46139</v>
      </c>
      <c r="C1734">
        <v>26</v>
      </c>
      <c r="D1734">
        <f t="shared" si="81"/>
        <v>21</v>
      </c>
      <c r="E1734">
        <f t="shared" si="82"/>
        <v>5</v>
      </c>
      <c r="F1734">
        <f t="shared" si="83"/>
        <v>0.19230769230769232</v>
      </c>
    </row>
    <row r="1735" spans="1:6" x14ac:dyDescent="0.25">
      <c r="A1735" t="s">
        <v>149</v>
      </c>
      <c r="B1735" s="1">
        <v>46146</v>
      </c>
      <c r="C1735">
        <v>23</v>
      </c>
      <c r="D1735">
        <f t="shared" si="81"/>
        <v>21.4</v>
      </c>
      <c r="E1735">
        <f t="shared" si="82"/>
        <v>5</v>
      </c>
      <c r="F1735">
        <f t="shared" si="83"/>
        <v>6.9565217391304404E-2</v>
      </c>
    </row>
    <row r="1736" spans="1:6" x14ac:dyDescent="0.25">
      <c r="A1736" t="s">
        <v>149</v>
      </c>
      <c r="B1736" s="1">
        <v>46153</v>
      </c>
      <c r="C1736">
        <v>22</v>
      </c>
      <c r="D1736">
        <f t="shared" si="81"/>
        <v>20.6</v>
      </c>
      <c r="E1736">
        <f t="shared" si="82"/>
        <v>5</v>
      </c>
      <c r="F1736">
        <f t="shared" si="83"/>
        <v>6.3636363636363574E-2</v>
      </c>
    </row>
    <row r="1737" spans="1:6" x14ac:dyDescent="0.25">
      <c r="A1737" t="s">
        <v>149</v>
      </c>
      <c r="B1737" s="1">
        <v>46160</v>
      </c>
      <c r="C1737">
        <v>20</v>
      </c>
      <c r="D1737">
        <f t="shared" si="81"/>
        <v>20.6</v>
      </c>
      <c r="E1737">
        <f t="shared" si="82"/>
        <v>5</v>
      </c>
      <c r="F1737">
        <f t="shared" si="83"/>
        <v>3.0000000000000072E-2</v>
      </c>
    </row>
    <row r="1738" spans="1:6" x14ac:dyDescent="0.25">
      <c r="A1738" t="s">
        <v>149</v>
      </c>
      <c r="B1738" s="1">
        <v>46167</v>
      </c>
      <c r="C1738">
        <v>24</v>
      </c>
      <c r="D1738">
        <f t="shared" si="81"/>
        <v>21.8</v>
      </c>
      <c r="E1738">
        <f t="shared" si="82"/>
        <v>5</v>
      </c>
      <c r="F1738">
        <f t="shared" si="83"/>
        <v>9.1666666666666632E-2</v>
      </c>
    </row>
    <row r="1739" spans="1:6" x14ac:dyDescent="0.25">
      <c r="A1739" t="s">
        <v>149</v>
      </c>
      <c r="B1739" s="1">
        <v>46174</v>
      </c>
      <c r="C1739">
        <v>24</v>
      </c>
      <c r="D1739">
        <f t="shared" si="81"/>
        <v>23</v>
      </c>
      <c r="E1739">
        <f t="shared" si="82"/>
        <v>5</v>
      </c>
      <c r="F1739">
        <f t="shared" si="83"/>
        <v>4.1666666666666664E-2</v>
      </c>
    </row>
    <row r="1740" spans="1:6" x14ac:dyDescent="0.25">
      <c r="A1740" t="s">
        <v>149</v>
      </c>
      <c r="B1740" s="1">
        <v>46181</v>
      </c>
      <c r="C1740">
        <v>26</v>
      </c>
      <c r="D1740">
        <f t="shared" si="81"/>
        <v>22.6</v>
      </c>
      <c r="E1740">
        <f t="shared" si="82"/>
        <v>5</v>
      </c>
      <c r="F1740">
        <f t="shared" si="83"/>
        <v>0.13076923076923072</v>
      </c>
    </row>
    <row r="1741" spans="1:6" x14ac:dyDescent="0.25">
      <c r="A1741" t="s">
        <v>149</v>
      </c>
      <c r="B1741" s="1">
        <v>46188</v>
      </c>
      <c r="C1741">
        <v>27</v>
      </c>
      <c r="D1741">
        <f t="shared" si="81"/>
        <v>23.2</v>
      </c>
      <c r="E1741">
        <f t="shared" si="82"/>
        <v>5</v>
      </c>
      <c r="F1741">
        <f t="shared" si="83"/>
        <v>0.14074074074074078</v>
      </c>
    </row>
    <row r="1742" spans="1:6" x14ac:dyDescent="0.25">
      <c r="A1742" t="s">
        <v>149</v>
      </c>
      <c r="B1742" s="1">
        <v>46195</v>
      </c>
      <c r="C1742">
        <v>28</v>
      </c>
      <c r="D1742">
        <f t="shared" si="81"/>
        <v>24.2</v>
      </c>
      <c r="E1742">
        <f t="shared" si="82"/>
        <v>5</v>
      </c>
      <c r="F1742">
        <f t="shared" si="83"/>
        <v>0.13571428571428573</v>
      </c>
    </row>
    <row r="1743" spans="1:6" x14ac:dyDescent="0.25">
      <c r="A1743" t="s">
        <v>149</v>
      </c>
      <c r="B1743" s="1">
        <v>46202</v>
      </c>
      <c r="C1743">
        <v>27</v>
      </c>
      <c r="D1743">
        <f t="shared" si="81"/>
        <v>25.8</v>
      </c>
      <c r="E1743">
        <f t="shared" si="82"/>
        <v>5</v>
      </c>
      <c r="F1743">
        <f t="shared" si="83"/>
        <v>4.4444444444444418E-2</v>
      </c>
    </row>
    <row r="1744" spans="1:6" x14ac:dyDescent="0.25">
      <c r="A1744" t="s">
        <v>151</v>
      </c>
      <c r="B1744" s="1">
        <v>46027</v>
      </c>
      <c r="C1744">
        <v>62</v>
      </c>
      <c r="D1744" t="str">
        <f t="shared" si="81"/>
        <v/>
      </c>
      <c r="E1744">
        <f t="shared" si="82"/>
        <v>0</v>
      </c>
      <c r="F1744" t="str">
        <f t="shared" si="83"/>
        <v/>
      </c>
    </row>
    <row r="1745" spans="1:6" x14ac:dyDescent="0.25">
      <c r="A1745" t="s">
        <v>151</v>
      </c>
      <c r="B1745" s="1">
        <v>46034</v>
      </c>
      <c r="C1745">
        <v>55</v>
      </c>
      <c r="D1745" t="str">
        <f t="shared" si="81"/>
        <v/>
      </c>
      <c r="E1745">
        <f t="shared" si="82"/>
        <v>1</v>
      </c>
      <c r="F1745" t="str">
        <f t="shared" si="83"/>
        <v/>
      </c>
    </row>
    <row r="1746" spans="1:6" x14ac:dyDescent="0.25">
      <c r="A1746" t="s">
        <v>151</v>
      </c>
      <c r="B1746" s="1">
        <v>46041</v>
      </c>
      <c r="C1746">
        <v>84</v>
      </c>
      <c r="D1746" t="str">
        <f t="shared" si="81"/>
        <v/>
      </c>
      <c r="E1746">
        <f t="shared" si="82"/>
        <v>2</v>
      </c>
      <c r="F1746" t="str">
        <f t="shared" si="83"/>
        <v/>
      </c>
    </row>
    <row r="1747" spans="1:6" x14ac:dyDescent="0.25">
      <c r="A1747" t="s">
        <v>151</v>
      </c>
      <c r="B1747" s="1">
        <v>46048</v>
      </c>
      <c r="C1747">
        <v>91</v>
      </c>
      <c r="D1747" t="str">
        <f t="shared" si="81"/>
        <v/>
      </c>
      <c r="E1747">
        <f t="shared" si="82"/>
        <v>3</v>
      </c>
      <c r="F1747" t="str">
        <f t="shared" si="83"/>
        <v/>
      </c>
    </row>
    <row r="1748" spans="1:6" x14ac:dyDescent="0.25">
      <c r="A1748" t="s">
        <v>151</v>
      </c>
      <c r="B1748" s="1">
        <v>46055</v>
      </c>
      <c r="C1748">
        <v>67</v>
      </c>
      <c r="D1748" t="str">
        <f t="shared" si="81"/>
        <v/>
      </c>
      <c r="E1748">
        <f t="shared" si="82"/>
        <v>4</v>
      </c>
      <c r="F1748" t="str">
        <f t="shared" si="83"/>
        <v/>
      </c>
    </row>
    <row r="1749" spans="1:6" x14ac:dyDescent="0.25">
      <c r="A1749" t="s">
        <v>151</v>
      </c>
      <c r="B1749" s="1">
        <v>46062</v>
      </c>
      <c r="C1749">
        <v>71</v>
      </c>
      <c r="D1749">
        <f t="shared" si="81"/>
        <v>71.8</v>
      </c>
      <c r="E1749">
        <f t="shared" si="82"/>
        <v>5</v>
      </c>
      <c r="F1749">
        <f t="shared" si="83"/>
        <v>1.1267605633802778E-2</v>
      </c>
    </row>
    <row r="1750" spans="1:6" x14ac:dyDescent="0.25">
      <c r="A1750" t="s">
        <v>151</v>
      </c>
      <c r="B1750" s="1">
        <v>46069</v>
      </c>
      <c r="C1750">
        <v>63</v>
      </c>
      <c r="D1750">
        <f t="shared" si="81"/>
        <v>73.599999999999994</v>
      </c>
      <c r="E1750">
        <f t="shared" si="82"/>
        <v>5</v>
      </c>
      <c r="F1750">
        <f t="shared" si="83"/>
        <v>0.16825396825396816</v>
      </c>
    </row>
    <row r="1751" spans="1:6" x14ac:dyDescent="0.25">
      <c r="A1751" t="s">
        <v>151</v>
      </c>
      <c r="B1751" s="1">
        <v>46076</v>
      </c>
      <c r="C1751">
        <v>65</v>
      </c>
      <c r="D1751">
        <f t="shared" si="81"/>
        <v>75.2</v>
      </c>
      <c r="E1751">
        <f t="shared" si="82"/>
        <v>5</v>
      </c>
      <c r="F1751">
        <f t="shared" si="83"/>
        <v>0.15692307692307697</v>
      </c>
    </row>
    <row r="1752" spans="1:6" x14ac:dyDescent="0.25">
      <c r="A1752" t="s">
        <v>151</v>
      </c>
      <c r="B1752" s="1">
        <v>46083</v>
      </c>
      <c r="C1752">
        <v>74</v>
      </c>
      <c r="D1752">
        <f t="shared" si="81"/>
        <v>71.400000000000006</v>
      </c>
      <c r="E1752">
        <f t="shared" si="82"/>
        <v>5</v>
      </c>
      <c r="F1752">
        <f t="shared" si="83"/>
        <v>3.5135135135135061E-2</v>
      </c>
    </row>
    <row r="1753" spans="1:6" x14ac:dyDescent="0.25">
      <c r="A1753" t="s">
        <v>151</v>
      </c>
      <c r="B1753" s="1">
        <v>46090</v>
      </c>
      <c r="C1753">
        <v>78</v>
      </c>
      <c r="D1753">
        <f t="shared" si="81"/>
        <v>68</v>
      </c>
      <c r="E1753">
        <f t="shared" si="82"/>
        <v>5</v>
      </c>
      <c r="F1753">
        <f t="shared" si="83"/>
        <v>0.12820512820512819</v>
      </c>
    </row>
    <row r="1754" spans="1:6" x14ac:dyDescent="0.25">
      <c r="A1754" t="s">
        <v>151</v>
      </c>
      <c r="B1754" s="1">
        <v>46097</v>
      </c>
      <c r="C1754">
        <v>71</v>
      </c>
      <c r="D1754">
        <f t="shared" si="81"/>
        <v>70.2</v>
      </c>
      <c r="E1754">
        <f t="shared" si="82"/>
        <v>5</v>
      </c>
      <c r="F1754">
        <f t="shared" si="83"/>
        <v>1.1267605633802778E-2</v>
      </c>
    </row>
    <row r="1755" spans="1:6" x14ac:dyDescent="0.25">
      <c r="A1755" t="s">
        <v>151</v>
      </c>
      <c r="B1755" s="1">
        <v>46104</v>
      </c>
      <c r="C1755">
        <v>70</v>
      </c>
      <c r="D1755">
        <f t="shared" si="81"/>
        <v>70.2</v>
      </c>
      <c r="E1755">
        <f t="shared" si="82"/>
        <v>5</v>
      </c>
      <c r="F1755">
        <f t="shared" si="83"/>
        <v>2.8571428571428979E-3</v>
      </c>
    </row>
    <row r="1756" spans="1:6" x14ac:dyDescent="0.25">
      <c r="A1756" t="s">
        <v>151</v>
      </c>
      <c r="B1756" s="1">
        <v>46111</v>
      </c>
      <c r="C1756">
        <v>68</v>
      </c>
      <c r="D1756">
        <f t="shared" si="81"/>
        <v>71.599999999999994</v>
      </c>
      <c r="E1756">
        <f t="shared" si="82"/>
        <v>5</v>
      </c>
      <c r="F1756">
        <f t="shared" si="83"/>
        <v>5.2941176470588151E-2</v>
      </c>
    </row>
    <row r="1757" spans="1:6" x14ac:dyDescent="0.25">
      <c r="A1757" t="s">
        <v>151</v>
      </c>
      <c r="B1757" s="1">
        <v>46118</v>
      </c>
      <c r="C1757">
        <v>77</v>
      </c>
      <c r="D1757">
        <f t="shared" si="81"/>
        <v>72.2</v>
      </c>
      <c r="E1757">
        <f t="shared" si="82"/>
        <v>5</v>
      </c>
      <c r="F1757">
        <f t="shared" si="83"/>
        <v>6.2337662337662303E-2</v>
      </c>
    </row>
    <row r="1758" spans="1:6" x14ac:dyDescent="0.25">
      <c r="A1758" t="s">
        <v>151</v>
      </c>
      <c r="B1758" s="1">
        <v>46125</v>
      </c>
      <c r="C1758">
        <v>75</v>
      </c>
      <c r="D1758">
        <f t="shared" si="81"/>
        <v>72.8</v>
      </c>
      <c r="E1758">
        <f t="shared" si="82"/>
        <v>5</v>
      </c>
      <c r="F1758">
        <f t="shared" si="83"/>
        <v>2.9333333333333371E-2</v>
      </c>
    </row>
    <row r="1759" spans="1:6" x14ac:dyDescent="0.25">
      <c r="A1759" t="s">
        <v>151</v>
      </c>
      <c r="B1759" s="1">
        <v>46132</v>
      </c>
      <c r="C1759">
        <v>80</v>
      </c>
      <c r="D1759">
        <f t="shared" si="81"/>
        <v>72.2</v>
      </c>
      <c r="E1759">
        <f t="shared" si="82"/>
        <v>5</v>
      </c>
      <c r="F1759">
        <f t="shared" si="83"/>
        <v>9.7499999999999962E-2</v>
      </c>
    </row>
    <row r="1760" spans="1:6" x14ac:dyDescent="0.25">
      <c r="A1760" t="s">
        <v>151</v>
      </c>
      <c r="B1760" s="1">
        <v>46139</v>
      </c>
      <c r="C1760">
        <v>77</v>
      </c>
      <c r="D1760">
        <f t="shared" si="81"/>
        <v>74</v>
      </c>
      <c r="E1760">
        <f t="shared" si="82"/>
        <v>5</v>
      </c>
      <c r="F1760">
        <f t="shared" si="83"/>
        <v>3.896103896103896E-2</v>
      </c>
    </row>
    <row r="1761" spans="1:6" x14ac:dyDescent="0.25">
      <c r="A1761" t="s">
        <v>151</v>
      </c>
      <c r="B1761" s="1">
        <v>46146</v>
      </c>
      <c r="C1761">
        <v>84</v>
      </c>
      <c r="D1761">
        <f t="shared" si="81"/>
        <v>75.400000000000006</v>
      </c>
      <c r="E1761">
        <f t="shared" si="82"/>
        <v>5</v>
      </c>
      <c r="F1761">
        <f t="shared" si="83"/>
        <v>0.10238095238095231</v>
      </c>
    </row>
    <row r="1762" spans="1:6" x14ac:dyDescent="0.25">
      <c r="A1762" t="s">
        <v>151</v>
      </c>
      <c r="B1762" s="1">
        <v>46153</v>
      </c>
      <c r="C1762">
        <v>86</v>
      </c>
      <c r="D1762">
        <f t="shared" si="81"/>
        <v>78.599999999999994</v>
      </c>
      <c r="E1762">
        <f t="shared" si="82"/>
        <v>5</v>
      </c>
      <c r="F1762">
        <f t="shared" si="83"/>
        <v>8.6046511627907038E-2</v>
      </c>
    </row>
    <row r="1763" spans="1:6" x14ac:dyDescent="0.25">
      <c r="A1763" t="s">
        <v>151</v>
      </c>
      <c r="B1763" s="1">
        <v>46160</v>
      </c>
      <c r="C1763">
        <v>97</v>
      </c>
      <c r="D1763">
        <f t="shared" si="81"/>
        <v>80.400000000000006</v>
      </c>
      <c r="E1763">
        <f t="shared" si="82"/>
        <v>5</v>
      </c>
      <c r="F1763">
        <f t="shared" si="83"/>
        <v>0.17113402061855665</v>
      </c>
    </row>
    <row r="1764" spans="1:6" x14ac:dyDescent="0.25">
      <c r="A1764" t="s">
        <v>151</v>
      </c>
      <c r="B1764" s="1">
        <v>46167</v>
      </c>
      <c r="C1764">
        <v>100</v>
      </c>
      <c r="D1764">
        <f t="shared" si="81"/>
        <v>84.8</v>
      </c>
      <c r="E1764">
        <f t="shared" si="82"/>
        <v>5</v>
      </c>
      <c r="F1764">
        <f t="shared" si="83"/>
        <v>0.15200000000000002</v>
      </c>
    </row>
    <row r="1765" spans="1:6" x14ac:dyDescent="0.25">
      <c r="A1765" t="s">
        <v>151</v>
      </c>
      <c r="B1765" s="1">
        <v>46174</v>
      </c>
      <c r="C1765">
        <v>97</v>
      </c>
      <c r="D1765">
        <f t="shared" si="81"/>
        <v>88.8</v>
      </c>
      <c r="E1765">
        <f t="shared" si="82"/>
        <v>5</v>
      </c>
      <c r="F1765">
        <f t="shared" si="83"/>
        <v>8.4536082474226837E-2</v>
      </c>
    </row>
    <row r="1766" spans="1:6" x14ac:dyDescent="0.25">
      <c r="A1766" t="s">
        <v>151</v>
      </c>
      <c r="B1766" s="1">
        <v>46181</v>
      </c>
      <c r="C1766">
        <v>94</v>
      </c>
      <c r="D1766">
        <f t="shared" si="81"/>
        <v>92.8</v>
      </c>
      <c r="E1766">
        <f t="shared" si="82"/>
        <v>5</v>
      </c>
      <c r="F1766">
        <f t="shared" si="83"/>
        <v>1.2765957446808541E-2</v>
      </c>
    </row>
    <row r="1767" spans="1:6" x14ac:dyDescent="0.25">
      <c r="A1767" t="s">
        <v>151</v>
      </c>
      <c r="B1767" s="1">
        <v>46188</v>
      </c>
      <c r="C1767">
        <v>90</v>
      </c>
      <c r="D1767">
        <f t="shared" si="81"/>
        <v>94.8</v>
      </c>
      <c r="E1767">
        <f t="shared" si="82"/>
        <v>5</v>
      </c>
      <c r="F1767">
        <f t="shared" si="83"/>
        <v>5.3333333333333302E-2</v>
      </c>
    </row>
    <row r="1768" spans="1:6" x14ac:dyDescent="0.25">
      <c r="A1768" t="s">
        <v>151</v>
      </c>
      <c r="B1768" s="1">
        <v>46195</v>
      </c>
      <c r="C1768">
        <v>85</v>
      </c>
      <c r="D1768">
        <f t="shared" si="81"/>
        <v>95.6</v>
      </c>
      <c r="E1768">
        <f t="shared" si="82"/>
        <v>5</v>
      </c>
      <c r="F1768">
        <f t="shared" si="83"/>
        <v>0.12470588235294111</v>
      </c>
    </row>
    <row r="1769" spans="1:6" x14ac:dyDescent="0.25">
      <c r="A1769" t="s">
        <v>151</v>
      </c>
      <c r="B1769" s="1">
        <v>46202</v>
      </c>
      <c r="C1769">
        <v>86</v>
      </c>
      <c r="D1769">
        <f t="shared" si="81"/>
        <v>93.2</v>
      </c>
      <c r="E1769">
        <f t="shared" si="82"/>
        <v>5</v>
      </c>
      <c r="F1769">
        <f t="shared" si="83"/>
        <v>8.3720930232558166E-2</v>
      </c>
    </row>
    <row r="1770" spans="1:6" x14ac:dyDescent="0.25">
      <c r="A1770" t="s">
        <v>153</v>
      </c>
      <c r="B1770" s="1">
        <v>46027</v>
      </c>
      <c r="C1770">
        <v>24</v>
      </c>
      <c r="D1770" t="str">
        <f t="shared" si="81"/>
        <v/>
      </c>
      <c r="E1770">
        <f t="shared" si="82"/>
        <v>0</v>
      </c>
      <c r="F1770" t="str">
        <f t="shared" si="83"/>
        <v/>
      </c>
    </row>
    <row r="1771" spans="1:6" x14ac:dyDescent="0.25">
      <c r="A1771" t="s">
        <v>153</v>
      </c>
      <c r="B1771" s="1">
        <v>46034</v>
      </c>
      <c r="C1771">
        <v>25</v>
      </c>
      <c r="D1771" t="str">
        <f t="shared" si="81"/>
        <v/>
      </c>
      <c r="E1771">
        <f t="shared" si="82"/>
        <v>1</v>
      </c>
      <c r="F1771" t="str">
        <f t="shared" si="83"/>
        <v/>
      </c>
    </row>
    <row r="1772" spans="1:6" x14ac:dyDescent="0.25">
      <c r="A1772" t="s">
        <v>153</v>
      </c>
      <c r="B1772" s="1">
        <v>46041</v>
      </c>
      <c r="C1772">
        <v>23</v>
      </c>
      <c r="D1772" t="str">
        <f t="shared" si="81"/>
        <v/>
      </c>
      <c r="E1772">
        <f t="shared" si="82"/>
        <v>2</v>
      </c>
      <c r="F1772" t="str">
        <f t="shared" si="83"/>
        <v/>
      </c>
    </row>
    <row r="1773" spans="1:6" x14ac:dyDescent="0.25">
      <c r="A1773" t="s">
        <v>153</v>
      </c>
      <c r="B1773" s="1">
        <v>46048</v>
      </c>
      <c r="C1773">
        <v>26</v>
      </c>
      <c r="D1773" t="str">
        <f t="shared" si="81"/>
        <v/>
      </c>
      <c r="E1773">
        <f t="shared" si="82"/>
        <v>3</v>
      </c>
      <c r="F1773" t="str">
        <f t="shared" si="83"/>
        <v/>
      </c>
    </row>
    <row r="1774" spans="1:6" x14ac:dyDescent="0.25">
      <c r="A1774" t="s">
        <v>153</v>
      </c>
      <c r="B1774" s="1">
        <v>46055</v>
      </c>
      <c r="C1774">
        <v>28</v>
      </c>
      <c r="D1774" t="str">
        <f t="shared" si="81"/>
        <v/>
      </c>
      <c r="E1774">
        <f t="shared" si="82"/>
        <v>4</v>
      </c>
      <c r="F1774" t="str">
        <f t="shared" si="83"/>
        <v/>
      </c>
    </row>
    <row r="1775" spans="1:6" x14ac:dyDescent="0.25">
      <c r="A1775" t="s">
        <v>153</v>
      </c>
      <c r="B1775" s="1">
        <v>46062</v>
      </c>
      <c r="C1775">
        <v>24</v>
      </c>
      <c r="D1775">
        <f t="shared" si="81"/>
        <v>25.2</v>
      </c>
      <c r="E1775">
        <f t="shared" si="82"/>
        <v>5</v>
      </c>
      <c r="F1775">
        <f t="shared" si="83"/>
        <v>4.9999999999999968E-2</v>
      </c>
    </row>
    <row r="1776" spans="1:6" x14ac:dyDescent="0.25">
      <c r="A1776" t="s">
        <v>153</v>
      </c>
      <c r="B1776" s="1">
        <v>46069</v>
      </c>
      <c r="C1776">
        <v>22</v>
      </c>
      <c r="D1776">
        <f t="shared" si="81"/>
        <v>25.2</v>
      </c>
      <c r="E1776">
        <f t="shared" si="82"/>
        <v>5</v>
      </c>
      <c r="F1776">
        <f t="shared" si="83"/>
        <v>0.14545454545454542</v>
      </c>
    </row>
    <row r="1777" spans="1:6" x14ac:dyDescent="0.25">
      <c r="A1777" t="s">
        <v>153</v>
      </c>
      <c r="B1777" s="1">
        <v>46076</v>
      </c>
      <c r="C1777">
        <v>23</v>
      </c>
      <c r="D1777">
        <f t="shared" si="81"/>
        <v>24.6</v>
      </c>
      <c r="E1777">
        <f t="shared" si="82"/>
        <v>5</v>
      </c>
      <c r="F1777">
        <f t="shared" si="83"/>
        <v>6.9565217391304404E-2</v>
      </c>
    </row>
    <row r="1778" spans="1:6" x14ac:dyDescent="0.25">
      <c r="A1778" t="s">
        <v>153</v>
      </c>
      <c r="B1778" s="1">
        <v>46083</v>
      </c>
      <c r="C1778">
        <v>37</v>
      </c>
      <c r="D1778">
        <f t="shared" si="81"/>
        <v>24.6</v>
      </c>
      <c r="E1778">
        <f t="shared" si="82"/>
        <v>5</v>
      </c>
      <c r="F1778">
        <f t="shared" si="83"/>
        <v>0.3351351351351351</v>
      </c>
    </row>
    <row r="1779" spans="1:6" x14ac:dyDescent="0.25">
      <c r="A1779" t="s">
        <v>153</v>
      </c>
      <c r="B1779" s="1">
        <v>46090</v>
      </c>
      <c r="C1779">
        <v>23</v>
      </c>
      <c r="D1779">
        <f t="shared" si="81"/>
        <v>26.8</v>
      </c>
      <c r="E1779">
        <f t="shared" si="82"/>
        <v>5</v>
      </c>
      <c r="F1779">
        <f t="shared" si="83"/>
        <v>0.16521739130434784</v>
      </c>
    </row>
    <row r="1780" spans="1:6" x14ac:dyDescent="0.25">
      <c r="A1780" t="s">
        <v>153</v>
      </c>
      <c r="B1780" s="1">
        <v>46097</v>
      </c>
      <c r="C1780">
        <v>35</v>
      </c>
      <c r="D1780">
        <f t="shared" si="81"/>
        <v>25.8</v>
      </c>
      <c r="E1780">
        <f t="shared" si="82"/>
        <v>5</v>
      </c>
      <c r="F1780">
        <f t="shared" si="83"/>
        <v>0.26285714285714284</v>
      </c>
    </row>
    <row r="1781" spans="1:6" x14ac:dyDescent="0.25">
      <c r="A1781" t="s">
        <v>153</v>
      </c>
      <c r="B1781" s="1">
        <v>46104</v>
      </c>
      <c r="C1781">
        <v>23</v>
      </c>
      <c r="D1781">
        <f t="shared" si="81"/>
        <v>28</v>
      </c>
      <c r="E1781">
        <f t="shared" si="82"/>
        <v>5</v>
      </c>
      <c r="F1781">
        <f t="shared" si="83"/>
        <v>0.21739130434782608</v>
      </c>
    </row>
    <row r="1782" spans="1:6" x14ac:dyDescent="0.25">
      <c r="A1782" t="s">
        <v>153</v>
      </c>
      <c r="B1782" s="1">
        <v>46111</v>
      </c>
      <c r="C1782">
        <v>26</v>
      </c>
      <c r="D1782">
        <f t="shared" si="81"/>
        <v>28.2</v>
      </c>
      <c r="E1782">
        <f t="shared" si="82"/>
        <v>5</v>
      </c>
      <c r="F1782">
        <f t="shared" si="83"/>
        <v>8.4615384615384592E-2</v>
      </c>
    </row>
    <row r="1783" spans="1:6" x14ac:dyDescent="0.25">
      <c r="A1783" t="s">
        <v>153</v>
      </c>
      <c r="B1783" s="1">
        <v>46118</v>
      </c>
      <c r="C1783">
        <v>30</v>
      </c>
      <c r="D1783">
        <f t="shared" si="81"/>
        <v>28.8</v>
      </c>
      <c r="E1783">
        <f t="shared" si="82"/>
        <v>5</v>
      </c>
      <c r="F1783">
        <f t="shared" si="83"/>
        <v>3.9999999999999973E-2</v>
      </c>
    </row>
    <row r="1784" spans="1:6" x14ac:dyDescent="0.25">
      <c r="A1784" t="s">
        <v>153</v>
      </c>
      <c r="B1784" s="1">
        <v>46125</v>
      </c>
      <c r="C1784">
        <v>30</v>
      </c>
      <c r="D1784">
        <f t="shared" si="81"/>
        <v>27.4</v>
      </c>
      <c r="E1784">
        <f t="shared" si="82"/>
        <v>5</v>
      </c>
      <c r="F1784">
        <f t="shared" si="83"/>
        <v>8.6666666666666711E-2</v>
      </c>
    </row>
    <row r="1785" spans="1:6" x14ac:dyDescent="0.25">
      <c r="A1785" t="s">
        <v>153</v>
      </c>
      <c r="B1785" s="1">
        <v>46132</v>
      </c>
      <c r="C1785">
        <v>26</v>
      </c>
      <c r="D1785">
        <f t="shared" si="81"/>
        <v>28.8</v>
      </c>
      <c r="E1785">
        <f t="shared" si="82"/>
        <v>5</v>
      </c>
      <c r="F1785">
        <f t="shared" si="83"/>
        <v>0.10769230769230773</v>
      </c>
    </row>
    <row r="1786" spans="1:6" x14ac:dyDescent="0.25">
      <c r="A1786" t="s">
        <v>153</v>
      </c>
      <c r="B1786" s="1">
        <v>46139</v>
      </c>
      <c r="C1786">
        <v>34</v>
      </c>
      <c r="D1786">
        <f t="shared" si="81"/>
        <v>27</v>
      </c>
      <c r="E1786">
        <f t="shared" si="82"/>
        <v>5</v>
      </c>
      <c r="F1786">
        <f t="shared" si="83"/>
        <v>0.20588235294117646</v>
      </c>
    </row>
    <row r="1787" spans="1:6" x14ac:dyDescent="0.25">
      <c r="A1787" t="s">
        <v>153</v>
      </c>
      <c r="B1787" s="1">
        <v>46146</v>
      </c>
      <c r="C1787">
        <v>29</v>
      </c>
      <c r="D1787">
        <f t="shared" si="81"/>
        <v>29.2</v>
      </c>
      <c r="E1787">
        <f t="shared" si="82"/>
        <v>5</v>
      </c>
      <c r="F1787">
        <f t="shared" si="83"/>
        <v>6.8965517241379067E-3</v>
      </c>
    </row>
    <row r="1788" spans="1:6" x14ac:dyDescent="0.25">
      <c r="A1788" t="s">
        <v>153</v>
      </c>
      <c r="B1788" s="1">
        <v>46153</v>
      </c>
      <c r="C1788">
        <v>41</v>
      </c>
      <c r="D1788">
        <f t="shared" si="81"/>
        <v>29.8</v>
      </c>
      <c r="E1788">
        <f t="shared" si="82"/>
        <v>5</v>
      </c>
      <c r="F1788">
        <f t="shared" si="83"/>
        <v>0.27317073170731704</v>
      </c>
    </row>
    <row r="1789" spans="1:6" x14ac:dyDescent="0.25">
      <c r="A1789" t="s">
        <v>153</v>
      </c>
      <c r="B1789" s="1">
        <v>46160</v>
      </c>
      <c r="C1789">
        <v>27</v>
      </c>
      <c r="D1789">
        <f t="shared" si="81"/>
        <v>32</v>
      </c>
      <c r="E1789">
        <f t="shared" si="82"/>
        <v>5</v>
      </c>
      <c r="F1789">
        <f t="shared" si="83"/>
        <v>0.18518518518518517</v>
      </c>
    </row>
    <row r="1790" spans="1:6" x14ac:dyDescent="0.25">
      <c r="A1790" t="s">
        <v>153</v>
      </c>
      <c r="B1790" s="1">
        <v>46167</v>
      </c>
      <c r="C1790">
        <v>30</v>
      </c>
      <c r="D1790">
        <f t="shared" si="81"/>
        <v>31.4</v>
      </c>
      <c r="E1790">
        <f t="shared" si="82"/>
        <v>5</v>
      </c>
      <c r="F1790">
        <f t="shared" si="83"/>
        <v>4.666666666666662E-2</v>
      </c>
    </row>
    <row r="1791" spans="1:6" x14ac:dyDescent="0.25">
      <c r="A1791" t="s">
        <v>153</v>
      </c>
      <c r="B1791" s="1">
        <v>46174</v>
      </c>
      <c r="C1791">
        <v>36</v>
      </c>
      <c r="D1791">
        <f t="shared" si="81"/>
        <v>32.200000000000003</v>
      </c>
      <c r="E1791">
        <f t="shared" si="82"/>
        <v>5</v>
      </c>
      <c r="F1791">
        <f t="shared" si="83"/>
        <v>0.10555555555555547</v>
      </c>
    </row>
    <row r="1792" spans="1:6" x14ac:dyDescent="0.25">
      <c r="A1792" t="s">
        <v>153</v>
      </c>
      <c r="B1792" s="1">
        <v>46181</v>
      </c>
      <c r="C1792">
        <v>34</v>
      </c>
      <c r="D1792">
        <f t="shared" si="81"/>
        <v>32.6</v>
      </c>
      <c r="E1792">
        <f t="shared" si="82"/>
        <v>5</v>
      </c>
      <c r="F1792">
        <f t="shared" si="83"/>
        <v>4.1176470588235252E-2</v>
      </c>
    </row>
    <row r="1793" spans="1:6" x14ac:dyDescent="0.25">
      <c r="A1793" t="s">
        <v>153</v>
      </c>
      <c r="B1793" s="1">
        <v>46188</v>
      </c>
      <c r="C1793">
        <v>33</v>
      </c>
      <c r="D1793">
        <f t="shared" si="81"/>
        <v>33.6</v>
      </c>
      <c r="E1793">
        <f t="shared" si="82"/>
        <v>5</v>
      </c>
      <c r="F1793">
        <f t="shared" si="83"/>
        <v>1.8181818181818226E-2</v>
      </c>
    </row>
    <row r="1794" spans="1:6" x14ac:dyDescent="0.25">
      <c r="A1794" t="s">
        <v>153</v>
      </c>
      <c r="B1794" s="1">
        <v>46195</v>
      </c>
      <c r="C1794">
        <v>34</v>
      </c>
      <c r="D1794">
        <f t="shared" ref="D1794:D1857" si="84">IF(E1794 &lt; 5, "", AVERAGEIFS(C:C, A:A, A1794, B:B, "&gt;=" &amp; (B1794-35), B:B, "&lt;=" &amp; (B1794-7)))</f>
        <v>32</v>
      </c>
      <c r="E1794">
        <f t="shared" ref="E1794:E1857" si="85">COUNTIFS(A:A, A1794, B:B, "&gt;=" &amp; (B1794-35), B:B, "&lt;=" &amp; (B1794-7))</f>
        <v>5</v>
      </c>
      <c r="F1794">
        <f t="shared" ref="F1794:F1857" si="86">IF(OR(C1794=0, D1794=""), "", ABS(C1794 - D1794) / C1794)</f>
        <v>5.8823529411764705E-2</v>
      </c>
    </row>
    <row r="1795" spans="1:6" x14ac:dyDescent="0.25">
      <c r="A1795" t="s">
        <v>153</v>
      </c>
      <c r="B1795" s="1">
        <v>46202</v>
      </c>
      <c r="C1795">
        <v>34</v>
      </c>
      <c r="D1795">
        <f t="shared" si="84"/>
        <v>33.4</v>
      </c>
      <c r="E1795">
        <f t="shared" si="85"/>
        <v>5</v>
      </c>
      <c r="F1795">
        <f t="shared" si="86"/>
        <v>1.7647058823529453E-2</v>
      </c>
    </row>
    <row r="1796" spans="1:6" x14ac:dyDescent="0.25">
      <c r="A1796" t="s">
        <v>155</v>
      </c>
      <c r="B1796" s="1">
        <v>46027</v>
      </c>
      <c r="C1796">
        <v>88</v>
      </c>
      <c r="D1796" t="str">
        <f t="shared" si="84"/>
        <v/>
      </c>
      <c r="E1796">
        <f t="shared" si="85"/>
        <v>0</v>
      </c>
      <c r="F1796" t="str">
        <f t="shared" si="86"/>
        <v/>
      </c>
    </row>
    <row r="1797" spans="1:6" x14ac:dyDescent="0.25">
      <c r="A1797" t="s">
        <v>155</v>
      </c>
      <c r="B1797" s="1">
        <v>46034</v>
      </c>
      <c r="C1797">
        <v>141</v>
      </c>
      <c r="D1797" t="str">
        <f t="shared" si="84"/>
        <v/>
      </c>
      <c r="E1797">
        <f t="shared" si="85"/>
        <v>1</v>
      </c>
      <c r="F1797" t="str">
        <f t="shared" si="86"/>
        <v/>
      </c>
    </row>
    <row r="1798" spans="1:6" x14ac:dyDescent="0.25">
      <c r="A1798" t="s">
        <v>155</v>
      </c>
      <c r="B1798" s="1">
        <v>46041</v>
      </c>
      <c r="C1798">
        <v>143</v>
      </c>
      <c r="D1798" t="str">
        <f t="shared" si="84"/>
        <v/>
      </c>
      <c r="E1798">
        <f t="shared" si="85"/>
        <v>2</v>
      </c>
      <c r="F1798" t="str">
        <f t="shared" si="86"/>
        <v/>
      </c>
    </row>
    <row r="1799" spans="1:6" x14ac:dyDescent="0.25">
      <c r="A1799" t="s">
        <v>155</v>
      </c>
      <c r="B1799" s="1">
        <v>46048</v>
      </c>
      <c r="C1799">
        <v>132</v>
      </c>
      <c r="D1799" t="str">
        <f t="shared" si="84"/>
        <v/>
      </c>
      <c r="E1799">
        <f t="shared" si="85"/>
        <v>3</v>
      </c>
      <c r="F1799" t="str">
        <f t="shared" si="86"/>
        <v/>
      </c>
    </row>
    <row r="1800" spans="1:6" x14ac:dyDescent="0.25">
      <c r="A1800" t="s">
        <v>155</v>
      </c>
      <c r="B1800" s="1">
        <v>46055</v>
      </c>
      <c r="C1800">
        <v>89</v>
      </c>
      <c r="D1800" t="str">
        <f t="shared" si="84"/>
        <v/>
      </c>
      <c r="E1800">
        <f t="shared" si="85"/>
        <v>4</v>
      </c>
      <c r="F1800" t="str">
        <f t="shared" si="86"/>
        <v/>
      </c>
    </row>
    <row r="1801" spans="1:6" x14ac:dyDescent="0.25">
      <c r="A1801" t="s">
        <v>155</v>
      </c>
      <c r="B1801" s="1">
        <v>46062</v>
      </c>
      <c r="C1801">
        <v>148</v>
      </c>
      <c r="D1801">
        <f t="shared" si="84"/>
        <v>118.6</v>
      </c>
      <c r="E1801">
        <f t="shared" si="85"/>
        <v>5</v>
      </c>
      <c r="F1801">
        <f t="shared" si="86"/>
        <v>0.19864864864864867</v>
      </c>
    </row>
    <row r="1802" spans="1:6" x14ac:dyDescent="0.25">
      <c r="A1802" t="s">
        <v>155</v>
      </c>
      <c r="B1802" s="1">
        <v>46069</v>
      </c>
      <c r="C1802">
        <v>152</v>
      </c>
      <c r="D1802">
        <f t="shared" si="84"/>
        <v>130.6</v>
      </c>
      <c r="E1802">
        <f t="shared" si="85"/>
        <v>5</v>
      </c>
      <c r="F1802">
        <f t="shared" si="86"/>
        <v>0.14078947368421058</v>
      </c>
    </row>
    <row r="1803" spans="1:6" x14ac:dyDescent="0.25">
      <c r="A1803" t="s">
        <v>155</v>
      </c>
      <c r="B1803" s="1">
        <v>46076</v>
      </c>
      <c r="C1803">
        <v>120</v>
      </c>
      <c r="D1803">
        <f t="shared" si="84"/>
        <v>132.80000000000001</v>
      </c>
      <c r="E1803">
        <f t="shared" si="85"/>
        <v>5</v>
      </c>
      <c r="F1803">
        <f t="shared" si="86"/>
        <v>0.10666666666666676</v>
      </c>
    </row>
    <row r="1804" spans="1:6" x14ac:dyDescent="0.25">
      <c r="A1804" t="s">
        <v>155</v>
      </c>
      <c r="B1804" s="1">
        <v>46083</v>
      </c>
      <c r="C1804">
        <v>133</v>
      </c>
      <c r="D1804">
        <f t="shared" si="84"/>
        <v>128.19999999999999</v>
      </c>
      <c r="E1804">
        <f t="shared" si="85"/>
        <v>5</v>
      </c>
      <c r="F1804">
        <f t="shared" si="86"/>
        <v>3.609022556390986E-2</v>
      </c>
    </row>
    <row r="1805" spans="1:6" x14ac:dyDescent="0.25">
      <c r="A1805" t="s">
        <v>155</v>
      </c>
      <c r="B1805" s="1">
        <v>46090</v>
      </c>
      <c r="C1805">
        <v>146</v>
      </c>
      <c r="D1805">
        <f t="shared" si="84"/>
        <v>128.4</v>
      </c>
      <c r="E1805">
        <f t="shared" si="85"/>
        <v>5</v>
      </c>
      <c r="F1805">
        <f t="shared" si="86"/>
        <v>0.12054794520547941</v>
      </c>
    </row>
    <row r="1806" spans="1:6" x14ac:dyDescent="0.25">
      <c r="A1806" t="s">
        <v>155</v>
      </c>
      <c r="B1806" s="1">
        <v>46097</v>
      </c>
      <c r="C1806">
        <v>132</v>
      </c>
      <c r="D1806">
        <f t="shared" si="84"/>
        <v>139.80000000000001</v>
      </c>
      <c r="E1806">
        <f t="shared" si="85"/>
        <v>5</v>
      </c>
      <c r="F1806">
        <f t="shared" si="86"/>
        <v>5.909090909090918E-2</v>
      </c>
    </row>
    <row r="1807" spans="1:6" x14ac:dyDescent="0.25">
      <c r="A1807" t="s">
        <v>155</v>
      </c>
      <c r="B1807" s="1">
        <v>46104</v>
      </c>
      <c r="C1807">
        <v>155</v>
      </c>
      <c r="D1807">
        <f t="shared" si="84"/>
        <v>136.6</v>
      </c>
      <c r="E1807">
        <f t="shared" si="85"/>
        <v>5</v>
      </c>
      <c r="F1807">
        <f t="shared" si="86"/>
        <v>0.11870967741935487</v>
      </c>
    </row>
    <row r="1808" spans="1:6" x14ac:dyDescent="0.25">
      <c r="A1808" t="s">
        <v>155</v>
      </c>
      <c r="B1808" s="1">
        <v>46111</v>
      </c>
      <c r="C1808">
        <v>139</v>
      </c>
      <c r="D1808">
        <f t="shared" si="84"/>
        <v>137.19999999999999</v>
      </c>
      <c r="E1808">
        <f t="shared" si="85"/>
        <v>5</v>
      </c>
      <c r="F1808">
        <f t="shared" si="86"/>
        <v>1.2949640287769865E-2</v>
      </c>
    </row>
    <row r="1809" spans="1:6" x14ac:dyDescent="0.25">
      <c r="A1809" t="s">
        <v>155</v>
      </c>
      <c r="B1809" s="1">
        <v>46118</v>
      </c>
      <c r="C1809">
        <v>151</v>
      </c>
      <c r="D1809">
        <f t="shared" si="84"/>
        <v>141</v>
      </c>
      <c r="E1809">
        <f t="shared" si="85"/>
        <v>5</v>
      </c>
      <c r="F1809">
        <f t="shared" si="86"/>
        <v>6.6225165562913912E-2</v>
      </c>
    </row>
    <row r="1810" spans="1:6" x14ac:dyDescent="0.25">
      <c r="A1810" t="s">
        <v>155</v>
      </c>
      <c r="B1810" s="1">
        <v>46125</v>
      </c>
      <c r="C1810">
        <v>142</v>
      </c>
      <c r="D1810">
        <f t="shared" si="84"/>
        <v>144.6</v>
      </c>
      <c r="E1810">
        <f t="shared" si="85"/>
        <v>5</v>
      </c>
      <c r="F1810">
        <f t="shared" si="86"/>
        <v>1.8309859154929536E-2</v>
      </c>
    </row>
    <row r="1811" spans="1:6" x14ac:dyDescent="0.25">
      <c r="A1811" t="s">
        <v>155</v>
      </c>
      <c r="B1811" s="1">
        <v>46132</v>
      </c>
      <c r="C1811">
        <v>115</v>
      </c>
      <c r="D1811">
        <f t="shared" si="84"/>
        <v>143.80000000000001</v>
      </c>
      <c r="E1811">
        <f t="shared" si="85"/>
        <v>5</v>
      </c>
      <c r="F1811">
        <f t="shared" si="86"/>
        <v>0.25043478260869573</v>
      </c>
    </row>
    <row r="1812" spans="1:6" x14ac:dyDescent="0.25">
      <c r="A1812" t="s">
        <v>155</v>
      </c>
      <c r="B1812" s="1">
        <v>46139</v>
      </c>
      <c r="C1812">
        <v>126</v>
      </c>
      <c r="D1812">
        <f t="shared" si="84"/>
        <v>140.4</v>
      </c>
      <c r="E1812">
        <f t="shared" si="85"/>
        <v>5</v>
      </c>
      <c r="F1812">
        <f t="shared" si="86"/>
        <v>0.11428571428571434</v>
      </c>
    </row>
    <row r="1813" spans="1:6" x14ac:dyDescent="0.25">
      <c r="A1813" t="s">
        <v>155</v>
      </c>
      <c r="B1813" s="1">
        <v>46146</v>
      </c>
      <c r="C1813">
        <v>202</v>
      </c>
      <c r="D1813">
        <f t="shared" si="84"/>
        <v>134.6</v>
      </c>
      <c r="E1813">
        <f t="shared" si="85"/>
        <v>5</v>
      </c>
      <c r="F1813">
        <f t="shared" si="86"/>
        <v>0.33366336633663368</v>
      </c>
    </row>
    <row r="1814" spans="1:6" x14ac:dyDescent="0.25">
      <c r="A1814" t="s">
        <v>155</v>
      </c>
      <c r="B1814" s="1">
        <v>46153</v>
      </c>
      <c r="C1814">
        <v>152</v>
      </c>
      <c r="D1814">
        <f t="shared" si="84"/>
        <v>147.19999999999999</v>
      </c>
      <c r="E1814">
        <f t="shared" si="85"/>
        <v>5</v>
      </c>
      <c r="F1814">
        <f t="shared" si="86"/>
        <v>3.157894736842113E-2</v>
      </c>
    </row>
    <row r="1815" spans="1:6" x14ac:dyDescent="0.25">
      <c r="A1815" t="s">
        <v>155</v>
      </c>
      <c r="B1815" s="1">
        <v>46160</v>
      </c>
      <c r="C1815">
        <v>172</v>
      </c>
      <c r="D1815">
        <f t="shared" si="84"/>
        <v>147.4</v>
      </c>
      <c r="E1815">
        <f t="shared" si="85"/>
        <v>5</v>
      </c>
      <c r="F1815">
        <f t="shared" si="86"/>
        <v>0.14302325581395345</v>
      </c>
    </row>
    <row r="1816" spans="1:6" x14ac:dyDescent="0.25">
      <c r="A1816" t="s">
        <v>155</v>
      </c>
      <c r="B1816" s="1">
        <v>46167</v>
      </c>
      <c r="C1816">
        <v>170</v>
      </c>
      <c r="D1816">
        <f t="shared" si="84"/>
        <v>153.4</v>
      </c>
      <c r="E1816">
        <f t="shared" si="85"/>
        <v>5</v>
      </c>
      <c r="F1816">
        <f t="shared" si="86"/>
        <v>9.7647058823529378E-2</v>
      </c>
    </row>
    <row r="1817" spans="1:6" x14ac:dyDescent="0.25">
      <c r="A1817" t="s">
        <v>155</v>
      </c>
      <c r="B1817" s="1">
        <v>46174</v>
      </c>
      <c r="C1817">
        <v>182</v>
      </c>
      <c r="D1817">
        <f t="shared" si="84"/>
        <v>164.4</v>
      </c>
      <c r="E1817">
        <f t="shared" si="85"/>
        <v>5</v>
      </c>
      <c r="F1817">
        <f t="shared" si="86"/>
        <v>9.6703296703296679E-2</v>
      </c>
    </row>
    <row r="1818" spans="1:6" x14ac:dyDescent="0.25">
      <c r="A1818" t="s">
        <v>155</v>
      </c>
      <c r="B1818" s="1">
        <v>46181</v>
      </c>
      <c r="C1818">
        <v>163</v>
      </c>
      <c r="D1818">
        <f t="shared" si="84"/>
        <v>175.6</v>
      </c>
      <c r="E1818">
        <f t="shared" si="85"/>
        <v>5</v>
      </c>
      <c r="F1818">
        <f t="shared" si="86"/>
        <v>7.7300613496932485E-2</v>
      </c>
    </row>
    <row r="1819" spans="1:6" x14ac:dyDescent="0.25">
      <c r="A1819" t="s">
        <v>155</v>
      </c>
      <c r="B1819" s="1">
        <v>46188</v>
      </c>
      <c r="C1819">
        <v>144</v>
      </c>
      <c r="D1819">
        <f t="shared" si="84"/>
        <v>167.8</v>
      </c>
      <c r="E1819">
        <f t="shared" si="85"/>
        <v>5</v>
      </c>
      <c r="F1819">
        <f t="shared" si="86"/>
        <v>0.16527777777777786</v>
      </c>
    </row>
    <row r="1820" spans="1:6" x14ac:dyDescent="0.25">
      <c r="A1820" t="s">
        <v>155</v>
      </c>
      <c r="B1820" s="1">
        <v>46195</v>
      </c>
      <c r="C1820">
        <v>156</v>
      </c>
      <c r="D1820">
        <f t="shared" si="84"/>
        <v>166.2</v>
      </c>
      <c r="E1820">
        <f t="shared" si="85"/>
        <v>5</v>
      </c>
      <c r="F1820">
        <f t="shared" si="86"/>
        <v>6.5384615384615305E-2</v>
      </c>
    </row>
    <row r="1821" spans="1:6" x14ac:dyDescent="0.25">
      <c r="A1821" t="s">
        <v>155</v>
      </c>
      <c r="B1821" s="1">
        <v>46202</v>
      </c>
      <c r="C1821">
        <v>123</v>
      </c>
      <c r="D1821">
        <f t="shared" si="84"/>
        <v>163</v>
      </c>
      <c r="E1821">
        <f t="shared" si="85"/>
        <v>5</v>
      </c>
      <c r="F1821">
        <f t="shared" si="86"/>
        <v>0.32520325203252032</v>
      </c>
    </row>
    <row r="1822" spans="1:6" x14ac:dyDescent="0.25">
      <c r="A1822" t="s">
        <v>157</v>
      </c>
      <c r="B1822" s="1">
        <v>46027</v>
      </c>
      <c r="C1822">
        <v>60</v>
      </c>
      <c r="D1822" t="str">
        <f t="shared" si="84"/>
        <v/>
      </c>
      <c r="E1822">
        <f t="shared" si="85"/>
        <v>0</v>
      </c>
      <c r="F1822" t="str">
        <f t="shared" si="86"/>
        <v/>
      </c>
    </row>
    <row r="1823" spans="1:6" x14ac:dyDescent="0.25">
      <c r="A1823" t="s">
        <v>157</v>
      </c>
      <c r="B1823" s="1">
        <v>46034</v>
      </c>
      <c r="C1823">
        <v>52</v>
      </c>
      <c r="D1823" t="str">
        <f t="shared" si="84"/>
        <v/>
      </c>
      <c r="E1823">
        <f t="shared" si="85"/>
        <v>1</v>
      </c>
      <c r="F1823" t="str">
        <f t="shared" si="86"/>
        <v/>
      </c>
    </row>
    <row r="1824" spans="1:6" x14ac:dyDescent="0.25">
      <c r="A1824" t="s">
        <v>157</v>
      </c>
      <c r="B1824" s="1">
        <v>46041</v>
      </c>
      <c r="C1824">
        <v>52</v>
      </c>
      <c r="D1824" t="str">
        <f t="shared" si="84"/>
        <v/>
      </c>
      <c r="E1824">
        <f t="shared" si="85"/>
        <v>2</v>
      </c>
      <c r="F1824" t="str">
        <f t="shared" si="86"/>
        <v/>
      </c>
    </row>
    <row r="1825" spans="1:6" x14ac:dyDescent="0.25">
      <c r="A1825" t="s">
        <v>157</v>
      </c>
      <c r="B1825" s="1">
        <v>46048</v>
      </c>
      <c r="C1825">
        <v>57</v>
      </c>
      <c r="D1825" t="str">
        <f t="shared" si="84"/>
        <v/>
      </c>
      <c r="E1825">
        <f t="shared" si="85"/>
        <v>3</v>
      </c>
      <c r="F1825" t="str">
        <f t="shared" si="86"/>
        <v/>
      </c>
    </row>
    <row r="1826" spans="1:6" x14ac:dyDescent="0.25">
      <c r="A1826" t="s">
        <v>157</v>
      </c>
      <c r="B1826" s="1">
        <v>46055</v>
      </c>
      <c r="C1826">
        <v>45</v>
      </c>
      <c r="D1826" t="str">
        <f t="shared" si="84"/>
        <v/>
      </c>
      <c r="E1826">
        <f t="shared" si="85"/>
        <v>4</v>
      </c>
      <c r="F1826" t="str">
        <f t="shared" si="86"/>
        <v/>
      </c>
    </row>
    <row r="1827" spans="1:6" x14ac:dyDescent="0.25">
      <c r="A1827" t="s">
        <v>157</v>
      </c>
      <c r="B1827" s="1">
        <v>46062</v>
      </c>
      <c r="C1827">
        <v>47</v>
      </c>
      <c r="D1827">
        <f t="shared" si="84"/>
        <v>53.2</v>
      </c>
      <c r="E1827">
        <f t="shared" si="85"/>
        <v>5</v>
      </c>
      <c r="F1827">
        <f t="shared" si="86"/>
        <v>0.13191489361702133</v>
      </c>
    </row>
    <row r="1828" spans="1:6" x14ac:dyDescent="0.25">
      <c r="A1828" t="s">
        <v>157</v>
      </c>
      <c r="B1828" s="1">
        <v>46069</v>
      </c>
      <c r="C1828">
        <v>55</v>
      </c>
      <c r="D1828">
        <f t="shared" si="84"/>
        <v>50.6</v>
      </c>
      <c r="E1828">
        <f t="shared" si="85"/>
        <v>5</v>
      </c>
      <c r="F1828">
        <f t="shared" si="86"/>
        <v>7.9999999999999974E-2</v>
      </c>
    </row>
    <row r="1829" spans="1:6" x14ac:dyDescent="0.25">
      <c r="A1829" t="s">
        <v>157</v>
      </c>
      <c r="B1829" s="1">
        <v>46076</v>
      </c>
      <c r="C1829">
        <v>57</v>
      </c>
      <c r="D1829">
        <f t="shared" si="84"/>
        <v>51.2</v>
      </c>
      <c r="E1829">
        <f t="shared" si="85"/>
        <v>5</v>
      </c>
      <c r="F1829">
        <f t="shared" si="86"/>
        <v>0.10175438596491224</v>
      </c>
    </row>
    <row r="1830" spans="1:6" x14ac:dyDescent="0.25">
      <c r="A1830" t="s">
        <v>157</v>
      </c>
      <c r="B1830" s="1">
        <v>46083</v>
      </c>
      <c r="C1830">
        <v>58</v>
      </c>
      <c r="D1830">
        <f t="shared" si="84"/>
        <v>52.2</v>
      </c>
      <c r="E1830">
        <f t="shared" si="85"/>
        <v>5</v>
      </c>
      <c r="F1830">
        <f t="shared" si="86"/>
        <v>9.999999999999995E-2</v>
      </c>
    </row>
    <row r="1831" spans="1:6" x14ac:dyDescent="0.25">
      <c r="A1831" t="s">
        <v>157</v>
      </c>
      <c r="B1831" s="1">
        <v>46090</v>
      </c>
      <c r="C1831">
        <v>48</v>
      </c>
      <c r="D1831">
        <f t="shared" si="84"/>
        <v>52.4</v>
      </c>
      <c r="E1831">
        <f t="shared" si="85"/>
        <v>5</v>
      </c>
      <c r="F1831">
        <f t="shared" si="86"/>
        <v>9.1666666666666632E-2</v>
      </c>
    </row>
    <row r="1832" spans="1:6" x14ac:dyDescent="0.25">
      <c r="A1832" t="s">
        <v>157</v>
      </c>
      <c r="B1832" s="1">
        <v>46097</v>
      </c>
      <c r="C1832">
        <v>58</v>
      </c>
      <c r="D1832">
        <f t="shared" si="84"/>
        <v>53</v>
      </c>
      <c r="E1832">
        <f t="shared" si="85"/>
        <v>5</v>
      </c>
      <c r="F1832">
        <f t="shared" si="86"/>
        <v>8.6206896551724144E-2</v>
      </c>
    </row>
    <row r="1833" spans="1:6" x14ac:dyDescent="0.25">
      <c r="A1833" t="s">
        <v>157</v>
      </c>
      <c r="B1833" s="1">
        <v>46104</v>
      </c>
      <c r="C1833">
        <v>57</v>
      </c>
      <c r="D1833">
        <f t="shared" si="84"/>
        <v>55.2</v>
      </c>
      <c r="E1833">
        <f t="shared" si="85"/>
        <v>5</v>
      </c>
      <c r="F1833">
        <f t="shared" si="86"/>
        <v>3.1578947368421005E-2</v>
      </c>
    </row>
    <row r="1834" spans="1:6" x14ac:dyDescent="0.25">
      <c r="A1834" t="s">
        <v>157</v>
      </c>
      <c r="B1834" s="1">
        <v>46111</v>
      </c>
      <c r="C1834">
        <v>60</v>
      </c>
      <c r="D1834">
        <f t="shared" si="84"/>
        <v>55.6</v>
      </c>
      <c r="E1834">
        <f t="shared" si="85"/>
        <v>5</v>
      </c>
      <c r="F1834">
        <f t="shared" si="86"/>
        <v>7.3333333333333306E-2</v>
      </c>
    </row>
    <row r="1835" spans="1:6" x14ac:dyDescent="0.25">
      <c r="A1835" t="s">
        <v>157</v>
      </c>
      <c r="B1835" s="1">
        <v>46118</v>
      </c>
      <c r="C1835">
        <v>55</v>
      </c>
      <c r="D1835">
        <f t="shared" si="84"/>
        <v>56.2</v>
      </c>
      <c r="E1835">
        <f t="shared" si="85"/>
        <v>5</v>
      </c>
      <c r="F1835">
        <f t="shared" si="86"/>
        <v>2.1818181818181868E-2</v>
      </c>
    </row>
    <row r="1836" spans="1:6" x14ac:dyDescent="0.25">
      <c r="A1836" t="s">
        <v>157</v>
      </c>
      <c r="B1836" s="1">
        <v>46125</v>
      </c>
      <c r="C1836">
        <v>58</v>
      </c>
      <c r="D1836">
        <f t="shared" si="84"/>
        <v>55.6</v>
      </c>
      <c r="E1836">
        <f t="shared" si="85"/>
        <v>5</v>
      </c>
      <c r="F1836">
        <f t="shared" si="86"/>
        <v>4.1379310344827565E-2</v>
      </c>
    </row>
    <row r="1837" spans="1:6" x14ac:dyDescent="0.25">
      <c r="A1837" t="s">
        <v>157</v>
      </c>
      <c r="B1837" s="1">
        <v>46132</v>
      </c>
      <c r="C1837">
        <v>62</v>
      </c>
      <c r="D1837">
        <f t="shared" si="84"/>
        <v>57.6</v>
      </c>
      <c r="E1837">
        <f t="shared" si="85"/>
        <v>5</v>
      </c>
      <c r="F1837">
        <f t="shared" si="86"/>
        <v>7.0967741935483844E-2</v>
      </c>
    </row>
    <row r="1838" spans="1:6" x14ac:dyDescent="0.25">
      <c r="A1838" t="s">
        <v>157</v>
      </c>
      <c r="B1838" s="1">
        <v>46139</v>
      </c>
      <c r="C1838">
        <v>68</v>
      </c>
      <c r="D1838">
        <f t="shared" si="84"/>
        <v>58.4</v>
      </c>
      <c r="E1838">
        <f t="shared" si="85"/>
        <v>5</v>
      </c>
      <c r="F1838">
        <f t="shared" si="86"/>
        <v>0.14117647058823532</v>
      </c>
    </row>
    <row r="1839" spans="1:6" x14ac:dyDescent="0.25">
      <c r="A1839" t="s">
        <v>157</v>
      </c>
      <c r="B1839" s="1">
        <v>46146</v>
      </c>
      <c r="C1839">
        <v>60</v>
      </c>
      <c r="D1839">
        <f t="shared" si="84"/>
        <v>60.6</v>
      </c>
      <c r="E1839">
        <f t="shared" si="85"/>
        <v>5</v>
      </c>
      <c r="F1839">
        <f t="shared" si="86"/>
        <v>1.0000000000000024E-2</v>
      </c>
    </row>
    <row r="1840" spans="1:6" x14ac:dyDescent="0.25">
      <c r="A1840" t="s">
        <v>157</v>
      </c>
      <c r="B1840" s="1">
        <v>46153</v>
      </c>
      <c r="C1840">
        <v>64</v>
      </c>
      <c r="D1840">
        <f t="shared" si="84"/>
        <v>60.6</v>
      </c>
      <c r="E1840">
        <f t="shared" si="85"/>
        <v>5</v>
      </c>
      <c r="F1840">
        <f t="shared" si="86"/>
        <v>5.3124999999999978E-2</v>
      </c>
    </row>
    <row r="1841" spans="1:6" x14ac:dyDescent="0.25">
      <c r="A1841" t="s">
        <v>157</v>
      </c>
      <c r="B1841" s="1">
        <v>46160</v>
      </c>
      <c r="C1841">
        <v>62</v>
      </c>
      <c r="D1841">
        <f t="shared" si="84"/>
        <v>62.4</v>
      </c>
      <c r="E1841">
        <f t="shared" si="85"/>
        <v>5</v>
      </c>
      <c r="F1841">
        <f t="shared" si="86"/>
        <v>6.4516129032257839E-3</v>
      </c>
    </row>
    <row r="1842" spans="1:6" x14ac:dyDescent="0.25">
      <c r="A1842" t="s">
        <v>157</v>
      </c>
      <c r="B1842" s="1">
        <v>46167</v>
      </c>
      <c r="C1842">
        <v>67</v>
      </c>
      <c r="D1842">
        <f t="shared" si="84"/>
        <v>63.2</v>
      </c>
      <c r="E1842">
        <f t="shared" si="85"/>
        <v>5</v>
      </c>
      <c r="F1842">
        <f t="shared" si="86"/>
        <v>5.6716417910447715E-2</v>
      </c>
    </row>
    <row r="1843" spans="1:6" x14ac:dyDescent="0.25">
      <c r="A1843" t="s">
        <v>157</v>
      </c>
      <c r="B1843" s="1">
        <v>46174</v>
      </c>
      <c r="C1843">
        <v>64</v>
      </c>
      <c r="D1843">
        <f t="shared" si="84"/>
        <v>64.2</v>
      </c>
      <c r="E1843">
        <f t="shared" si="85"/>
        <v>5</v>
      </c>
      <c r="F1843">
        <f t="shared" si="86"/>
        <v>3.1250000000000444E-3</v>
      </c>
    </row>
    <row r="1844" spans="1:6" x14ac:dyDescent="0.25">
      <c r="A1844" t="s">
        <v>157</v>
      </c>
      <c r="B1844" s="1">
        <v>46181</v>
      </c>
      <c r="C1844">
        <v>64</v>
      </c>
      <c r="D1844">
        <f t="shared" si="84"/>
        <v>63.4</v>
      </c>
      <c r="E1844">
        <f t="shared" si="85"/>
        <v>5</v>
      </c>
      <c r="F1844">
        <f t="shared" si="86"/>
        <v>9.3750000000000222E-3</v>
      </c>
    </row>
    <row r="1845" spans="1:6" x14ac:dyDescent="0.25">
      <c r="A1845" t="s">
        <v>157</v>
      </c>
      <c r="B1845" s="1">
        <v>46188</v>
      </c>
      <c r="C1845">
        <v>72</v>
      </c>
      <c r="D1845">
        <f t="shared" si="84"/>
        <v>64.2</v>
      </c>
      <c r="E1845">
        <f t="shared" si="85"/>
        <v>5</v>
      </c>
      <c r="F1845">
        <f t="shared" si="86"/>
        <v>0.1083333333333333</v>
      </c>
    </row>
    <row r="1846" spans="1:6" x14ac:dyDescent="0.25">
      <c r="A1846" t="s">
        <v>157</v>
      </c>
      <c r="B1846" s="1">
        <v>46195</v>
      </c>
      <c r="C1846">
        <v>63</v>
      </c>
      <c r="D1846">
        <f t="shared" si="84"/>
        <v>65.8</v>
      </c>
      <c r="E1846">
        <f t="shared" si="85"/>
        <v>5</v>
      </c>
      <c r="F1846">
        <f t="shared" si="86"/>
        <v>4.4444444444444398E-2</v>
      </c>
    </row>
    <row r="1847" spans="1:6" x14ac:dyDescent="0.25">
      <c r="A1847" t="s">
        <v>157</v>
      </c>
      <c r="B1847" s="1">
        <v>46202</v>
      </c>
      <c r="C1847">
        <v>74</v>
      </c>
      <c r="D1847">
        <f t="shared" si="84"/>
        <v>66</v>
      </c>
      <c r="E1847">
        <f t="shared" si="85"/>
        <v>5</v>
      </c>
      <c r="F1847">
        <f t="shared" si="86"/>
        <v>0.10810810810810811</v>
      </c>
    </row>
    <row r="1848" spans="1:6" x14ac:dyDescent="0.25">
      <c r="A1848" t="s">
        <v>159</v>
      </c>
      <c r="B1848" s="1">
        <v>46027</v>
      </c>
      <c r="C1848">
        <v>83</v>
      </c>
      <c r="D1848" t="str">
        <f t="shared" si="84"/>
        <v/>
      </c>
      <c r="E1848">
        <f t="shared" si="85"/>
        <v>0</v>
      </c>
      <c r="F1848" t="str">
        <f t="shared" si="86"/>
        <v/>
      </c>
    </row>
    <row r="1849" spans="1:6" x14ac:dyDescent="0.25">
      <c r="A1849" t="s">
        <v>159</v>
      </c>
      <c r="B1849" s="1">
        <v>46034</v>
      </c>
      <c r="C1849">
        <v>81</v>
      </c>
      <c r="D1849" t="str">
        <f t="shared" si="84"/>
        <v/>
      </c>
      <c r="E1849">
        <f t="shared" si="85"/>
        <v>1</v>
      </c>
      <c r="F1849" t="str">
        <f t="shared" si="86"/>
        <v/>
      </c>
    </row>
    <row r="1850" spans="1:6" x14ac:dyDescent="0.25">
      <c r="A1850" t="s">
        <v>159</v>
      </c>
      <c r="B1850" s="1">
        <v>46041</v>
      </c>
      <c r="C1850">
        <v>93</v>
      </c>
      <c r="D1850" t="str">
        <f t="shared" si="84"/>
        <v/>
      </c>
      <c r="E1850">
        <f t="shared" si="85"/>
        <v>2</v>
      </c>
      <c r="F1850" t="str">
        <f t="shared" si="86"/>
        <v/>
      </c>
    </row>
    <row r="1851" spans="1:6" x14ac:dyDescent="0.25">
      <c r="A1851" t="s">
        <v>159</v>
      </c>
      <c r="B1851" s="1">
        <v>46048</v>
      </c>
      <c r="C1851">
        <v>68</v>
      </c>
      <c r="D1851" t="str">
        <f t="shared" si="84"/>
        <v/>
      </c>
      <c r="E1851">
        <f t="shared" si="85"/>
        <v>3</v>
      </c>
      <c r="F1851" t="str">
        <f t="shared" si="86"/>
        <v/>
      </c>
    </row>
    <row r="1852" spans="1:6" x14ac:dyDescent="0.25">
      <c r="A1852" t="s">
        <v>159</v>
      </c>
      <c r="B1852" s="1">
        <v>46055</v>
      </c>
      <c r="C1852">
        <v>103</v>
      </c>
      <c r="D1852" t="str">
        <f t="shared" si="84"/>
        <v/>
      </c>
      <c r="E1852">
        <f t="shared" si="85"/>
        <v>4</v>
      </c>
      <c r="F1852" t="str">
        <f t="shared" si="86"/>
        <v/>
      </c>
    </row>
    <row r="1853" spans="1:6" x14ac:dyDescent="0.25">
      <c r="A1853" t="s">
        <v>159</v>
      </c>
      <c r="B1853" s="1">
        <v>46062</v>
      </c>
      <c r="C1853">
        <v>56</v>
      </c>
      <c r="D1853">
        <f t="shared" si="84"/>
        <v>85.6</v>
      </c>
      <c r="E1853">
        <f t="shared" si="85"/>
        <v>5</v>
      </c>
      <c r="F1853">
        <f t="shared" si="86"/>
        <v>0.52857142857142847</v>
      </c>
    </row>
    <row r="1854" spans="1:6" x14ac:dyDescent="0.25">
      <c r="A1854" t="s">
        <v>159</v>
      </c>
      <c r="B1854" s="1">
        <v>46069</v>
      </c>
      <c r="C1854">
        <v>89</v>
      </c>
      <c r="D1854">
        <f t="shared" si="84"/>
        <v>80.2</v>
      </c>
      <c r="E1854">
        <f t="shared" si="85"/>
        <v>5</v>
      </c>
      <c r="F1854">
        <f t="shared" si="86"/>
        <v>9.8876404494381995E-2</v>
      </c>
    </row>
    <row r="1855" spans="1:6" x14ac:dyDescent="0.25">
      <c r="A1855" t="s">
        <v>159</v>
      </c>
      <c r="B1855" s="1">
        <v>46076</v>
      </c>
      <c r="C1855">
        <v>83</v>
      </c>
      <c r="D1855">
        <f t="shared" si="84"/>
        <v>81.8</v>
      </c>
      <c r="E1855">
        <f t="shared" si="85"/>
        <v>5</v>
      </c>
      <c r="F1855">
        <f t="shared" si="86"/>
        <v>1.445783132530124E-2</v>
      </c>
    </row>
    <row r="1856" spans="1:6" x14ac:dyDescent="0.25">
      <c r="A1856" t="s">
        <v>159</v>
      </c>
      <c r="B1856" s="1">
        <v>46083</v>
      </c>
      <c r="C1856">
        <v>87</v>
      </c>
      <c r="D1856">
        <f t="shared" si="84"/>
        <v>79.8</v>
      </c>
      <c r="E1856">
        <f t="shared" si="85"/>
        <v>5</v>
      </c>
      <c r="F1856">
        <f t="shared" si="86"/>
        <v>8.2758620689655199E-2</v>
      </c>
    </row>
    <row r="1857" spans="1:6" x14ac:dyDescent="0.25">
      <c r="A1857" t="s">
        <v>159</v>
      </c>
      <c r="B1857" s="1">
        <v>46090</v>
      </c>
      <c r="C1857">
        <v>65</v>
      </c>
      <c r="D1857">
        <f t="shared" si="84"/>
        <v>83.6</v>
      </c>
      <c r="E1857">
        <f t="shared" si="85"/>
        <v>5</v>
      </c>
      <c r="F1857">
        <f t="shared" si="86"/>
        <v>0.28615384615384609</v>
      </c>
    </row>
    <row r="1858" spans="1:6" x14ac:dyDescent="0.25">
      <c r="A1858" t="s">
        <v>159</v>
      </c>
      <c r="B1858" s="1">
        <v>46097</v>
      </c>
      <c r="C1858">
        <v>98</v>
      </c>
      <c r="D1858">
        <f t="shared" ref="D1858:D1921" si="87">IF(E1858 &lt; 5, "", AVERAGEIFS(C:C, A:A, A1858, B:B, "&gt;=" &amp; (B1858-35), B:B, "&lt;=" &amp; (B1858-7)))</f>
        <v>76</v>
      </c>
      <c r="E1858">
        <f t="shared" ref="E1858:E1921" si="88">COUNTIFS(A:A, A1858, B:B, "&gt;=" &amp; (B1858-35), B:B, "&lt;=" &amp; (B1858-7))</f>
        <v>5</v>
      </c>
      <c r="F1858">
        <f t="shared" ref="F1858:F1921" si="89">IF(OR(C1858=0, D1858=""), "", ABS(C1858 - D1858) / C1858)</f>
        <v>0.22448979591836735</v>
      </c>
    </row>
    <row r="1859" spans="1:6" x14ac:dyDescent="0.25">
      <c r="A1859" t="s">
        <v>159</v>
      </c>
      <c r="B1859" s="1">
        <v>46104</v>
      </c>
      <c r="C1859">
        <v>88</v>
      </c>
      <c r="D1859">
        <f t="shared" si="87"/>
        <v>84.4</v>
      </c>
      <c r="E1859">
        <f t="shared" si="88"/>
        <v>5</v>
      </c>
      <c r="F1859">
        <f t="shared" si="89"/>
        <v>4.0909090909090846E-2</v>
      </c>
    </row>
    <row r="1860" spans="1:6" x14ac:dyDescent="0.25">
      <c r="A1860" t="s">
        <v>159</v>
      </c>
      <c r="B1860" s="1">
        <v>46111</v>
      </c>
      <c r="C1860">
        <v>87</v>
      </c>
      <c r="D1860">
        <f t="shared" si="87"/>
        <v>84.2</v>
      </c>
      <c r="E1860">
        <f t="shared" si="88"/>
        <v>5</v>
      </c>
      <c r="F1860">
        <f t="shared" si="89"/>
        <v>3.2183908045976976E-2</v>
      </c>
    </row>
    <row r="1861" spans="1:6" x14ac:dyDescent="0.25">
      <c r="A1861" t="s">
        <v>159</v>
      </c>
      <c r="B1861" s="1">
        <v>46118</v>
      </c>
      <c r="C1861">
        <v>100</v>
      </c>
      <c r="D1861">
        <f t="shared" si="87"/>
        <v>85</v>
      </c>
      <c r="E1861">
        <f t="shared" si="88"/>
        <v>5</v>
      </c>
      <c r="F1861">
        <f t="shared" si="89"/>
        <v>0.15</v>
      </c>
    </row>
    <row r="1862" spans="1:6" x14ac:dyDescent="0.25">
      <c r="A1862" t="s">
        <v>159</v>
      </c>
      <c r="B1862" s="1">
        <v>46125</v>
      </c>
      <c r="C1862">
        <v>90</v>
      </c>
      <c r="D1862">
        <f t="shared" si="87"/>
        <v>87.6</v>
      </c>
      <c r="E1862">
        <f t="shared" si="88"/>
        <v>5</v>
      </c>
      <c r="F1862">
        <f t="shared" si="89"/>
        <v>2.6666666666666731E-2</v>
      </c>
    </row>
    <row r="1863" spans="1:6" x14ac:dyDescent="0.25">
      <c r="A1863" t="s">
        <v>159</v>
      </c>
      <c r="B1863" s="1">
        <v>46132</v>
      </c>
      <c r="C1863">
        <v>90</v>
      </c>
      <c r="D1863">
        <f t="shared" si="87"/>
        <v>92.6</v>
      </c>
      <c r="E1863">
        <f t="shared" si="88"/>
        <v>5</v>
      </c>
      <c r="F1863">
        <f t="shared" si="89"/>
        <v>2.8888888888888825E-2</v>
      </c>
    </row>
    <row r="1864" spans="1:6" x14ac:dyDescent="0.25">
      <c r="A1864" t="s">
        <v>159</v>
      </c>
      <c r="B1864" s="1">
        <v>46139</v>
      </c>
      <c r="C1864">
        <v>100</v>
      </c>
      <c r="D1864">
        <f t="shared" si="87"/>
        <v>91</v>
      </c>
      <c r="E1864">
        <f t="shared" si="88"/>
        <v>5</v>
      </c>
      <c r="F1864">
        <f t="shared" si="89"/>
        <v>0.09</v>
      </c>
    </row>
    <row r="1865" spans="1:6" x14ac:dyDescent="0.25">
      <c r="A1865" t="s">
        <v>159</v>
      </c>
      <c r="B1865" s="1">
        <v>46146</v>
      </c>
      <c r="C1865">
        <v>90</v>
      </c>
      <c r="D1865">
        <f t="shared" si="87"/>
        <v>93.4</v>
      </c>
      <c r="E1865">
        <f t="shared" si="88"/>
        <v>5</v>
      </c>
      <c r="F1865">
        <f t="shared" si="89"/>
        <v>3.7777777777777841E-2</v>
      </c>
    </row>
    <row r="1866" spans="1:6" x14ac:dyDescent="0.25">
      <c r="A1866" t="s">
        <v>159</v>
      </c>
      <c r="B1866" s="1">
        <v>46153</v>
      </c>
      <c r="C1866">
        <v>96</v>
      </c>
      <c r="D1866">
        <f t="shared" si="87"/>
        <v>94</v>
      </c>
      <c r="E1866">
        <f t="shared" si="88"/>
        <v>5</v>
      </c>
      <c r="F1866">
        <f t="shared" si="89"/>
        <v>2.0833333333333332E-2</v>
      </c>
    </row>
    <row r="1867" spans="1:6" x14ac:dyDescent="0.25">
      <c r="A1867" t="s">
        <v>159</v>
      </c>
      <c r="B1867" s="1">
        <v>46160</v>
      </c>
      <c r="C1867">
        <v>89</v>
      </c>
      <c r="D1867">
        <f t="shared" si="87"/>
        <v>93.2</v>
      </c>
      <c r="E1867">
        <f t="shared" si="88"/>
        <v>5</v>
      </c>
      <c r="F1867">
        <f t="shared" si="89"/>
        <v>4.7191011235955087E-2</v>
      </c>
    </row>
    <row r="1868" spans="1:6" x14ac:dyDescent="0.25">
      <c r="A1868" t="s">
        <v>159</v>
      </c>
      <c r="B1868" s="1">
        <v>46167</v>
      </c>
      <c r="C1868">
        <v>87</v>
      </c>
      <c r="D1868">
        <f t="shared" si="87"/>
        <v>93</v>
      </c>
      <c r="E1868">
        <f t="shared" si="88"/>
        <v>5</v>
      </c>
      <c r="F1868">
        <f t="shared" si="89"/>
        <v>6.8965517241379309E-2</v>
      </c>
    </row>
    <row r="1869" spans="1:6" x14ac:dyDescent="0.25">
      <c r="A1869" t="s">
        <v>159</v>
      </c>
      <c r="B1869" s="1">
        <v>46174</v>
      </c>
      <c r="C1869">
        <v>95</v>
      </c>
      <c r="D1869">
        <f t="shared" si="87"/>
        <v>92.4</v>
      </c>
      <c r="E1869">
        <f t="shared" si="88"/>
        <v>5</v>
      </c>
      <c r="F1869">
        <f t="shared" si="89"/>
        <v>2.7368421052631518E-2</v>
      </c>
    </row>
    <row r="1870" spans="1:6" x14ac:dyDescent="0.25">
      <c r="A1870" t="s">
        <v>159</v>
      </c>
      <c r="B1870" s="1">
        <v>46181</v>
      </c>
      <c r="C1870">
        <v>89</v>
      </c>
      <c r="D1870">
        <f t="shared" si="87"/>
        <v>91.4</v>
      </c>
      <c r="E1870">
        <f t="shared" si="88"/>
        <v>5</v>
      </c>
      <c r="F1870">
        <f t="shared" si="89"/>
        <v>2.6966292134831524E-2</v>
      </c>
    </row>
    <row r="1871" spans="1:6" x14ac:dyDescent="0.25">
      <c r="A1871" t="s">
        <v>159</v>
      </c>
      <c r="B1871" s="1">
        <v>46188</v>
      </c>
      <c r="C1871">
        <v>100</v>
      </c>
      <c r="D1871">
        <f t="shared" si="87"/>
        <v>91.2</v>
      </c>
      <c r="E1871">
        <f t="shared" si="88"/>
        <v>5</v>
      </c>
      <c r="F1871">
        <f t="shared" si="89"/>
        <v>8.7999999999999967E-2</v>
      </c>
    </row>
    <row r="1872" spans="1:6" x14ac:dyDescent="0.25">
      <c r="A1872" t="s">
        <v>159</v>
      </c>
      <c r="B1872" s="1">
        <v>46195</v>
      </c>
      <c r="C1872">
        <v>95</v>
      </c>
      <c r="D1872">
        <f t="shared" si="87"/>
        <v>92</v>
      </c>
      <c r="E1872">
        <f t="shared" si="88"/>
        <v>5</v>
      </c>
      <c r="F1872">
        <f t="shared" si="89"/>
        <v>3.1578947368421054E-2</v>
      </c>
    </row>
    <row r="1873" spans="1:6" x14ac:dyDescent="0.25">
      <c r="A1873" t="s">
        <v>159</v>
      </c>
      <c r="B1873" s="1">
        <v>46202</v>
      </c>
      <c r="C1873">
        <v>93</v>
      </c>
      <c r="D1873">
        <f t="shared" si="87"/>
        <v>93.2</v>
      </c>
      <c r="E1873">
        <f t="shared" si="88"/>
        <v>5</v>
      </c>
      <c r="F1873">
        <f t="shared" si="89"/>
        <v>2.1505376344086325E-3</v>
      </c>
    </row>
    <row r="1874" spans="1:6" x14ac:dyDescent="0.25">
      <c r="A1874" t="s">
        <v>161</v>
      </c>
      <c r="B1874" s="1">
        <v>46027</v>
      </c>
      <c r="C1874">
        <v>128</v>
      </c>
      <c r="D1874" t="str">
        <f t="shared" si="87"/>
        <v/>
      </c>
      <c r="E1874">
        <f t="shared" si="88"/>
        <v>0</v>
      </c>
      <c r="F1874" t="str">
        <f t="shared" si="89"/>
        <v/>
      </c>
    </row>
    <row r="1875" spans="1:6" x14ac:dyDescent="0.25">
      <c r="A1875" t="s">
        <v>161</v>
      </c>
      <c r="B1875" s="1">
        <v>46034</v>
      </c>
      <c r="C1875">
        <v>110</v>
      </c>
      <c r="D1875" t="str">
        <f t="shared" si="87"/>
        <v/>
      </c>
      <c r="E1875">
        <f t="shared" si="88"/>
        <v>1</v>
      </c>
      <c r="F1875" t="str">
        <f t="shared" si="89"/>
        <v/>
      </c>
    </row>
    <row r="1876" spans="1:6" x14ac:dyDescent="0.25">
      <c r="A1876" t="s">
        <v>161</v>
      </c>
      <c r="B1876" s="1">
        <v>46041</v>
      </c>
      <c r="C1876">
        <v>133</v>
      </c>
      <c r="D1876" t="str">
        <f t="shared" si="87"/>
        <v/>
      </c>
      <c r="E1876">
        <f t="shared" si="88"/>
        <v>2</v>
      </c>
      <c r="F1876" t="str">
        <f t="shared" si="89"/>
        <v/>
      </c>
    </row>
    <row r="1877" spans="1:6" x14ac:dyDescent="0.25">
      <c r="A1877" t="s">
        <v>161</v>
      </c>
      <c r="B1877" s="1">
        <v>46048</v>
      </c>
      <c r="C1877">
        <v>80</v>
      </c>
      <c r="D1877" t="str">
        <f t="shared" si="87"/>
        <v/>
      </c>
      <c r="E1877">
        <f t="shared" si="88"/>
        <v>3</v>
      </c>
      <c r="F1877" t="str">
        <f t="shared" si="89"/>
        <v/>
      </c>
    </row>
    <row r="1878" spans="1:6" x14ac:dyDescent="0.25">
      <c r="A1878" t="s">
        <v>161</v>
      </c>
      <c r="B1878" s="1">
        <v>46055</v>
      </c>
      <c r="C1878">
        <v>152</v>
      </c>
      <c r="D1878" t="str">
        <f t="shared" si="87"/>
        <v/>
      </c>
      <c r="E1878">
        <f t="shared" si="88"/>
        <v>4</v>
      </c>
      <c r="F1878" t="str">
        <f t="shared" si="89"/>
        <v/>
      </c>
    </row>
    <row r="1879" spans="1:6" x14ac:dyDescent="0.25">
      <c r="A1879" t="s">
        <v>161</v>
      </c>
      <c r="B1879" s="1">
        <v>46062</v>
      </c>
      <c r="C1879">
        <v>136</v>
      </c>
      <c r="D1879">
        <f t="shared" si="87"/>
        <v>120.6</v>
      </c>
      <c r="E1879">
        <f t="shared" si="88"/>
        <v>5</v>
      </c>
      <c r="F1879">
        <f t="shared" si="89"/>
        <v>0.1132352941176471</v>
      </c>
    </row>
    <row r="1880" spans="1:6" x14ac:dyDescent="0.25">
      <c r="A1880" t="s">
        <v>161</v>
      </c>
      <c r="B1880" s="1">
        <v>46069</v>
      </c>
      <c r="C1880">
        <v>143</v>
      </c>
      <c r="D1880">
        <f t="shared" si="87"/>
        <v>122.2</v>
      </c>
      <c r="E1880">
        <f t="shared" si="88"/>
        <v>5</v>
      </c>
      <c r="F1880">
        <f t="shared" si="89"/>
        <v>0.14545454545454545</v>
      </c>
    </row>
    <row r="1881" spans="1:6" x14ac:dyDescent="0.25">
      <c r="A1881" t="s">
        <v>161</v>
      </c>
      <c r="B1881" s="1">
        <v>46076</v>
      </c>
      <c r="C1881">
        <v>85</v>
      </c>
      <c r="D1881">
        <f t="shared" si="87"/>
        <v>128.80000000000001</v>
      </c>
      <c r="E1881">
        <f t="shared" si="88"/>
        <v>5</v>
      </c>
      <c r="F1881">
        <f t="shared" si="89"/>
        <v>0.5152941176470589</v>
      </c>
    </row>
    <row r="1882" spans="1:6" x14ac:dyDescent="0.25">
      <c r="A1882" t="s">
        <v>161</v>
      </c>
      <c r="B1882" s="1">
        <v>46083</v>
      </c>
      <c r="C1882">
        <v>122</v>
      </c>
      <c r="D1882">
        <f t="shared" si="87"/>
        <v>119.2</v>
      </c>
      <c r="E1882">
        <f t="shared" si="88"/>
        <v>5</v>
      </c>
      <c r="F1882">
        <f t="shared" si="89"/>
        <v>2.2950819672131126E-2</v>
      </c>
    </row>
    <row r="1883" spans="1:6" x14ac:dyDescent="0.25">
      <c r="A1883" t="s">
        <v>161</v>
      </c>
      <c r="B1883" s="1">
        <v>46090</v>
      </c>
      <c r="C1883">
        <v>128</v>
      </c>
      <c r="D1883">
        <f t="shared" si="87"/>
        <v>127.6</v>
      </c>
      <c r="E1883">
        <f t="shared" si="88"/>
        <v>5</v>
      </c>
      <c r="F1883">
        <f t="shared" si="89"/>
        <v>3.1250000000000444E-3</v>
      </c>
    </row>
    <row r="1884" spans="1:6" x14ac:dyDescent="0.25">
      <c r="A1884" t="s">
        <v>161</v>
      </c>
      <c r="B1884" s="1">
        <v>46097</v>
      </c>
      <c r="C1884">
        <v>123</v>
      </c>
      <c r="D1884">
        <f t="shared" si="87"/>
        <v>122.8</v>
      </c>
      <c r="E1884">
        <f t="shared" si="88"/>
        <v>5</v>
      </c>
      <c r="F1884">
        <f t="shared" si="89"/>
        <v>1.6260162601626248E-3</v>
      </c>
    </row>
    <row r="1885" spans="1:6" x14ac:dyDescent="0.25">
      <c r="A1885" t="s">
        <v>161</v>
      </c>
      <c r="B1885" s="1">
        <v>46104</v>
      </c>
      <c r="C1885">
        <v>122</v>
      </c>
      <c r="D1885">
        <f t="shared" si="87"/>
        <v>120.2</v>
      </c>
      <c r="E1885">
        <f t="shared" si="88"/>
        <v>5</v>
      </c>
      <c r="F1885">
        <f t="shared" si="89"/>
        <v>1.4754098360655714E-2</v>
      </c>
    </row>
    <row r="1886" spans="1:6" x14ac:dyDescent="0.25">
      <c r="A1886" t="s">
        <v>161</v>
      </c>
      <c r="B1886" s="1">
        <v>46111</v>
      </c>
      <c r="C1886">
        <v>122</v>
      </c>
      <c r="D1886">
        <f t="shared" si="87"/>
        <v>116</v>
      </c>
      <c r="E1886">
        <f t="shared" si="88"/>
        <v>5</v>
      </c>
      <c r="F1886">
        <f t="shared" si="89"/>
        <v>4.9180327868852458E-2</v>
      </c>
    </row>
    <row r="1887" spans="1:6" x14ac:dyDescent="0.25">
      <c r="A1887" t="s">
        <v>161</v>
      </c>
      <c r="B1887" s="1">
        <v>46118</v>
      </c>
      <c r="C1887">
        <v>169</v>
      </c>
      <c r="D1887">
        <f t="shared" si="87"/>
        <v>123.4</v>
      </c>
      <c r="E1887">
        <f t="shared" si="88"/>
        <v>5</v>
      </c>
      <c r="F1887">
        <f t="shared" si="89"/>
        <v>0.26982248520710056</v>
      </c>
    </row>
    <row r="1888" spans="1:6" x14ac:dyDescent="0.25">
      <c r="A1888" t="s">
        <v>161</v>
      </c>
      <c r="B1888" s="1">
        <v>46125</v>
      </c>
      <c r="C1888">
        <v>131</v>
      </c>
      <c r="D1888">
        <f t="shared" si="87"/>
        <v>132.80000000000001</v>
      </c>
      <c r="E1888">
        <f t="shared" si="88"/>
        <v>5</v>
      </c>
      <c r="F1888">
        <f t="shared" si="89"/>
        <v>1.3740458015267262E-2</v>
      </c>
    </row>
    <row r="1889" spans="1:6" x14ac:dyDescent="0.25">
      <c r="A1889" t="s">
        <v>161</v>
      </c>
      <c r="B1889" s="1">
        <v>46132</v>
      </c>
      <c r="C1889">
        <v>136</v>
      </c>
      <c r="D1889">
        <f t="shared" si="87"/>
        <v>133.4</v>
      </c>
      <c r="E1889">
        <f t="shared" si="88"/>
        <v>5</v>
      </c>
      <c r="F1889">
        <f t="shared" si="89"/>
        <v>1.9117647058823489E-2</v>
      </c>
    </row>
    <row r="1890" spans="1:6" x14ac:dyDescent="0.25">
      <c r="A1890" t="s">
        <v>161</v>
      </c>
      <c r="B1890" s="1">
        <v>46139</v>
      </c>
      <c r="C1890">
        <v>142</v>
      </c>
      <c r="D1890">
        <f t="shared" si="87"/>
        <v>136</v>
      </c>
      <c r="E1890">
        <f t="shared" si="88"/>
        <v>5</v>
      </c>
      <c r="F1890">
        <f t="shared" si="89"/>
        <v>4.2253521126760563E-2</v>
      </c>
    </row>
    <row r="1891" spans="1:6" x14ac:dyDescent="0.25">
      <c r="A1891" t="s">
        <v>161</v>
      </c>
      <c r="B1891" s="1">
        <v>46146</v>
      </c>
      <c r="C1891">
        <v>96</v>
      </c>
      <c r="D1891">
        <f t="shared" si="87"/>
        <v>140</v>
      </c>
      <c r="E1891">
        <f t="shared" si="88"/>
        <v>5</v>
      </c>
      <c r="F1891">
        <f t="shared" si="89"/>
        <v>0.45833333333333331</v>
      </c>
    </row>
    <row r="1892" spans="1:6" x14ac:dyDescent="0.25">
      <c r="A1892" t="s">
        <v>161</v>
      </c>
      <c r="B1892" s="1">
        <v>46153</v>
      </c>
      <c r="C1892">
        <v>134</v>
      </c>
      <c r="D1892">
        <f t="shared" si="87"/>
        <v>134.80000000000001</v>
      </c>
      <c r="E1892">
        <f t="shared" si="88"/>
        <v>5</v>
      </c>
      <c r="F1892">
        <f t="shared" si="89"/>
        <v>5.9701492537314283E-3</v>
      </c>
    </row>
    <row r="1893" spans="1:6" x14ac:dyDescent="0.25">
      <c r="A1893" t="s">
        <v>161</v>
      </c>
      <c r="B1893" s="1">
        <v>46160</v>
      </c>
      <c r="C1893">
        <v>151</v>
      </c>
      <c r="D1893">
        <f t="shared" si="87"/>
        <v>127.8</v>
      </c>
      <c r="E1893">
        <f t="shared" si="88"/>
        <v>5</v>
      </c>
      <c r="F1893">
        <f t="shared" si="89"/>
        <v>0.15364238410596029</v>
      </c>
    </row>
    <row r="1894" spans="1:6" x14ac:dyDescent="0.25">
      <c r="A1894" t="s">
        <v>161</v>
      </c>
      <c r="B1894" s="1">
        <v>46167</v>
      </c>
      <c r="C1894">
        <v>155</v>
      </c>
      <c r="D1894">
        <f t="shared" si="87"/>
        <v>131.80000000000001</v>
      </c>
      <c r="E1894">
        <f t="shared" si="88"/>
        <v>5</v>
      </c>
      <c r="F1894">
        <f t="shared" si="89"/>
        <v>0.14967741935483864</v>
      </c>
    </row>
    <row r="1895" spans="1:6" x14ac:dyDescent="0.25">
      <c r="A1895" t="s">
        <v>161</v>
      </c>
      <c r="B1895" s="1">
        <v>46174</v>
      </c>
      <c r="C1895">
        <v>144</v>
      </c>
      <c r="D1895">
        <f t="shared" si="87"/>
        <v>135.6</v>
      </c>
      <c r="E1895">
        <f t="shared" si="88"/>
        <v>5</v>
      </c>
      <c r="F1895">
        <f t="shared" si="89"/>
        <v>5.8333333333333376E-2</v>
      </c>
    </row>
    <row r="1896" spans="1:6" x14ac:dyDescent="0.25">
      <c r="A1896" t="s">
        <v>161</v>
      </c>
      <c r="B1896" s="1">
        <v>46181</v>
      </c>
      <c r="C1896">
        <v>138</v>
      </c>
      <c r="D1896">
        <f t="shared" si="87"/>
        <v>136</v>
      </c>
      <c r="E1896">
        <f t="shared" si="88"/>
        <v>5</v>
      </c>
      <c r="F1896">
        <f t="shared" si="89"/>
        <v>1.4492753623188406E-2</v>
      </c>
    </row>
    <row r="1897" spans="1:6" x14ac:dyDescent="0.25">
      <c r="A1897" t="s">
        <v>161</v>
      </c>
      <c r="B1897" s="1">
        <v>46188</v>
      </c>
      <c r="C1897">
        <v>157</v>
      </c>
      <c r="D1897">
        <f t="shared" si="87"/>
        <v>144.4</v>
      </c>
      <c r="E1897">
        <f t="shared" si="88"/>
        <v>5</v>
      </c>
      <c r="F1897">
        <f t="shared" si="89"/>
        <v>8.0254777070063663E-2</v>
      </c>
    </row>
    <row r="1898" spans="1:6" x14ac:dyDescent="0.25">
      <c r="A1898" t="s">
        <v>161</v>
      </c>
      <c r="B1898" s="1">
        <v>46195</v>
      </c>
      <c r="C1898">
        <v>102</v>
      </c>
      <c r="D1898">
        <f t="shared" si="87"/>
        <v>149</v>
      </c>
      <c r="E1898">
        <f t="shared" si="88"/>
        <v>5</v>
      </c>
      <c r="F1898">
        <f t="shared" si="89"/>
        <v>0.46078431372549017</v>
      </c>
    </row>
    <row r="1899" spans="1:6" x14ac:dyDescent="0.25">
      <c r="A1899" t="s">
        <v>161</v>
      </c>
      <c r="B1899" s="1">
        <v>46202</v>
      </c>
      <c r="C1899">
        <v>172</v>
      </c>
      <c r="D1899">
        <f t="shared" si="87"/>
        <v>139.19999999999999</v>
      </c>
      <c r="E1899">
        <f t="shared" si="88"/>
        <v>5</v>
      </c>
      <c r="F1899">
        <f t="shared" si="89"/>
        <v>0.19069767441860472</v>
      </c>
    </row>
    <row r="1900" spans="1:6" x14ac:dyDescent="0.25">
      <c r="A1900" t="s">
        <v>163</v>
      </c>
      <c r="B1900" s="1">
        <v>46027</v>
      </c>
      <c r="C1900">
        <v>97</v>
      </c>
      <c r="D1900" t="str">
        <f t="shared" si="87"/>
        <v/>
      </c>
      <c r="E1900">
        <f t="shared" si="88"/>
        <v>0</v>
      </c>
      <c r="F1900" t="str">
        <f t="shared" si="89"/>
        <v/>
      </c>
    </row>
    <row r="1901" spans="1:6" x14ac:dyDescent="0.25">
      <c r="A1901" t="s">
        <v>163</v>
      </c>
      <c r="B1901" s="1">
        <v>46034</v>
      </c>
      <c r="C1901">
        <v>121</v>
      </c>
      <c r="D1901" t="str">
        <f t="shared" si="87"/>
        <v/>
      </c>
      <c r="E1901">
        <f t="shared" si="88"/>
        <v>1</v>
      </c>
      <c r="F1901" t="str">
        <f t="shared" si="89"/>
        <v/>
      </c>
    </row>
    <row r="1902" spans="1:6" x14ac:dyDescent="0.25">
      <c r="A1902" t="s">
        <v>163</v>
      </c>
      <c r="B1902" s="1">
        <v>46041</v>
      </c>
      <c r="C1902">
        <v>70</v>
      </c>
      <c r="D1902" t="str">
        <f t="shared" si="87"/>
        <v/>
      </c>
      <c r="E1902">
        <f t="shared" si="88"/>
        <v>2</v>
      </c>
      <c r="F1902" t="str">
        <f t="shared" si="89"/>
        <v/>
      </c>
    </row>
    <row r="1903" spans="1:6" x14ac:dyDescent="0.25">
      <c r="A1903" t="s">
        <v>163</v>
      </c>
      <c r="B1903" s="1">
        <v>46048</v>
      </c>
      <c r="C1903">
        <v>138</v>
      </c>
      <c r="D1903" t="str">
        <f t="shared" si="87"/>
        <v/>
      </c>
      <c r="E1903">
        <f t="shared" si="88"/>
        <v>3</v>
      </c>
      <c r="F1903" t="str">
        <f t="shared" si="89"/>
        <v/>
      </c>
    </row>
    <row r="1904" spans="1:6" x14ac:dyDescent="0.25">
      <c r="A1904" t="s">
        <v>163</v>
      </c>
      <c r="B1904" s="1">
        <v>46055</v>
      </c>
      <c r="C1904">
        <v>102</v>
      </c>
      <c r="D1904" t="str">
        <f t="shared" si="87"/>
        <v/>
      </c>
      <c r="E1904">
        <f t="shared" si="88"/>
        <v>4</v>
      </c>
      <c r="F1904" t="str">
        <f t="shared" si="89"/>
        <v/>
      </c>
    </row>
    <row r="1905" spans="1:6" x14ac:dyDescent="0.25">
      <c r="A1905" t="s">
        <v>163</v>
      </c>
      <c r="B1905" s="1">
        <v>46062</v>
      </c>
      <c r="C1905">
        <v>129</v>
      </c>
      <c r="D1905">
        <f t="shared" si="87"/>
        <v>105.6</v>
      </c>
      <c r="E1905">
        <f t="shared" si="88"/>
        <v>5</v>
      </c>
      <c r="F1905">
        <f t="shared" si="89"/>
        <v>0.18139534883720934</v>
      </c>
    </row>
    <row r="1906" spans="1:6" x14ac:dyDescent="0.25">
      <c r="A1906" t="s">
        <v>163</v>
      </c>
      <c r="B1906" s="1">
        <v>46069</v>
      </c>
      <c r="C1906">
        <v>110</v>
      </c>
      <c r="D1906">
        <f t="shared" si="87"/>
        <v>112</v>
      </c>
      <c r="E1906">
        <f t="shared" si="88"/>
        <v>5</v>
      </c>
      <c r="F1906">
        <f t="shared" si="89"/>
        <v>1.8181818181818181E-2</v>
      </c>
    </row>
    <row r="1907" spans="1:6" x14ac:dyDescent="0.25">
      <c r="A1907" t="s">
        <v>163</v>
      </c>
      <c r="B1907" s="1">
        <v>46076</v>
      </c>
      <c r="C1907">
        <v>126</v>
      </c>
      <c r="D1907">
        <f t="shared" si="87"/>
        <v>109.8</v>
      </c>
      <c r="E1907">
        <f t="shared" si="88"/>
        <v>5</v>
      </c>
      <c r="F1907">
        <f t="shared" si="89"/>
        <v>0.12857142857142859</v>
      </c>
    </row>
    <row r="1908" spans="1:6" x14ac:dyDescent="0.25">
      <c r="A1908" t="s">
        <v>163</v>
      </c>
      <c r="B1908" s="1">
        <v>46083</v>
      </c>
      <c r="C1908">
        <v>124</v>
      </c>
      <c r="D1908">
        <f t="shared" si="87"/>
        <v>121</v>
      </c>
      <c r="E1908">
        <f t="shared" si="88"/>
        <v>5</v>
      </c>
      <c r="F1908">
        <f t="shared" si="89"/>
        <v>2.4193548387096774E-2</v>
      </c>
    </row>
    <row r="1909" spans="1:6" x14ac:dyDescent="0.25">
      <c r="A1909" t="s">
        <v>163</v>
      </c>
      <c r="B1909" s="1">
        <v>46090</v>
      </c>
      <c r="C1909">
        <v>123</v>
      </c>
      <c r="D1909">
        <f t="shared" si="87"/>
        <v>118.2</v>
      </c>
      <c r="E1909">
        <f t="shared" si="88"/>
        <v>5</v>
      </c>
      <c r="F1909">
        <f t="shared" si="89"/>
        <v>3.9024390243902418E-2</v>
      </c>
    </row>
    <row r="1910" spans="1:6" x14ac:dyDescent="0.25">
      <c r="A1910" t="s">
        <v>163</v>
      </c>
      <c r="B1910" s="1">
        <v>46097</v>
      </c>
      <c r="C1910">
        <v>92</v>
      </c>
      <c r="D1910">
        <f t="shared" si="87"/>
        <v>122.4</v>
      </c>
      <c r="E1910">
        <f t="shared" si="88"/>
        <v>5</v>
      </c>
      <c r="F1910">
        <f t="shared" si="89"/>
        <v>0.33043478260869569</v>
      </c>
    </row>
    <row r="1911" spans="1:6" x14ac:dyDescent="0.25">
      <c r="A1911" t="s">
        <v>163</v>
      </c>
      <c r="B1911" s="1">
        <v>46104</v>
      </c>
      <c r="C1911">
        <v>100</v>
      </c>
      <c r="D1911">
        <f t="shared" si="87"/>
        <v>115</v>
      </c>
      <c r="E1911">
        <f t="shared" si="88"/>
        <v>5</v>
      </c>
      <c r="F1911">
        <f t="shared" si="89"/>
        <v>0.15</v>
      </c>
    </row>
    <row r="1912" spans="1:6" x14ac:dyDescent="0.25">
      <c r="A1912" t="s">
        <v>163</v>
      </c>
      <c r="B1912" s="1">
        <v>46111</v>
      </c>
      <c r="C1912">
        <v>127</v>
      </c>
      <c r="D1912">
        <f t="shared" si="87"/>
        <v>113</v>
      </c>
      <c r="E1912">
        <f t="shared" si="88"/>
        <v>5</v>
      </c>
      <c r="F1912">
        <f t="shared" si="89"/>
        <v>0.11023622047244094</v>
      </c>
    </row>
    <row r="1913" spans="1:6" x14ac:dyDescent="0.25">
      <c r="A1913" t="s">
        <v>163</v>
      </c>
      <c r="B1913" s="1">
        <v>46118</v>
      </c>
      <c r="C1913">
        <v>154</v>
      </c>
      <c r="D1913">
        <f t="shared" si="87"/>
        <v>113.2</v>
      </c>
      <c r="E1913">
        <f t="shared" si="88"/>
        <v>5</v>
      </c>
      <c r="F1913">
        <f t="shared" si="89"/>
        <v>0.26493506493506491</v>
      </c>
    </row>
    <row r="1914" spans="1:6" x14ac:dyDescent="0.25">
      <c r="A1914" t="s">
        <v>163</v>
      </c>
      <c r="B1914" s="1">
        <v>46125</v>
      </c>
      <c r="C1914">
        <v>121</v>
      </c>
      <c r="D1914">
        <f t="shared" si="87"/>
        <v>119.2</v>
      </c>
      <c r="E1914">
        <f t="shared" si="88"/>
        <v>5</v>
      </c>
      <c r="F1914">
        <f t="shared" si="89"/>
        <v>1.4876033057851215E-2</v>
      </c>
    </row>
    <row r="1915" spans="1:6" x14ac:dyDescent="0.25">
      <c r="A1915" t="s">
        <v>163</v>
      </c>
      <c r="B1915" s="1">
        <v>46132</v>
      </c>
      <c r="C1915">
        <v>142</v>
      </c>
      <c r="D1915">
        <f t="shared" si="87"/>
        <v>118.8</v>
      </c>
      <c r="E1915">
        <f t="shared" si="88"/>
        <v>5</v>
      </c>
      <c r="F1915">
        <f t="shared" si="89"/>
        <v>0.16338028169014088</v>
      </c>
    </row>
    <row r="1916" spans="1:6" x14ac:dyDescent="0.25">
      <c r="A1916" t="s">
        <v>163</v>
      </c>
      <c r="B1916" s="1">
        <v>46139</v>
      </c>
      <c r="C1916">
        <v>137</v>
      </c>
      <c r="D1916">
        <f t="shared" si="87"/>
        <v>128.80000000000001</v>
      </c>
      <c r="E1916">
        <f t="shared" si="88"/>
        <v>5</v>
      </c>
      <c r="F1916">
        <f t="shared" si="89"/>
        <v>5.9854014598540062E-2</v>
      </c>
    </row>
    <row r="1917" spans="1:6" x14ac:dyDescent="0.25">
      <c r="A1917" t="s">
        <v>163</v>
      </c>
      <c r="B1917" s="1">
        <v>46146</v>
      </c>
      <c r="C1917">
        <v>144</v>
      </c>
      <c r="D1917">
        <f t="shared" si="87"/>
        <v>136.19999999999999</v>
      </c>
      <c r="E1917">
        <f t="shared" si="88"/>
        <v>5</v>
      </c>
      <c r="F1917">
        <f t="shared" si="89"/>
        <v>5.4166666666666745E-2</v>
      </c>
    </row>
    <row r="1918" spans="1:6" x14ac:dyDescent="0.25">
      <c r="A1918" t="s">
        <v>163</v>
      </c>
      <c r="B1918" s="1">
        <v>46153</v>
      </c>
      <c r="C1918">
        <v>154</v>
      </c>
      <c r="D1918">
        <f t="shared" si="87"/>
        <v>139.6</v>
      </c>
      <c r="E1918">
        <f t="shared" si="88"/>
        <v>5</v>
      </c>
      <c r="F1918">
        <f t="shared" si="89"/>
        <v>9.3506493506493538E-2</v>
      </c>
    </row>
    <row r="1919" spans="1:6" x14ac:dyDescent="0.25">
      <c r="A1919" t="s">
        <v>163</v>
      </c>
      <c r="B1919" s="1">
        <v>46160</v>
      </c>
      <c r="C1919">
        <v>111</v>
      </c>
      <c r="D1919">
        <f t="shared" si="87"/>
        <v>139.6</v>
      </c>
      <c r="E1919">
        <f t="shared" si="88"/>
        <v>5</v>
      </c>
      <c r="F1919">
        <f t="shared" si="89"/>
        <v>0.25765765765765758</v>
      </c>
    </row>
    <row r="1920" spans="1:6" x14ac:dyDescent="0.25">
      <c r="A1920" t="s">
        <v>163</v>
      </c>
      <c r="B1920" s="1">
        <v>46167</v>
      </c>
      <c r="C1920">
        <v>145</v>
      </c>
      <c r="D1920">
        <f t="shared" si="87"/>
        <v>137.6</v>
      </c>
      <c r="E1920">
        <f t="shared" si="88"/>
        <v>5</v>
      </c>
      <c r="F1920">
        <f t="shared" si="89"/>
        <v>5.1034482758620728E-2</v>
      </c>
    </row>
    <row r="1921" spans="1:6" x14ac:dyDescent="0.25">
      <c r="A1921" t="s">
        <v>163</v>
      </c>
      <c r="B1921" s="1">
        <v>46174</v>
      </c>
      <c r="C1921">
        <v>138</v>
      </c>
      <c r="D1921">
        <f t="shared" si="87"/>
        <v>138.19999999999999</v>
      </c>
      <c r="E1921">
        <f t="shared" si="88"/>
        <v>5</v>
      </c>
      <c r="F1921">
        <f t="shared" si="89"/>
        <v>1.4492753623187582E-3</v>
      </c>
    </row>
    <row r="1922" spans="1:6" x14ac:dyDescent="0.25">
      <c r="A1922" t="s">
        <v>163</v>
      </c>
      <c r="B1922" s="1">
        <v>46181</v>
      </c>
      <c r="C1922">
        <v>137</v>
      </c>
      <c r="D1922">
        <f t="shared" ref="D1922:D1985" si="90">IF(E1922 &lt; 5, "", AVERAGEIFS(C:C, A:A, A1922, B:B, "&gt;=" &amp; (B1922-35), B:B, "&lt;=" &amp; (B1922-7)))</f>
        <v>138.4</v>
      </c>
      <c r="E1922">
        <f t="shared" ref="E1922:E1985" si="91">COUNTIFS(A:A, A1922, B:B, "&gt;=" &amp; (B1922-35), B:B, "&lt;=" &amp; (B1922-7))</f>
        <v>5</v>
      </c>
      <c r="F1922">
        <f t="shared" ref="F1922:F1985" si="92">IF(OR(C1922=0, D1922=""), "", ABS(C1922 - D1922) / C1922)</f>
        <v>1.0218978102189823E-2</v>
      </c>
    </row>
    <row r="1923" spans="1:6" x14ac:dyDescent="0.25">
      <c r="A1923" t="s">
        <v>163</v>
      </c>
      <c r="B1923" s="1">
        <v>46188</v>
      </c>
      <c r="C1923">
        <v>129</v>
      </c>
      <c r="D1923">
        <f t="shared" si="90"/>
        <v>137</v>
      </c>
      <c r="E1923">
        <f t="shared" si="91"/>
        <v>5</v>
      </c>
      <c r="F1923">
        <f t="shared" si="92"/>
        <v>6.2015503875968991E-2</v>
      </c>
    </row>
    <row r="1924" spans="1:6" x14ac:dyDescent="0.25">
      <c r="A1924" t="s">
        <v>163</v>
      </c>
      <c r="B1924" s="1">
        <v>46195</v>
      </c>
      <c r="C1924">
        <v>132</v>
      </c>
      <c r="D1924">
        <f t="shared" si="90"/>
        <v>132</v>
      </c>
      <c r="E1924">
        <f t="shared" si="91"/>
        <v>5</v>
      </c>
      <c r="F1924">
        <f t="shared" si="92"/>
        <v>0</v>
      </c>
    </row>
    <row r="1925" spans="1:6" x14ac:dyDescent="0.25">
      <c r="A1925" t="s">
        <v>163</v>
      </c>
      <c r="B1925" s="1">
        <v>46202</v>
      </c>
      <c r="C1925">
        <v>129</v>
      </c>
      <c r="D1925">
        <f t="shared" si="90"/>
        <v>136.19999999999999</v>
      </c>
      <c r="E1925">
        <f t="shared" si="91"/>
        <v>5</v>
      </c>
      <c r="F1925">
        <f t="shared" si="92"/>
        <v>5.5813953488372002E-2</v>
      </c>
    </row>
    <row r="1926" spans="1:6" x14ac:dyDescent="0.25">
      <c r="A1926" t="s">
        <v>165</v>
      </c>
      <c r="B1926" s="1">
        <v>46027</v>
      </c>
      <c r="C1926">
        <v>48</v>
      </c>
      <c r="D1926" t="str">
        <f t="shared" si="90"/>
        <v/>
      </c>
      <c r="E1926">
        <f t="shared" si="91"/>
        <v>0</v>
      </c>
      <c r="F1926" t="str">
        <f t="shared" si="92"/>
        <v/>
      </c>
    </row>
    <row r="1927" spans="1:6" x14ac:dyDescent="0.25">
      <c r="A1927" t="s">
        <v>165</v>
      </c>
      <c r="B1927" s="1">
        <v>46034</v>
      </c>
      <c r="C1927">
        <v>52</v>
      </c>
      <c r="D1927" t="str">
        <f t="shared" si="90"/>
        <v/>
      </c>
      <c r="E1927">
        <f t="shared" si="91"/>
        <v>1</v>
      </c>
      <c r="F1927" t="str">
        <f t="shared" si="92"/>
        <v/>
      </c>
    </row>
    <row r="1928" spans="1:6" x14ac:dyDescent="0.25">
      <c r="A1928" t="s">
        <v>165</v>
      </c>
      <c r="B1928" s="1">
        <v>46041</v>
      </c>
      <c r="C1928">
        <v>51</v>
      </c>
      <c r="D1928" t="str">
        <f t="shared" si="90"/>
        <v/>
      </c>
      <c r="E1928">
        <f t="shared" si="91"/>
        <v>2</v>
      </c>
      <c r="F1928" t="str">
        <f t="shared" si="92"/>
        <v/>
      </c>
    </row>
    <row r="1929" spans="1:6" x14ac:dyDescent="0.25">
      <c r="A1929" t="s">
        <v>165</v>
      </c>
      <c r="B1929" s="1">
        <v>46048</v>
      </c>
      <c r="C1929">
        <v>51</v>
      </c>
      <c r="D1929" t="str">
        <f t="shared" si="90"/>
        <v/>
      </c>
      <c r="E1929">
        <f t="shared" si="91"/>
        <v>3</v>
      </c>
      <c r="F1929" t="str">
        <f t="shared" si="92"/>
        <v/>
      </c>
    </row>
    <row r="1930" spans="1:6" x14ac:dyDescent="0.25">
      <c r="A1930" t="s">
        <v>165</v>
      </c>
      <c r="B1930" s="1">
        <v>46055</v>
      </c>
      <c r="C1930">
        <v>53</v>
      </c>
      <c r="D1930" t="str">
        <f t="shared" si="90"/>
        <v/>
      </c>
      <c r="E1930">
        <f t="shared" si="91"/>
        <v>4</v>
      </c>
      <c r="F1930" t="str">
        <f t="shared" si="92"/>
        <v/>
      </c>
    </row>
    <row r="1931" spans="1:6" x14ac:dyDescent="0.25">
      <c r="A1931" t="s">
        <v>165</v>
      </c>
      <c r="B1931" s="1">
        <v>46062</v>
      </c>
      <c r="C1931">
        <v>66</v>
      </c>
      <c r="D1931">
        <f t="shared" si="90"/>
        <v>51</v>
      </c>
      <c r="E1931">
        <f t="shared" si="91"/>
        <v>5</v>
      </c>
      <c r="F1931">
        <f t="shared" si="92"/>
        <v>0.22727272727272727</v>
      </c>
    </row>
    <row r="1932" spans="1:6" x14ac:dyDescent="0.25">
      <c r="A1932" t="s">
        <v>165</v>
      </c>
      <c r="B1932" s="1">
        <v>46069</v>
      </c>
      <c r="C1932">
        <v>49</v>
      </c>
      <c r="D1932">
        <f t="shared" si="90"/>
        <v>54.6</v>
      </c>
      <c r="E1932">
        <f t="shared" si="91"/>
        <v>5</v>
      </c>
      <c r="F1932">
        <f t="shared" si="92"/>
        <v>0.11428571428571431</v>
      </c>
    </row>
    <row r="1933" spans="1:6" x14ac:dyDescent="0.25">
      <c r="A1933" t="s">
        <v>165</v>
      </c>
      <c r="B1933" s="1">
        <v>46076</v>
      </c>
      <c r="C1933">
        <v>70</v>
      </c>
      <c r="D1933">
        <f t="shared" si="90"/>
        <v>54</v>
      </c>
      <c r="E1933">
        <f t="shared" si="91"/>
        <v>5</v>
      </c>
      <c r="F1933">
        <f t="shared" si="92"/>
        <v>0.22857142857142856</v>
      </c>
    </row>
    <row r="1934" spans="1:6" x14ac:dyDescent="0.25">
      <c r="A1934" t="s">
        <v>165</v>
      </c>
      <c r="B1934" s="1">
        <v>46083</v>
      </c>
      <c r="C1934">
        <v>65</v>
      </c>
      <c r="D1934">
        <f t="shared" si="90"/>
        <v>57.8</v>
      </c>
      <c r="E1934">
        <f t="shared" si="91"/>
        <v>5</v>
      </c>
      <c r="F1934">
        <f t="shared" si="92"/>
        <v>0.11076923076923081</v>
      </c>
    </row>
    <row r="1935" spans="1:6" x14ac:dyDescent="0.25">
      <c r="A1935" t="s">
        <v>165</v>
      </c>
      <c r="B1935" s="1">
        <v>46090</v>
      </c>
      <c r="C1935">
        <v>47</v>
      </c>
      <c r="D1935">
        <f t="shared" si="90"/>
        <v>60.6</v>
      </c>
      <c r="E1935">
        <f t="shared" si="91"/>
        <v>5</v>
      </c>
      <c r="F1935">
        <f t="shared" si="92"/>
        <v>0.2893617021276596</v>
      </c>
    </row>
    <row r="1936" spans="1:6" x14ac:dyDescent="0.25">
      <c r="A1936" t="s">
        <v>165</v>
      </c>
      <c r="B1936" s="1">
        <v>46097</v>
      </c>
      <c r="C1936">
        <v>61</v>
      </c>
      <c r="D1936">
        <f t="shared" si="90"/>
        <v>59.4</v>
      </c>
      <c r="E1936">
        <f t="shared" si="91"/>
        <v>5</v>
      </c>
      <c r="F1936">
        <f t="shared" si="92"/>
        <v>2.6229508196721336E-2</v>
      </c>
    </row>
    <row r="1937" spans="1:6" x14ac:dyDescent="0.25">
      <c r="A1937" t="s">
        <v>165</v>
      </c>
      <c r="B1937" s="1">
        <v>46104</v>
      </c>
      <c r="C1937">
        <v>65</v>
      </c>
      <c r="D1937">
        <f t="shared" si="90"/>
        <v>58.4</v>
      </c>
      <c r="E1937">
        <f t="shared" si="91"/>
        <v>5</v>
      </c>
      <c r="F1937">
        <f t="shared" si="92"/>
        <v>0.10153846153846156</v>
      </c>
    </row>
    <row r="1938" spans="1:6" x14ac:dyDescent="0.25">
      <c r="A1938" t="s">
        <v>165</v>
      </c>
      <c r="B1938" s="1">
        <v>46111</v>
      </c>
      <c r="C1938">
        <v>70</v>
      </c>
      <c r="D1938">
        <f t="shared" si="90"/>
        <v>61.6</v>
      </c>
      <c r="E1938">
        <f t="shared" si="91"/>
        <v>5</v>
      </c>
      <c r="F1938">
        <f t="shared" si="92"/>
        <v>0.11999999999999998</v>
      </c>
    </row>
    <row r="1939" spans="1:6" x14ac:dyDescent="0.25">
      <c r="A1939" t="s">
        <v>165</v>
      </c>
      <c r="B1939" s="1">
        <v>46118</v>
      </c>
      <c r="C1939">
        <v>64</v>
      </c>
      <c r="D1939">
        <f t="shared" si="90"/>
        <v>61.6</v>
      </c>
      <c r="E1939">
        <f t="shared" si="91"/>
        <v>5</v>
      </c>
      <c r="F1939">
        <f t="shared" si="92"/>
        <v>3.7499999999999978E-2</v>
      </c>
    </row>
    <row r="1940" spans="1:6" x14ac:dyDescent="0.25">
      <c r="A1940" t="s">
        <v>165</v>
      </c>
      <c r="B1940" s="1">
        <v>46125</v>
      </c>
      <c r="C1940">
        <v>58</v>
      </c>
      <c r="D1940">
        <f t="shared" si="90"/>
        <v>61.4</v>
      </c>
      <c r="E1940">
        <f t="shared" si="91"/>
        <v>5</v>
      </c>
      <c r="F1940">
        <f t="shared" si="92"/>
        <v>5.8620689655172392E-2</v>
      </c>
    </row>
    <row r="1941" spans="1:6" x14ac:dyDescent="0.25">
      <c r="A1941" t="s">
        <v>165</v>
      </c>
      <c r="B1941" s="1">
        <v>46132</v>
      </c>
      <c r="C1941">
        <v>54</v>
      </c>
      <c r="D1941">
        <f t="shared" si="90"/>
        <v>63.6</v>
      </c>
      <c r="E1941">
        <f t="shared" si="91"/>
        <v>5</v>
      </c>
      <c r="F1941">
        <f t="shared" si="92"/>
        <v>0.17777777777777781</v>
      </c>
    </row>
    <row r="1942" spans="1:6" x14ac:dyDescent="0.25">
      <c r="A1942" t="s">
        <v>165</v>
      </c>
      <c r="B1942" s="1">
        <v>46139</v>
      </c>
      <c r="C1942">
        <v>79</v>
      </c>
      <c r="D1942">
        <f t="shared" si="90"/>
        <v>62.2</v>
      </c>
      <c r="E1942">
        <f t="shared" si="91"/>
        <v>5</v>
      </c>
      <c r="F1942">
        <f t="shared" si="92"/>
        <v>0.21265822784810123</v>
      </c>
    </row>
    <row r="1943" spans="1:6" x14ac:dyDescent="0.25">
      <c r="A1943" t="s">
        <v>165</v>
      </c>
      <c r="B1943" s="1">
        <v>46146</v>
      </c>
      <c r="C1943">
        <v>73</v>
      </c>
      <c r="D1943">
        <f t="shared" si="90"/>
        <v>65</v>
      </c>
      <c r="E1943">
        <f t="shared" si="91"/>
        <v>5</v>
      </c>
      <c r="F1943">
        <f t="shared" si="92"/>
        <v>0.1095890410958904</v>
      </c>
    </row>
    <row r="1944" spans="1:6" x14ac:dyDescent="0.25">
      <c r="A1944" t="s">
        <v>165</v>
      </c>
      <c r="B1944" s="1">
        <v>46153</v>
      </c>
      <c r="C1944">
        <v>60</v>
      </c>
      <c r="D1944">
        <f t="shared" si="90"/>
        <v>65.599999999999994</v>
      </c>
      <c r="E1944">
        <f t="shared" si="91"/>
        <v>5</v>
      </c>
      <c r="F1944">
        <f t="shared" si="92"/>
        <v>9.333333333333324E-2</v>
      </c>
    </row>
    <row r="1945" spans="1:6" x14ac:dyDescent="0.25">
      <c r="A1945" t="s">
        <v>165</v>
      </c>
      <c r="B1945" s="1">
        <v>46160</v>
      </c>
      <c r="C1945">
        <v>55</v>
      </c>
      <c r="D1945">
        <f t="shared" si="90"/>
        <v>64.8</v>
      </c>
      <c r="E1945">
        <f t="shared" si="91"/>
        <v>5</v>
      </c>
      <c r="F1945">
        <f t="shared" si="92"/>
        <v>0.17818181818181814</v>
      </c>
    </row>
    <row r="1946" spans="1:6" x14ac:dyDescent="0.25">
      <c r="A1946" t="s">
        <v>165</v>
      </c>
      <c r="B1946" s="1">
        <v>46167</v>
      </c>
      <c r="C1946">
        <v>70</v>
      </c>
      <c r="D1946">
        <f t="shared" si="90"/>
        <v>64.2</v>
      </c>
      <c r="E1946">
        <f t="shared" si="91"/>
        <v>5</v>
      </c>
      <c r="F1946">
        <f t="shared" si="92"/>
        <v>8.285714285714281E-2</v>
      </c>
    </row>
    <row r="1947" spans="1:6" x14ac:dyDescent="0.25">
      <c r="A1947" t="s">
        <v>165</v>
      </c>
      <c r="B1947" s="1">
        <v>46174</v>
      </c>
      <c r="C1947">
        <v>65</v>
      </c>
      <c r="D1947">
        <f t="shared" si="90"/>
        <v>67.400000000000006</v>
      </c>
      <c r="E1947">
        <f t="shared" si="91"/>
        <v>5</v>
      </c>
      <c r="F1947">
        <f t="shared" si="92"/>
        <v>3.692307692307701E-2</v>
      </c>
    </row>
    <row r="1948" spans="1:6" x14ac:dyDescent="0.25">
      <c r="A1948" t="s">
        <v>165</v>
      </c>
      <c r="B1948" s="1">
        <v>46181</v>
      </c>
      <c r="C1948">
        <v>79</v>
      </c>
      <c r="D1948">
        <f t="shared" si="90"/>
        <v>64.599999999999994</v>
      </c>
      <c r="E1948">
        <f t="shared" si="91"/>
        <v>5</v>
      </c>
      <c r="F1948">
        <f t="shared" si="92"/>
        <v>0.18227848101265831</v>
      </c>
    </row>
    <row r="1949" spans="1:6" x14ac:dyDescent="0.25">
      <c r="A1949" t="s">
        <v>165</v>
      </c>
      <c r="B1949" s="1">
        <v>46188</v>
      </c>
      <c r="C1949">
        <v>60</v>
      </c>
      <c r="D1949">
        <f t="shared" si="90"/>
        <v>65.8</v>
      </c>
      <c r="E1949">
        <f t="shared" si="91"/>
        <v>5</v>
      </c>
      <c r="F1949">
        <f t="shared" si="92"/>
        <v>9.6666666666666623E-2</v>
      </c>
    </row>
    <row r="1950" spans="1:6" x14ac:dyDescent="0.25">
      <c r="A1950" t="s">
        <v>165</v>
      </c>
      <c r="B1950" s="1">
        <v>46195</v>
      </c>
      <c r="C1950">
        <v>67</v>
      </c>
      <c r="D1950">
        <f t="shared" si="90"/>
        <v>65.8</v>
      </c>
      <c r="E1950">
        <f t="shared" si="91"/>
        <v>5</v>
      </c>
      <c r="F1950">
        <f t="shared" si="92"/>
        <v>1.7910447761194073E-2</v>
      </c>
    </row>
    <row r="1951" spans="1:6" x14ac:dyDescent="0.25">
      <c r="A1951" t="s">
        <v>165</v>
      </c>
      <c r="B1951" s="1">
        <v>46202</v>
      </c>
      <c r="C1951">
        <v>82</v>
      </c>
      <c r="D1951">
        <f t="shared" si="90"/>
        <v>68.2</v>
      </c>
      <c r="E1951">
        <f t="shared" si="91"/>
        <v>5</v>
      </c>
      <c r="F1951">
        <f t="shared" si="92"/>
        <v>0.16829268292682922</v>
      </c>
    </row>
    <row r="1952" spans="1:6" x14ac:dyDescent="0.25">
      <c r="A1952" t="s">
        <v>167</v>
      </c>
      <c r="B1952" s="1">
        <v>46027</v>
      </c>
      <c r="C1952">
        <v>101</v>
      </c>
      <c r="D1952" t="str">
        <f t="shared" si="90"/>
        <v/>
      </c>
      <c r="E1952">
        <f t="shared" si="91"/>
        <v>0</v>
      </c>
      <c r="F1952" t="str">
        <f t="shared" si="92"/>
        <v/>
      </c>
    </row>
    <row r="1953" spans="1:6" x14ac:dyDescent="0.25">
      <c r="A1953" t="s">
        <v>167</v>
      </c>
      <c r="B1953" s="1">
        <v>46034</v>
      </c>
      <c r="C1953">
        <v>106</v>
      </c>
      <c r="D1953" t="str">
        <f t="shared" si="90"/>
        <v/>
      </c>
      <c r="E1953">
        <f t="shared" si="91"/>
        <v>1</v>
      </c>
      <c r="F1953" t="str">
        <f t="shared" si="92"/>
        <v/>
      </c>
    </row>
    <row r="1954" spans="1:6" x14ac:dyDescent="0.25">
      <c r="A1954" t="s">
        <v>167</v>
      </c>
      <c r="B1954" s="1">
        <v>46041</v>
      </c>
      <c r="C1954">
        <v>79</v>
      </c>
      <c r="D1954" t="str">
        <f t="shared" si="90"/>
        <v/>
      </c>
      <c r="E1954">
        <f t="shared" si="91"/>
        <v>2</v>
      </c>
      <c r="F1954" t="str">
        <f t="shared" si="92"/>
        <v/>
      </c>
    </row>
    <row r="1955" spans="1:6" x14ac:dyDescent="0.25">
      <c r="A1955" t="s">
        <v>167</v>
      </c>
      <c r="B1955" s="1">
        <v>46048</v>
      </c>
      <c r="C1955">
        <v>90</v>
      </c>
      <c r="D1955" t="str">
        <f t="shared" si="90"/>
        <v/>
      </c>
      <c r="E1955">
        <f t="shared" si="91"/>
        <v>3</v>
      </c>
      <c r="F1955" t="str">
        <f t="shared" si="92"/>
        <v/>
      </c>
    </row>
    <row r="1956" spans="1:6" x14ac:dyDescent="0.25">
      <c r="A1956" t="s">
        <v>167</v>
      </c>
      <c r="B1956" s="1">
        <v>46055</v>
      </c>
      <c r="C1956">
        <v>76</v>
      </c>
      <c r="D1956" t="str">
        <f t="shared" si="90"/>
        <v/>
      </c>
      <c r="E1956">
        <f t="shared" si="91"/>
        <v>4</v>
      </c>
      <c r="F1956" t="str">
        <f t="shared" si="92"/>
        <v/>
      </c>
    </row>
    <row r="1957" spans="1:6" x14ac:dyDescent="0.25">
      <c r="A1957" t="s">
        <v>167</v>
      </c>
      <c r="B1957" s="1">
        <v>46062</v>
      </c>
      <c r="C1957">
        <v>91</v>
      </c>
      <c r="D1957">
        <f t="shared" si="90"/>
        <v>90.4</v>
      </c>
      <c r="E1957">
        <f t="shared" si="91"/>
        <v>5</v>
      </c>
      <c r="F1957">
        <f t="shared" si="92"/>
        <v>6.593406593406531E-3</v>
      </c>
    </row>
    <row r="1958" spans="1:6" x14ac:dyDescent="0.25">
      <c r="A1958" t="s">
        <v>167</v>
      </c>
      <c r="B1958" s="1">
        <v>46069</v>
      </c>
      <c r="C1958">
        <v>96</v>
      </c>
      <c r="D1958">
        <f t="shared" si="90"/>
        <v>88.4</v>
      </c>
      <c r="E1958">
        <f t="shared" si="91"/>
        <v>5</v>
      </c>
      <c r="F1958">
        <f t="shared" si="92"/>
        <v>7.9166666666666607E-2</v>
      </c>
    </row>
    <row r="1959" spans="1:6" x14ac:dyDescent="0.25">
      <c r="A1959" t="s">
        <v>167</v>
      </c>
      <c r="B1959" s="1">
        <v>46076</v>
      </c>
      <c r="C1959">
        <v>102</v>
      </c>
      <c r="D1959">
        <f t="shared" si="90"/>
        <v>86.4</v>
      </c>
      <c r="E1959">
        <f t="shared" si="91"/>
        <v>5</v>
      </c>
      <c r="F1959">
        <f t="shared" si="92"/>
        <v>0.15294117647058819</v>
      </c>
    </row>
    <row r="1960" spans="1:6" x14ac:dyDescent="0.25">
      <c r="A1960" t="s">
        <v>167</v>
      </c>
      <c r="B1960" s="1">
        <v>46083</v>
      </c>
      <c r="C1960">
        <v>102</v>
      </c>
      <c r="D1960">
        <f t="shared" si="90"/>
        <v>91</v>
      </c>
      <c r="E1960">
        <f t="shared" si="91"/>
        <v>5</v>
      </c>
      <c r="F1960">
        <f t="shared" si="92"/>
        <v>0.10784313725490197</v>
      </c>
    </row>
    <row r="1961" spans="1:6" x14ac:dyDescent="0.25">
      <c r="A1961" t="s">
        <v>167</v>
      </c>
      <c r="B1961" s="1">
        <v>46090</v>
      </c>
      <c r="C1961">
        <v>89</v>
      </c>
      <c r="D1961">
        <f t="shared" si="90"/>
        <v>93.4</v>
      </c>
      <c r="E1961">
        <f t="shared" si="91"/>
        <v>5</v>
      </c>
      <c r="F1961">
        <f t="shared" si="92"/>
        <v>4.9438202247191074E-2</v>
      </c>
    </row>
    <row r="1962" spans="1:6" x14ac:dyDescent="0.25">
      <c r="A1962" t="s">
        <v>167</v>
      </c>
      <c r="B1962" s="1">
        <v>46097</v>
      </c>
      <c r="C1962">
        <v>89</v>
      </c>
      <c r="D1962">
        <f t="shared" si="90"/>
        <v>96</v>
      </c>
      <c r="E1962">
        <f t="shared" si="91"/>
        <v>5</v>
      </c>
      <c r="F1962">
        <f t="shared" si="92"/>
        <v>7.8651685393258425E-2</v>
      </c>
    </row>
    <row r="1963" spans="1:6" x14ac:dyDescent="0.25">
      <c r="A1963" t="s">
        <v>167</v>
      </c>
      <c r="B1963" s="1">
        <v>46104</v>
      </c>
      <c r="C1963">
        <v>87</v>
      </c>
      <c r="D1963">
        <f t="shared" si="90"/>
        <v>95.6</v>
      </c>
      <c r="E1963">
        <f t="shared" si="91"/>
        <v>5</v>
      </c>
      <c r="F1963">
        <f t="shared" si="92"/>
        <v>9.8850574712643607E-2</v>
      </c>
    </row>
    <row r="1964" spans="1:6" x14ac:dyDescent="0.25">
      <c r="A1964" t="s">
        <v>167</v>
      </c>
      <c r="B1964" s="1">
        <v>46111</v>
      </c>
      <c r="C1964">
        <v>117</v>
      </c>
      <c r="D1964">
        <f t="shared" si="90"/>
        <v>93.8</v>
      </c>
      <c r="E1964">
        <f t="shared" si="91"/>
        <v>5</v>
      </c>
      <c r="F1964">
        <f t="shared" si="92"/>
        <v>0.19829059829059831</v>
      </c>
    </row>
    <row r="1965" spans="1:6" x14ac:dyDescent="0.25">
      <c r="A1965" t="s">
        <v>167</v>
      </c>
      <c r="B1965" s="1">
        <v>46118</v>
      </c>
      <c r="C1965">
        <v>92</v>
      </c>
      <c r="D1965">
        <f t="shared" si="90"/>
        <v>96.8</v>
      </c>
      <c r="E1965">
        <f t="shared" si="91"/>
        <v>5</v>
      </c>
      <c r="F1965">
        <f t="shared" si="92"/>
        <v>5.217391304347823E-2</v>
      </c>
    </row>
    <row r="1966" spans="1:6" x14ac:dyDescent="0.25">
      <c r="A1966" t="s">
        <v>167</v>
      </c>
      <c r="B1966" s="1">
        <v>46125</v>
      </c>
      <c r="C1966">
        <v>113</v>
      </c>
      <c r="D1966">
        <f t="shared" si="90"/>
        <v>94.8</v>
      </c>
      <c r="E1966">
        <f t="shared" si="91"/>
        <v>5</v>
      </c>
      <c r="F1966">
        <f t="shared" si="92"/>
        <v>0.16106194690265488</v>
      </c>
    </row>
    <row r="1967" spans="1:6" x14ac:dyDescent="0.25">
      <c r="A1967" t="s">
        <v>167</v>
      </c>
      <c r="B1967" s="1">
        <v>46132</v>
      </c>
      <c r="C1967">
        <v>108</v>
      </c>
      <c r="D1967">
        <f t="shared" si="90"/>
        <v>99.6</v>
      </c>
      <c r="E1967">
        <f t="shared" si="91"/>
        <v>5</v>
      </c>
      <c r="F1967">
        <f t="shared" si="92"/>
        <v>7.7777777777777835E-2</v>
      </c>
    </row>
    <row r="1968" spans="1:6" x14ac:dyDescent="0.25">
      <c r="A1968" t="s">
        <v>167</v>
      </c>
      <c r="B1968" s="1">
        <v>46139</v>
      </c>
      <c r="C1968">
        <v>115</v>
      </c>
      <c r="D1968">
        <f t="shared" si="90"/>
        <v>103.4</v>
      </c>
      <c r="E1968">
        <f t="shared" si="91"/>
        <v>5</v>
      </c>
      <c r="F1968">
        <f t="shared" si="92"/>
        <v>0.10086956521739125</v>
      </c>
    </row>
    <row r="1969" spans="1:6" x14ac:dyDescent="0.25">
      <c r="A1969" t="s">
        <v>167</v>
      </c>
      <c r="B1969" s="1">
        <v>46146</v>
      </c>
      <c r="C1969">
        <v>93</v>
      </c>
      <c r="D1969">
        <f t="shared" si="90"/>
        <v>109</v>
      </c>
      <c r="E1969">
        <f t="shared" si="91"/>
        <v>5</v>
      </c>
      <c r="F1969">
        <f t="shared" si="92"/>
        <v>0.17204301075268819</v>
      </c>
    </row>
    <row r="1970" spans="1:6" x14ac:dyDescent="0.25">
      <c r="A1970" t="s">
        <v>167</v>
      </c>
      <c r="B1970" s="1">
        <v>46153</v>
      </c>
      <c r="C1970">
        <v>113</v>
      </c>
      <c r="D1970">
        <f t="shared" si="90"/>
        <v>104.2</v>
      </c>
      <c r="E1970">
        <f t="shared" si="91"/>
        <v>5</v>
      </c>
      <c r="F1970">
        <f t="shared" si="92"/>
        <v>7.7876106194690237E-2</v>
      </c>
    </row>
    <row r="1971" spans="1:6" x14ac:dyDescent="0.25">
      <c r="A1971" t="s">
        <v>167</v>
      </c>
      <c r="B1971" s="1">
        <v>46160</v>
      </c>
      <c r="C1971">
        <v>114</v>
      </c>
      <c r="D1971">
        <f t="shared" si="90"/>
        <v>108.4</v>
      </c>
      <c r="E1971">
        <f t="shared" si="91"/>
        <v>5</v>
      </c>
      <c r="F1971">
        <f t="shared" si="92"/>
        <v>4.9122807017543811E-2</v>
      </c>
    </row>
    <row r="1972" spans="1:6" x14ac:dyDescent="0.25">
      <c r="A1972" t="s">
        <v>167</v>
      </c>
      <c r="B1972" s="1">
        <v>46167</v>
      </c>
      <c r="C1972">
        <v>112</v>
      </c>
      <c r="D1972">
        <f t="shared" si="90"/>
        <v>108.6</v>
      </c>
      <c r="E1972">
        <f t="shared" si="91"/>
        <v>5</v>
      </c>
      <c r="F1972">
        <f t="shared" si="92"/>
        <v>3.0357142857142909E-2</v>
      </c>
    </row>
    <row r="1973" spans="1:6" x14ac:dyDescent="0.25">
      <c r="A1973" t="s">
        <v>167</v>
      </c>
      <c r="B1973" s="1">
        <v>46174</v>
      </c>
      <c r="C1973">
        <v>117</v>
      </c>
      <c r="D1973">
        <f t="shared" si="90"/>
        <v>109.4</v>
      </c>
      <c r="E1973">
        <f t="shared" si="91"/>
        <v>5</v>
      </c>
      <c r="F1973">
        <f t="shared" si="92"/>
        <v>6.4957264957264907E-2</v>
      </c>
    </row>
    <row r="1974" spans="1:6" x14ac:dyDescent="0.25">
      <c r="A1974" t="s">
        <v>167</v>
      </c>
      <c r="B1974" s="1">
        <v>46181</v>
      </c>
      <c r="C1974">
        <v>104</v>
      </c>
      <c r="D1974">
        <f t="shared" si="90"/>
        <v>109.8</v>
      </c>
      <c r="E1974">
        <f t="shared" si="91"/>
        <v>5</v>
      </c>
      <c r="F1974">
        <f t="shared" si="92"/>
        <v>5.5769230769230745E-2</v>
      </c>
    </row>
    <row r="1975" spans="1:6" x14ac:dyDescent="0.25">
      <c r="A1975" t="s">
        <v>167</v>
      </c>
      <c r="B1975" s="1">
        <v>46188</v>
      </c>
      <c r="C1975">
        <v>128</v>
      </c>
      <c r="D1975">
        <f t="shared" si="90"/>
        <v>112</v>
      </c>
      <c r="E1975">
        <f t="shared" si="91"/>
        <v>5</v>
      </c>
      <c r="F1975">
        <f t="shared" si="92"/>
        <v>0.125</v>
      </c>
    </row>
    <row r="1976" spans="1:6" x14ac:dyDescent="0.25">
      <c r="A1976" t="s">
        <v>167</v>
      </c>
      <c r="B1976" s="1">
        <v>46195</v>
      </c>
      <c r="C1976">
        <v>106</v>
      </c>
      <c r="D1976">
        <f t="shared" si="90"/>
        <v>115</v>
      </c>
      <c r="E1976">
        <f t="shared" si="91"/>
        <v>5</v>
      </c>
      <c r="F1976">
        <f t="shared" si="92"/>
        <v>8.4905660377358486E-2</v>
      </c>
    </row>
    <row r="1977" spans="1:6" x14ac:dyDescent="0.25">
      <c r="A1977" t="s">
        <v>167</v>
      </c>
      <c r="B1977" s="1">
        <v>46202</v>
      </c>
      <c r="C1977">
        <v>116</v>
      </c>
      <c r="D1977">
        <f t="shared" si="90"/>
        <v>113.4</v>
      </c>
      <c r="E1977">
        <f t="shared" si="91"/>
        <v>5</v>
      </c>
      <c r="F1977">
        <f t="shared" si="92"/>
        <v>2.2413793103448227E-2</v>
      </c>
    </row>
    <row r="1978" spans="1:6" x14ac:dyDescent="0.25">
      <c r="A1978" t="s">
        <v>169</v>
      </c>
      <c r="B1978" s="1">
        <v>46027</v>
      </c>
      <c r="C1978">
        <v>25</v>
      </c>
      <c r="D1978" t="str">
        <f t="shared" si="90"/>
        <v/>
      </c>
      <c r="E1978">
        <f t="shared" si="91"/>
        <v>0</v>
      </c>
      <c r="F1978" t="str">
        <f t="shared" si="92"/>
        <v/>
      </c>
    </row>
    <row r="1979" spans="1:6" x14ac:dyDescent="0.25">
      <c r="A1979" t="s">
        <v>169</v>
      </c>
      <c r="B1979" s="1">
        <v>46034</v>
      </c>
      <c r="C1979">
        <v>29</v>
      </c>
      <c r="D1979" t="str">
        <f t="shared" si="90"/>
        <v/>
      </c>
      <c r="E1979">
        <f t="shared" si="91"/>
        <v>1</v>
      </c>
      <c r="F1979" t="str">
        <f t="shared" si="92"/>
        <v/>
      </c>
    </row>
    <row r="1980" spans="1:6" x14ac:dyDescent="0.25">
      <c r="A1980" t="s">
        <v>169</v>
      </c>
      <c r="B1980" s="1">
        <v>46041</v>
      </c>
      <c r="C1980">
        <v>30</v>
      </c>
      <c r="D1980" t="str">
        <f t="shared" si="90"/>
        <v/>
      </c>
      <c r="E1980">
        <f t="shared" si="91"/>
        <v>2</v>
      </c>
      <c r="F1980" t="str">
        <f t="shared" si="92"/>
        <v/>
      </c>
    </row>
    <row r="1981" spans="1:6" x14ac:dyDescent="0.25">
      <c r="A1981" t="s">
        <v>169</v>
      </c>
      <c r="B1981" s="1">
        <v>46048</v>
      </c>
      <c r="C1981">
        <v>30</v>
      </c>
      <c r="D1981" t="str">
        <f t="shared" si="90"/>
        <v/>
      </c>
      <c r="E1981">
        <f t="shared" si="91"/>
        <v>3</v>
      </c>
      <c r="F1981" t="str">
        <f t="shared" si="92"/>
        <v/>
      </c>
    </row>
    <row r="1982" spans="1:6" x14ac:dyDescent="0.25">
      <c r="A1982" t="s">
        <v>169</v>
      </c>
      <c r="B1982" s="1">
        <v>46055</v>
      </c>
      <c r="C1982">
        <v>27</v>
      </c>
      <c r="D1982" t="str">
        <f t="shared" si="90"/>
        <v/>
      </c>
      <c r="E1982">
        <f t="shared" si="91"/>
        <v>4</v>
      </c>
      <c r="F1982" t="str">
        <f t="shared" si="92"/>
        <v/>
      </c>
    </row>
    <row r="1983" spans="1:6" x14ac:dyDescent="0.25">
      <c r="A1983" t="s">
        <v>169</v>
      </c>
      <c r="B1983" s="1">
        <v>46062</v>
      </c>
      <c r="C1983">
        <v>26</v>
      </c>
      <c r="D1983">
        <f t="shared" si="90"/>
        <v>28.2</v>
      </c>
      <c r="E1983">
        <f t="shared" si="91"/>
        <v>5</v>
      </c>
      <c r="F1983">
        <f t="shared" si="92"/>
        <v>8.4615384615384592E-2</v>
      </c>
    </row>
    <row r="1984" spans="1:6" x14ac:dyDescent="0.25">
      <c r="A1984" t="s">
        <v>169</v>
      </c>
      <c r="B1984" s="1">
        <v>46069</v>
      </c>
      <c r="C1984">
        <v>28</v>
      </c>
      <c r="D1984">
        <f t="shared" si="90"/>
        <v>28.4</v>
      </c>
      <c r="E1984">
        <f t="shared" si="91"/>
        <v>5</v>
      </c>
      <c r="F1984">
        <f t="shared" si="92"/>
        <v>1.4285714285714235E-2</v>
      </c>
    </row>
    <row r="1985" spans="1:6" x14ac:dyDescent="0.25">
      <c r="A1985" t="s">
        <v>169</v>
      </c>
      <c r="B1985" s="1">
        <v>46076</v>
      </c>
      <c r="C1985">
        <v>28</v>
      </c>
      <c r="D1985">
        <f t="shared" si="90"/>
        <v>28.2</v>
      </c>
      <c r="E1985">
        <f t="shared" si="91"/>
        <v>5</v>
      </c>
      <c r="F1985">
        <f t="shared" si="92"/>
        <v>7.1428571428571175E-3</v>
      </c>
    </row>
    <row r="1986" spans="1:6" x14ac:dyDescent="0.25">
      <c r="A1986" t="s">
        <v>169</v>
      </c>
      <c r="B1986" s="1">
        <v>46083</v>
      </c>
      <c r="C1986">
        <v>31</v>
      </c>
      <c r="D1986">
        <f t="shared" ref="D1986:D2049" si="93">IF(E1986 &lt; 5, "", AVERAGEIFS(C:C, A:A, A1986, B:B, "&gt;=" &amp; (B1986-35), B:B, "&lt;=" &amp; (B1986-7)))</f>
        <v>27.8</v>
      </c>
      <c r="E1986">
        <f t="shared" ref="E1986:E2049" si="94">COUNTIFS(A:A, A1986, B:B, "&gt;=" &amp; (B1986-35), B:B, "&lt;=" &amp; (B1986-7))</f>
        <v>5</v>
      </c>
      <c r="F1986">
        <f t="shared" ref="F1986:F2049" si="95">IF(OR(C1986=0, D1986=""), "", ABS(C1986 - D1986) / C1986)</f>
        <v>0.10322580645161288</v>
      </c>
    </row>
    <row r="1987" spans="1:6" x14ac:dyDescent="0.25">
      <c r="A1987" t="s">
        <v>169</v>
      </c>
      <c r="B1987" s="1">
        <v>46090</v>
      </c>
      <c r="C1987">
        <v>32</v>
      </c>
      <c r="D1987">
        <f t="shared" si="93"/>
        <v>28</v>
      </c>
      <c r="E1987">
        <f t="shared" si="94"/>
        <v>5</v>
      </c>
      <c r="F1987">
        <f t="shared" si="95"/>
        <v>0.125</v>
      </c>
    </row>
    <row r="1988" spans="1:6" x14ac:dyDescent="0.25">
      <c r="A1988" t="s">
        <v>169</v>
      </c>
      <c r="B1988" s="1">
        <v>46097</v>
      </c>
      <c r="C1988">
        <v>27</v>
      </c>
      <c r="D1988">
        <f t="shared" si="93"/>
        <v>29</v>
      </c>
      <c r="E1988">
        <f t="shared" si="94"/>
        <v>5</v>
      </c>
      <c r="F1988">
        <f t="shared" si="95"/>
        <v>7.407407407407407E-2</v>
      </c>
    </row>
    <row r="1989" spans="1:6" x14ac:dyDescent="0.25">
      <c r="A1989" t="s">
        <v>169</v>
      </c>
      <c r="B1989" s="1">
        <v>46104</v>
      </c>
      <c r="C1989">
        <v>26</v>
      </c>
      <c r="D1989">
        <f t="shared" si="93"/>
        <v>29.2</v>
      </c>
      <c r="E1989">
        <f t="shared" si="94"/>
        <v>5</v>
      </c>
      <c r="F1989">
        <f t="shared" si="95"/>
        <v>0.12307692307692306</v>
      </c>
    </row>
    <row r="1990" spans="1:6" x14ac:dyDescent="0.25">
      <c r="A1990" t="s">
        <v>169</v>
      </c>
      <c r="B1990" s="1">
        <v>46111</v>
      </c>
      <c r="C1990">
        <v>25</v>
      </c>
      <c r="D1990">
        <f t="shared" si="93"/>
        <v>28.8</v>
      </c>
      <c r="E1990">
        <f t="shared" si="94"/>
        <v>5</v>
      </c>
      <c r="F1990">
        <f t="shared" si="95"/>
        <v>0.15200000000000002</v>
      </c>
    </row>
    <row r="1991" spans="1:6" x14ac:dyDescent="0.25">
      <c r="A1991" t="s">
        <v>169</v>
      </c>
      <c r="B1991" s="1">
        <v>46118</v>
      </c>
      <c r="C1991">
        <v>30</v>
      </c>
      <c r="D1991">
        <f t="shared" si="93"/>
        <v>28.2</v>
      </c>
      <c r="E1991">
        <f t="shared" si="94"/>
        <v>5</v>
      </c>
      <c r="F1991">
        <f t="shared" si="95"/>
        <v>6.0000000000000026E-2</v>
      </c>
    </row>
    <row r="1992" spans="1:6" x14ac:dyDescent="0.25">
      <c r="A1992" t="s">
        <v>169</v>
      </c>
      <c r="B1992" s="1">
        <v>46125</v>
      </c>
      <c r="C1992">
        <v>31</v>
      </c>
      <c r="D1992">
        <f t="shared" si="93"/>
        <v>28</v>
      </c>
      <c r="E1992">
        <f t="shared" si="94"/>
        <v>5</v>
      </c>
      <c r="F1992">
        <f t="shared" si="95"/>
        <v>9.6774193548387094E-2</v>
      </c>
    </row>
    <row r="1993" spans="1:6" x14ac:dyDescent="0.25">
      <c r="A1993" t="s">
        <v>169</v>
      </c>
      <c r="B1993" s="1">
        <v>46132</v>
      </c>
      <c r="C1993">
        <v>35</v>
      </c>
      <c r="D1993">
        <f t="shared" si="93"/>
        <v>27.8</v>
      </c>
      <c r="E1993">
        <f t="shared" si="94"/>
        <v>5</v>
      </c>
      <c r="F1993">
        <f t="shared" si="95"/>
        <v>0.20571428571428568</v>
      </c>
    </row>
    <row r="1994" spans="1:6" x14ac:dyDescent="0.25">
      <c r="A1994" t="s">
        <v>169</v>
      </c>
      <c r="B1994" s="1">
        <v>46139</v>
      </c>
      <c r="C1994">
        <v>34</v>
      </c>
      <c r="D1994">
        <f t="shared" si="93"/>
        <v>29.4</v>
      </c>
      <c r="E1994">
        <f t="shared" si="94"/>
        <v>5</v>
      </c>
      <c r="F1994">
        <f t="shared" si="95"/>
        <v>0.13529411764705887</v>
      </c>
    </row>
    <row r="1995" spans="1:6" x14ac:dyDescent="0.25">
      <c r="A1995" t="s">
        <v>169</v>
      </c>
      <c r="B1995" s="1">
        <v>46146</v>
      </c>
      <c r="C1995">
        <v>32</v>
      </c>
      <c r="D1995">
        <f t="shared" si="93"/>
        <v>31</v>
      </c>
      <c r="E1995">
        <f t="shared" si="94"/>
        <v>5</v>
      </c>
      <c r="F1995">
        <f t="shared" si="95"/>
        <v>3.125E-2</v>
      </c>
    </row>
    <row r="1996" spans="1:6" x14ac:dyDescent="0.25">
      <c r="A1996" t="s">
        <v>169</v>
      </c>
      <c r="B1996" s="1">
        <v>46153</v>
      </c>
      <c r="C1996">
        <v>30</v>
      </c>
      <c r="D1996">
        <f t="shared" si="93"/>
        <v>32.4</v>
      </c>
      <c r="E1996">
        <f t="shared" si="94"/>
        <v>5</v>
      </c>
      <c r="F1996">
        <f t="shared" si="95"/>
        <v>7.9999999999999946E-2</v>
      </c>
    </row>
    <row r="1997" spans="1:6" x14ac:dyDescent="0.25">
      <c r="A1997" t="s">
        <v>169</v>
      </c>
      <c r="B1997" s="1">
        <v>46160</v>
      </c>
      <c r="C1997">
        <v>31</v>
      </c>
      <c r="D1997">
        <f t="shared" si="93"/>
        <v>32.4</v>
      </c>
      <c r="E1997">
        <f t="shared" si="94"/>
        <v>5</v>
      </c>
      <c r="F1997">
        <f t="shared" si="95"/>
        <v>4.5161290322580601E-2</v>
      </c>
    </row>
    <row r="1998" spans="1:6" x14ac:dyDescent="0.25">
      <c r="A1998" t="s">
        <v>169</v>
      </c>
      <c r="B1998" s="1">
        <v>46167</v>
      </c>
      <c r="C1998">
        <v>27</v>
      </c>
      <c r="D1998">
        <f t="shared" si="93"/>
        <v>32.4</v>
      </c>
      <c r="E1998">
        <f t="shared" si="94"/>
        <v>5</v>
      </c>
      <c r="F1998">
        <f t="shared" si="95"/>
        <v>0.19999999999999996</v>
      </c>
    </row>
    <row r="1999" spans="1:6" x14ac:dyDescent="0.25">
      <c r="A1999" t="s">
        <v>169</v>
      </c>
      <c r="B1999" s="1">
        <v>46174</v>
      </c>
      <c r="C1999">
        <v>32</v>
      </c>
      <c r="D1999">
        <f t="shared" si="93"/>
        <v>30.8</v>
      </c>
      <c r="E1999">
        <f t="shared" si="94"/>
        <v>5</v>
      </c>
      <c r="F1999">
        <f t="shared" si="95"/>
        <v>3.7499999999999978E-2</v>
      </c>
    </row>
    <row r="2000" spans="1:6" x14ac:dyDescent="0.25">
      <c r="A2000" t="s">
        <v>169</v>
      </c>
      <c r="B2000" s="1">
        <v>46181</v>
      </c>
      <c r="C2000">
        <v>34</v>
      </c>
      <c r="D2000">
        <f t="shared" si="93"/>
        <v>30.4</v>
      </c>
      <c r="E2000">
        <f t="shared" si="94"/>
        <v>5</v>
      </c>
      <c r="F2000">
        <f t="shared" si="95"/>
        <v>0.10588235294117651</v>
      </c>
    </row>
    <row r="2001" spans="1:6" x14ac:dyDescent="0.25">
      <c r="A2001" t="s">
        <v>169</v>
      </c>
      <c r="B2001" s="1">
        <v>46188</v>
      </c>
      <c r="C2001">
        <v>36</v>
      </c>
      <c r="D2001">
        <f t="shared" si="93"/>
        <v>30.8</v>
      </c>
      <c r="E2001">
        <f t="shared" si="94"/>
        <v>5</v>
      </c>
      <c r="F2001">
        <f t="shared" si="95"/>
        <v>0.14444444444444443</v>
      </c>
    </row>
    <row r="2002" spans="1:6" x14ac:dyDescent="0.25">
      <c r="A2002" t="s">
        <v>169</v>
      </c>
      <c r="B2002" s="1">
        <v>46195</v>
      </c>
      <c r="C2002">
        <v>31</v>
      </c>
      <c r="D2002">
        <f t="shared" si="93"/>
        <v>32</v>
      </c>
      <c r="E2002">
        <f t="shared" si="94"/>
        <v>5</v>
      </c>
      <c r="F2002">
        <f t="shared" si="95"/>
        <v>3.2258064516129031E-2</v>
      </c>
    </row>
    <row r="2003" spans="1:6" x14ac:dyDescent="0.25">
      <c r="A2003" t="s">
        <v>169</v>
      </c>
      <c r="B2003" s="1">
        <v>46202</v>
      </c>
      <c r="C2003">
        <v>36</v>
      </c>
      <c r="D2003">
        <f t="shared" si="93"/>
        <v>32</v>
      </c>
      <c r="E2003">
        <f t="shared" si="94"/>
        <v>5</v>
      </c>
      <c r="F2003">
        <f t="shared" si="95"/>
        <v>0.1111111111111111</v>
      </c>
    </row>
    <row r="2004" spans="1:6" x14ac:dyDescent="0.25">
      <c r="A2004" t="s">
        <v>171</v>
      </c>
      <c r="B2004" s="1">
        <v>46027</v>
      </c>
      <c r="C2004">
        <v>82</v>
      </c>
      <c r="D2004" t="str">
        <f t="shared" si="93"/>
        <v/>
      </c>
      <c r="E2004">
        <f t="shared" si="94"/>
        <v>0</v>
      </c>
      <c r="F2004" t="str">
        <f t="shared" si="95"/>
        <v/>
      </c>
    </row>
    <row r="2005" spans="1:6" x14ac:dyDescent="0.25">
      <c r="A2005" t="s">
        <v>171</v>
      </c>
      <c r="B2005" s="1">
        <v>46034</v>
      </c>
      <c r="C2005">
        <v>93</v>
      </c>
      <c r="D2005" t="str">
        <f t="shared" si="93"/>
        <v/>
      </c>
      <c r="E2005">
        <f t="shared" si="94"/>
        <v>1</v>
      </c>
      <c r="F2005" t="str">
        <f t="shared" si="95"/>
        <v/>
      </c>
    </row>
    <row r="2006" spans="1:6" x14ac:dyDescent="0.25">
      <c r="A2006" t="s">
        <v>171</v>
      </c>
      <c r="B2006" s="1">
        <v>46041</v>
      </c>
      <c r="C2006">
        <v>85</v>
      </c>
      <c r="D2006" t="str">
        <f t="shared" si="93"/>
        <v/>
      </c>
      <c r="E2006">
        <f t="shared" si="94"/>
        <v>2</v>
      </c>
      <c r="F2006" t="str">
        <f t="shared" si="95"/>
        <v/>
      </c>
    </row>
    <row r="2007" spans="1:6" x14ac:dyDescent="0.25">
      <c r="A2007" t="s">
        <v>171</v>
      </c>
      <c r="B2007" s="1">
        <v>46048</v>
      </c>
      <c r="C2007">
        <v>62</v>
      </c>
      <c r="D2007" t="str">
        <f t="shared" si="93"/>
        <v/>
      </c>
      <c r="E2007">
        <f t="shared" si="94"/>
        <v>3</v>
      </c>
      <c r="F2007" t="str">
        <f t="shared" si="95"/>
        <v/>
      </c>
    </row>
    <row r="2008" spans="1:6" x14ac:dyDescent="0.25">
      <c r="A2008" t="s">
        <v>171</v>
      </c>
      <c r="B2008" s="1">
        <v>46055</v>
      </c>
      <c r="C2008">
        <v>79</v>
      </c>
      <c r="D2008" t="str">
        <f t="shared" si="93"/>
        <v/>
      </c>
      <c r="E2008">
        <f t="shared" si="94"/>
        <v>4</v>
      </c>
      <c r="F2008" t="str">
        <f t="shared" si="95"/>
        <v/>
      </c>
    </row>
    <row r="2009" spans="1:6" x14ac:dyDescent="0.25">
      <c r="A2009" t="s">
        <v>171</v>
      </c>
      <c r="B2009" s="1">
        <v>46062</v>
      </c>
      <c r="C2009">
        <v>86</v>
      </c>
      <c r="D2009">
        <f t="shared" si="93"/>
        <v>80.2</v>
      </c>
      <c r="E2009">
        <f t="shared" si="94"/>
        <v>5</v>
      </c>
      <c r="F2009">
        <f t="shared" si="95"/>
        <v>6.7441860465116243E-2</v>
      </c>
    </row>
    <row r="2010" spans="1:6" x14ac:dyDescent="0.25">
      <c r="A2010" t="s">
        <v>171</v>
      </c>
      <c r="B2010" s="1">
        <v>46069</v>
      </c>
      <c r="C2010">
        <v>72</v>
      </c>
      <c r="D2010">
        <f t="shared" si="93"/>
        <v>81</v>
      </c>
      <c r="E2010">
        <f t="shared" si="94"/>
        <v>5</v>
      </c>
      <c r="F2010">
        <f t="shared" si="95"/>
        <v>0.125</v>
      </c>
    </row>
    <row r="2011" spans="1:6" x14ac:dyDescent="0.25">
      <c r="A2011" t="s">
        <v>171</v>
      </c>
      <c r="B2011" s="1">
        <v>46076</v>
      </c>
      <c r="C2011">
        <v>90</v>
      </c>
      <c r="D2011">
        <f t="shared" si="93"/>
        <v>76.8</v>
      </c>
      <c r="E2011">
        <f t="shared" si="94"/>
        <v>5</v>
      </c>
      <c r="F2011">
        <f t="shared" si="95"/>
        <v>0.1466666666666667</v>
      </c>
    </row>
    <row r="2012" spans="1:6" x14ac:dyDescent="0.25">
      <c r="A2012" t="s">
        <v>171</v>
      </c>
      <c r="B2012" s="1">
        <v>46083</v>
      </c>
      <c r="C2012">
        <v>84</v>
      </c>
      <c r="D2012">
        <f t="shared" si="93"/>
        <v>77.8</v>
      </c>
      <c r="E2012">
        <f t="shared" si="94"/>
        <v>5</v>
      </c>
      <c r="F2012">
        <f t="shared" si="95"/>
        <v>7.3809523809523839E-2</v>
      </c>
    </row>
    <row r="2013" spans="1:6" x14ac:dyDescent="0.25">
      <c r="A2013" t="s">
        <v>171</v>
      </c>
      <c r="B2013" s="1">
        <v>46090</v>
      </c>
      <c r="C2013">
        <v>76</v>
      </c>
      <c r="D2013">
        <f t="shared" si="93"/>
        <v>82.2</v>
      </c>
      <c r="E2013">
        <f t="shared" si="94"/>
        <v>5</v>
      </c>
      <c r="F2013">
        <f t="shared" si="95"/>
        <v>8.1578947368421084E-2</v>
      </c>
    </row>
    <row r="2014" spans="1:6" x14ac:dyDescent="0.25">
      <c r="A2014" t="s">
        <v>171</v>
      </c>
      <c r="B2014" s="1">
        <v>46097</v>
      </c>
      <c r="C2014">
        <v>71</v>
      </c>
      <c r="D2014">
        <f t="shared" si="93"/>
        <v>81.599999999999994</v>
      </c>
      <c r="E2014">
        <f t="shared" si="94"/>
        <v>5</v>
      </c>
      <c r="F2014">
        <f t="shared" si="95"/>
        <v>0.14929577464788724</v>
      </c>
    </row>
    <row r="2015" spans="1:6" x14ac:dyDescent="0.25">
      <c r="A2015" t="s">
        <v>171</v>
      </c>
      <c r="B2015" s="1">
        <v>46104</v>
      </c>
      <c r="C2015">
        <v>101</v>
      </c>
      <c r="D2015">
        <f t="shared" si="93"/>
        <v>78.599999999999994</v>
      </c>
      <c r="E2015">
        <f t="shared" si="94"/>
        <v>5</v>
      </c>
      <c r="F2015">
        <f t="shared" si="95"/>
        <v>0.22178217821782184</v>
      </c>
    </row>
    <row r="2016" spans="1:6" x14ac:dyDescent="0.25">
      <c r="A2016" t="s">
        <v>171</v>
      </c>
      <c r="B2016" s="1">
        <v>46111</v>
      </c>
      <c r="C2016">
        <v>96</v>
      </c>
      <c r="D2016">
        <f t="shared" si="93"/>
        <v>84.4</v>
      </c>
      <c r="E2016">
        <f t="shared" si="94"/>
        <v>5</v>
      </c>
      <c r="F2016">
        <f t="shared" si="95"/>
        <v>0.12083333333333328</v>
      </c>
    </row>
    <row r="2017" spans="1:6" x14ac:dyDescent="0.25">
      <c r="A2017" t="s">
        <v>171</v>
      </c>
      <c r="B2017" s="1">
        <v>46118</v>
      </c>
      <c r="C2017">
        <v>79</v>
      </c>
      <c r="D2017">
        <f t="shared" si="93"/>
        <v>85.6</v>
      </c>
      <c r="E2017">
        <f t="shared" si="94"/>
        <v>5</v>
      </c>
      <c r="F2017">
        <f t="shared" si="95"/>
        <v>8.3544303797468286E-2</v>
      </c>
    </row>
    <row r="2018" spans="1:6" x14ac:dyDescent="0.25">
      <c r="A2018" t="s">
        <v>171</v>
      </c>
      <c r="B2018" s="1">
        <v>46125</v>
      </c>
      <c r="C2018">
        <v>79</v>
      </c>
      <c r="D2018">
        <f t="shared" si="93"/>
        <v>84.6</v>
      </c>
      <c r="E2018">
        <f t="shared" si="94"/>
        <v>5</v>
      </c>
      <c r="F2018">
        <f t="shared" si="95"/>
        <v>7.0886075949367022E-2</v>
      </c>
    </row>
    <row r="2019" spans="1:6" x14ac:dyDescent="0.25">
      <c r="A2019" t="s">
        <v>171</v>
      </c>
      <c r="B2019" s="1">
        <v>46132</v>
      </c>
      <c r="C2019">
        <v>106</v>
      </c>
      <c r="D2019">
        <f t="shared" si="93"/>
        <v>85.2</v>
      </c>
      <c r="E2019">
        <f t="shared" si="94"/>
        <v>5</v>
      </c>
      <c r="F2019">
        <f t="shared" si="95"/>
        <v>0.19622641509433961</v>
      </c>
    </row>
    <row r="2020" spans="1:6" x14ac:dyDescent="0.25">
      <c r="A2020" t="s">
        <v>171</v>
      </c>
      <c r="B2020" s="1">
        <v>46139</v>
      </c>
      <c r="C2020">
        <v>103</v>
      </c>
      <c r="D2020">
        <f t="shared" si="93"/>
        <v>92.2</v>
      </c>
      <c r="E2020">
        <f t="shared" si="94"/>
        <v>5</v>
      </c>
      <c r="F2020">
        <f t="shared" si="95"/>
        <v>0.10485436893203881</v>
      </c>
    </row>
    <row r="2021" spans="1:6" x14ac:dyDescent="0.25">
      <c r="A2021" t="s">
        <v>171</v>
      </c>
      <c r="B2021" s="1">
        <v>46146</v>
      </c>
      <c r="C2021">
        <v>92</v>
      </c>
      <c r="D2021">
        <f t="shared" si="93"/>
        <v>92.6</v>
      </c>
      <c r="E2021">
        <f t="shared" si="94"/>
        <v>5</v>
      </c>
      <c r="F2021">
        <f t="shared" si="95"/>
        <v>6.5217391304347207E-3</v>
      </c>
    </row>
    <row r="2022" spans="1:6" x14ac:dyDescent="0.25">
      <c r="A2022" t="s">
        <v>171</v>
      </c>
      <c r="B2022" s="1">
        <v>46153</v>
      </c>
      <c r="C2022">
        <v>119</v>
      </c>
      <c r="D2022">
        <f t="shared" si="93"/>
        <v>91.8</v>
      </c>
      <c r="E2022">
        <f t="shared" si="94"/>
        <v>5</v>
      </c>
      <c r="F2022">
        <f t="shared" si="95"/>
        <v>0.22857142857142859</v>
      </c>
    </row>
    <row r="2023" spans="1:6" x14ac:dyDescent="0.25">
      <c r="A2023" t="s">
        <v>171</v>
      </c>
      <c r="B2023" s="1">
        <v>46160</v>
      </c>
      <c r="C2023">
        <v>94</v>
      </c>
      <c r="D2023">
        <f t="shared" si="93"/>
        <v>99.8</v>
      </c>
      <c r="E2023">
        <f t="shared" si="94"/>
        <v>5</v>
      </c>
      <c r="F2023">
        <f t="shared" si="95"/>
        <v>6.1702127659574439E-2</v>
      </c>
    </row>
    <row r="2024" spans="1:6" x14ac:dyDescent="0.25">
      <c r="A2024" t="s">
        <v>171</v>
      </c>
      <c r="B2024" s="1">
        <v>46167</v>
      </c>
      <c r="C2024">
        <v>84</v>
      </c>
      <c r="D2024">
        <f t="shared" si="93"/>
        <v>102.8</v>
      </c>
      <c r="E2024">
        <f t="shared" si="94"/>
        <v>5</v>
      </c>
      <c r="F2024">
        <f t="shared" si="95"/>
        <v>0.22380952380952376</v>
      </c>
    </row>
    <row r="2025" spans="1:6" x14ac:dyDescent="0.25">
      <c r="A2025" t="s">
        <v>171</v>
      </c>
      <c r="B2025" s="1">
        <v>46174</v>
      </c>
      <c r="C2025">
        <v>115</v>
      </c>
      <c r="D2025">
        <f t="shared" si="93"/>
        <v>98.4</v>
      </c>
      <c r="E2025">
        <f t="shared" si="94"/>
        <v>5</v>
      </c>
      <c r="F2025">
        <f t="shared" si="95"/>
        <v>0.14434782608695648</v>
      </c>
    </row>
    <row r="2026" spans="1:6" x14ac:dyDescent="0.25">
      <c r="A2026" t="s">
        <v>171</v>
      </c>
      <c r="B2026" s="1">
        <v>46181</v>
      </c>
      <c r="C2026">
        <v>98</v>
      </c>
      <c r="D2026">
        <f t="shared" si="93"/>
        <v>100.8</v>
      </c>
      <c r="E2026">
        <f t="shared" si="94"/>
        <v>5</v>
      </c>
      <c r="F2026">
        <f t="shared" si="95"/>
        <v>2.8571428571428543E-2</v>
      </c>
    </row>
    <row r="2027" spans="1:6" x14ac:dyDescent="0.25">
      <c r="A2027" t="s">
        <v>171</v>
      </c>
      <c r="B2027" s="1">
        <v>46188</v>
      </c>
      <c r="C2027">
        <v>107</v>
      </c>
      <c r="D2027">
        <f t="shared" si="93"/>
        <v>102</v>
      </c>
      <c r="E2027">
        <f t="shared" si="94"/>
        <v>5</v>
      </c>
      <c r="F2027">
        <f t="shared" si="95"/>
        <v>4.6728971962616821E-2</v>
      </c>
    </row>
    <row r="2028" spans="1:6" x14ac:dyDescent="0.25">
      <c r="A2028" t="s">
        <v>171</v>
      </c>
      <c r="B2028" s="1">
        <v>46195</v>
      </c>
      <c r="C2028">
        <v>104</v>
      </c>
      <c r="D2028">
        <f t="shared" si="93"/>
        <v>99.6</v>
      </c>
      <c r="E2028">
        <f t="shared" si="94"/>
        <v>5</v>
      </c>
      <c r="F2028">
        <f t="shared" si="95"/>
        <v>4.2307692307692366E-2</v>
      </c>
    </row>
    <row r="2029" spans="1:6" x14ac:dyDescent="0.25">
      <c r="A2029" t="s">
        <v>171</v>
      </c>
      <c r="B2029" s="1">
        <v>46202</v>
      </c>
      <c r="C2029">
        <v>90</v>
      </c>
      <c r="D2029">
        <f t="shared" si="93"/>
        <v>101.6</v>
      </c>
      <c r="E2029">
        <f t="shared" si="94"/>
        <v>5</v>
      </c>
      <c r="F2029">
        <f t="shared" si="95"/>
        <v>0.12888888888888883</v>
      </c>
    </row>
    <row r="2030" spans="1:6" x14ac:dyDescent="0.25">
      <c r="A2030" t="s">
        <v>173</v>
      </c>
      <c r="B2030" s="1">
        <v>46027</v>
      </c>
      <c r="C2030">
        <v>96</v>
      </c>
      <c r="D2030" t="str">
        <f t="shared" si="93"/>
        <v/>
      </c>
      <c r="E2030">
        <f t="shared" si="94"/>
        <v>0</v>
      </c>
      <c r="F2030" t="str">
        <f t="shared" si="95"/>
        <v/>
      </c>
    </row>
    <row r="2031" spans="1:6" x14ac:dyDescent="0.25">
      <c r="A2031" t="s">
        <v>173</v>
      </c>
      <c r="B2031" s="1">
        <v>46034</v>
      </c>
      <c r="C2031">
        <v>77</v>
      </c>
      <c r="D2031" t="str">
        <f t="shared" si="93"/>
        <v/>
      </c>
      <c r="E2031">
        <f t="shared" si="94"/>
        <v>1</v>
      </c>
      <c r="F2031" t="str">
        <f t="shared" si="95"/>
        <v/>
      </c>
    </row>
    <row r="2032" spans="1:6" x14ac:dyDescent="0.25">
      <c r="A2032" t="s">
        <v>173</v>
      </c>
      <c r="B2032" s="1">
        <v>46041</v>
      </c>
      <c r="C2032">
        <v>86</v>
      </c>
      <c r="D2032" t="str">
        <f t="shared" si="93"/>
        <v/>
      </c>
      <c r="E2032">
        <f t="shared" si="94"/>
        <v>2</v>
      </c>
      <c r="F2032" t="str">
        <f t="shared" si="95"/>
        <v/>
      </c>
    </row>
    <row r="2033" spans="1:6" x14ac:dyDescent="0.25">
      <c r="A2033" t="s">
        <v>173</v>
      </c>
      <c r="B2033" s="1">
        <v>46048</v>
      </c>
      <c r="C2033">
        <v>80</v>
      </c>
      <c r="D2033" t="str">
        <f t="shared" si="93"/>
        <v/>
      </c>
      <c r="E2033">
        <f t="shared" si="94"/>
        <v>3</v>
      </c>
      <c r="F2033" t="str">
        <f t="shared" si="95"/>
        <v/>
      </c>
    </row>
    <row r="2034" spans="1:6" x14ac:dyDescent="0.25">
      <c r="A2034" t="s">
        <v>173</v>
      </c>
      <c r="B2034" s="1">
        <v>46055</v>
      </c>
      <c r="C2034">
        <v>63</v>
      </c>
      <c r="D2034" t="str">
        <f t="shared" si="93"/>
        <v/>
      </c>
      <c r="E2034">
        <f t="shared" si="94"/>
        <v>4</v>
      </c>
      <c r="F2034" t="str">
        <f t="shared" si="95"/>
        <v/>
      </c>
    </row>
    <row r="2035" spans="1:6" x14ac:dyDescent="0.25">
      <c r="A2035" t="s">
        <v>173</v>
      </c>
      <c r="B2035" s="1">
        <v>46062</v>
      </c>
      <c r="C2035">
        <v>78</v>
      </c>
      <c r="D2035">
        <f t="shared" si="93"/>
        <v>80.400000000000006</v>
      </c>
      <c r="E2035">
        <f t="shared" si="94"/>
        <v>5</v>
      </c>
      <c r="F2035">
        <f t="shared" si="95"/>
        <v>3.0769230769230844E-2</v>
      </c>
    </row>
    <row r="2036" spans="1:6" x14ac:dyDescent="0.25">
      <c r="A2036" t="s">
        <v>173</v>
      </c>
      <c r="B2036" s="1">
        <v>46069</v>
      </c>
      <c r="C2036">
        <v>85</v>
      </c>
      <c r="D2036">
        <f t="shared" si="93"/>
        <v>76.8</v>
      </c>
      <c r="E2036">
        <f t="shared" si="94"/>
        <v>5</v>
      </c>
      <c r="F2036">
        <f t="shared" si="95"/>
        <v>9.6470588235294155E-2</v>
      </c>
    </row>
    <row r="2037" spans="1:6" x14ac:dyDescent="0.25">
      <c r="A2037" t="s">
        <v>173</v>
      </c>
      <c r="B2037" s="1">
        <v>46076</v>
      </c>
      <c r="C2037">
        <v>79</v>
      </c>
      <c r="D2037">
        <f t="shared" si="93"/>
        <v>78.400000000000006</v>
      </c>
      <c r="E2037">
        <f t="shared" si="94"/>
        <v>5</v>
      </c>
      <c r="F2037">
        <f t="shared" si="95"/>
        <v>7.5949367088606872E-3</v>
      </c>
    </row>
    <row r="2038" spans="1:6" x14ac:dyDescent="0.25">
      <c r="A2038" t="s">
        <v>173</v>
      </c>
      <c r="B2038" s="1">
        <v>46083</v>
      </c>
      <c r="C2038">
        <v>97</v>
      </c>
      <c r="D2038">
        <f t="shared" si="93"/>
        <v>77</v>
      </c>
      <c r="E2038">
        <f t="shared" si="94"/>
        <v>5</v>
      </c>
      <c r="F2038">
        <f t="shared" si="95"/>
        <v>0.20618556701030927</v>
      </c>
    </row>
    <row r="2039" spans="1:6" x14ac:dyDescent="0.25">
      <c r="A2039" t="s">
        <v>173</v>
      </c>
      <c r="B2039" s="1">
        <v>46090</v>
      </c>
      <c r="C2039">
        <v>92</v>
      </c>
      <c r="D2039">
        <f t="shared" si="93"/>
        <v>80.400000000000006</v>
      </c>
      <c r="E2039">
        <f t="shared" si="94"/>
        <v>5</v>
      </c>
      <c r="F2039">
        <f t="shared" si="95"/>
        <v>0.12608695652173907</v>
      </c>
    </row>
    <row r="2040" spans="1:6" x14ac:dyDescent="0.25">
      <c r="A2040" t="s">
        <v>173</v>
      </c>
      <c r="B2040" s="1">
        <v>46097</v>
      </c>
      <c r="C2040">
        <v>103</v>
      </c>
      <c r="D2040">
        <f t="shared" si="93"/>
        <v>86.2</v>
      </c>
      <c r="E2040">
        <f t="shared" si="94"/>
        <v>5</v>
      </c>
      <c r="F2040">
        <f t="shared" si="95"/>
        <v>0.16310679611650483</v>
      </c>
    </row>
    <row r="2041" spans="1:6" x14ac:dyDescent="0.25">
      <c r="A2041" t="s">
        <v>173</v>
      </c>
      <c r="B2041" s="1">
        <v>46104</v>
      </c>
      <c r="C2041">
        <v>98</v>
      </c>
      <c r="D2041">
        <f t="shared" si="93"/>
        <v>91.2</v>
      </c>
      <c r="E2041">
        <f t="shared" si="94"/>
        <v>5</v>
      </c>
      <c r="F2041">
        <f t="shared" si="95"/>
        <v>6.9387755102040788E-2</v>
      </c>
    </row>
    <row r="2042" spans="1:6" x14ac:dyDescent="0.25">
      <c r="A2042" t="s">
        <v>173</v>
      </c>
      <c r="B2042" s="1">
        <v>46111</v>
      </c>
      <c r="C2042">
        <v>107</v>
      </c>
      <c r="D2042">
        <f t="shared" si="93"/>
        <v>93.8</v>
      </c>
      <c r="E2042">
        <f t="shared" si="94"/>
        <v>5</v>
      </c>
      <c r="F2042">
        <f t="shared" si="95"/>
        <v>0.12336448598130843</v>
      </c>
    </row>
    <row r="2043" spans="1:6" x14ac:dyDescent="0.25">
      <c r="A2043" t="s">
        <v>173</v>
      </c>
      <c r="B2043" s="1">
        <v>46118</v>
      </c>
      <c r="C2043">
        <v>110</v>
      </c>
      <c r="D2043">
        <f t="shared" si="93"/>
        <v>99.4</v>
      </c>
      <c r="E2043">
        <f t="shared" si="94"/>
        <v>5</v>
      </c>
      <c r="F2043">
        <f t="shared" si="95"/>
        <v>9.6363636363636318E-2</v>
      </c>
    </row>
    <row r="2044" spans="1:6" x14ac:dyDescent="0.25">
      <c r="A2044" t="s">
        <v>173</v>
      </c>
      <c r="B2044" s="1">
        <v>46125</v>
      </c>
      <c r="C2044">
        <v>105</v>
      </c>
      <c r="D2044">
        <f t="shared" si="93"/>
        <v>102</v>
      </c>
      <c r="E2044">
        <f t="shared" si="94"/>
        <v>5</v>
      </c>
      <c r="F2044">
        <f t="shared" si="95"/>
        <v>2.8571428571428571E-2</v>
      </c>
    </row>
    <row r="2045" spans="1:6" x14ac:dyDescent="0.25">
      <c r="A2045" t="s">
        <v>173</v>
      </c>
      <c r="B2045" s="1">
        <v>46132</v>
      </c>
      <c r="C2045">
        <v>99</v>
      </c>
      <c r="D2045">
        <f t="shared" si="93"/>
        <v>104.6</v>
      </c>
      <c r="E2045">
        <f t="shared" si="94"/>
        <v>5</v>
      </c>
      <c r="F2045">
        <f t="shared" si="95"/>
        <v>5.6565656565656507E-2</v>
      </c>
    </row>
    <row r="2046" spans="1:6" x14ac:dyDescent="0.25">
      <c r="A2046" t="s">
        <v>173</v>
      </c>
      <c r="B2046" s="1">
        <v>46139</v>
      </c>
      <c r="C2046">
        <v>104</v>
      </c>
      <c r="D2046">
        <f t="shared" si="93"/>
        <v>103.8</v>
      </c>
      <c r="E2046">
        <f t="shared" si="94"/>
        <v>5</v>
      </c>
      <c r="F2046">
        <f t="shared" si="95"/>
        <v>1.9230769230769505E-3</v>
      </c>
    </row>
    <row r="2047" spans="1:6" x14ac:dyDescent="0.25">
      <c r="A2047" t="s">
        <v>173</v>
      </c>
      <c r="B2047" s="1">
        <v>46146</v>
      </c>
      <c r="C2047">
        <v>113</v>
      </c>
      <c r="D2047">
        <f t="shared" si="93"/>
        <v>105</v>
      </c>
      <c r="E2047">
        <f t="shared" si="94"/>
        <v>5</v>
      </c>
      <c r="F2047">
        <f t="shared" si="95"/>
        <v>7.0796460176991149E-2</v>
      </c>
    </row>
    <row r="2048" spans="1:6" x14ac:dyDescent="0.25">
      <c r="A2048" t="s">
        <v>173</v>
      </c>
      <c r="B2048" s="1">
        <v>46153</v>
      </c>
      <c r="C2048">
        <v>110</v>
      </c>
      <c r="D2048">
        <f t="shared" si="93"/>
        <v>106.2</v>
      </c>
      <c r="E2048">
        <f t="shared" si="94"/>
        <v>5</v>
      </c>
      <c r="F2048">
        <f t="shared" si="95"/>
        <v>3.4545454545454518E-2</v>
      </c>
    </row>
    <row r="2049" spans="1:6" x14ac:dyDescent="0.25">
      <c r="A2049" t="s">
        <v>173</v>
      </c>
      <c r="B2049" s="1">
        <v>46160</v>
      </c>
      <c r="C2049">
        <v>99</v>
      </c>
      <c r="D2049">
        <f t="shared" si="93"/>
        <v>106.2</v>
      </c>
      <c r="E2049">
        <f t="shared" si="94"/>
        <v>5</v>
      </c>
      <c r="F2049">
        <f t="shared" si="95"/>
        <v>7.2727272727272751E-2</v>
      </c>
    </row>
    <row r="2050" spans="1:6" x14ac:dyDescent="0.25">
      <c r="A2050" t="s">
        <v>173</v>
      </c>
      <c r="B2050" s="1">
        <v>46167</v>
      </c>
      <c r="C2050">
        <v>99</v>
      </c>
      <c r="D2050">
        <f t="shared" ref="D2050:D2113" si="96">IF(E2050 &lt; 5, "", AVERAGEIFS(C:C, A:A, A2050, B:B, "&gt;=" &amp; (B2050-35), B:B, "&lt;=" &amp; (B2050-7)))</f>
        <v>105</v>
      </c>
      <c r="E2050">
        <f t="shared" ref="E2050:E2113" si="97">COUNTIFS(A:A, A2050, B:B, "&gt;=" &amp; (B2050-35), B:B, "&lt;=" &amp; (B2050-7))</f>
        <v>5</v>
      </c>
      <c r="F2050">
        <f t="shared" ref="F2050:F2113" si="98">IF(OR(C2050=0, D2050=""), "", ABS(C2050 - D2050) / C2050)</f>
        <v>6.0606060606060608E-2</v>
      </c>
    </row>
    <row r="2051" spans="1:6" x14ac:dyDescent="0.25">
      <c r="A2051" t="s">
        <v>173</v>
      </c>
      <c r="B2051" s="1">
        <v>46174</v>
      </c>
      <c r="C2051">
        <v>114</v>
      </c>
      <c r="D2051">
        <f t="shared" si="96"/>
        <v>105</v>
      </c>
      <c r="E2051">
        <f t="shared" si="97"/>
        <v>5</v>
      </c>
      <c r="F2051">
        <f t="shared" si="98"/>
        <v>7.8947368421052627E-2</v>
      </c>
    </row>
    <row r="2052" spans="1:6" x14ac:dyDescent="0.25">
      <c r="A2052" t="s">
        <v>173</v>
      </c>
      <c r="B2052" s="1">
        <v>46181</v>
      </c>
      <c r="C2052">
        <v>102</v>
      </c>
      <c r="D2052">
        <f t="shared" si="96"/>
        <v>107</v>
      </c>
      <c r="E2052">
        <f t="shared" si="97"/>
        <v>5</v>
      </c>
      <c r="F2052">
        <f t="shared" si="98"/>
        <v>4.9019607843137254E-2</v>
      </c>
    </row>
    <row r="2053" spans="1:6" x14ac:dyDescent="0.25">
      <c r="A2053" t="s">
        <v>173</v>
      </c>
      <c r="B2053" s="1">
        <v>46188</v>
      </c>
      <c r="C2053">
        <v>109</v>
      </c>
      <c r="D2053">
        <f t="shared" si="96"/>
        <v>104.8</v>
      </c>
      <c r="E2053">
        <f t="shared" si="97"/>
        <v>5</v>
      </c>
      <c r="F2053">
        <f t="shared" si="98"/>
        <v>3.8532110091743142E-2</v>
      </c>
    </row>
    <row r="2054" spans="1:6" x14ac:dyDescent="0.25">
      <c r="A2054" t="s">
        <v>173</v>
      </c>
      <c r="B2054" s="1">
        <v>46195</v>
      </c>
      <c r="C2054">
        <v>116</v>
      </c>
      <c r="D2054">
        <f t="shared" si="96"/>
        <v>104.6</v>
      </c>
      <c r="E2054">
        <f t="shared" si="97"/>
        <v>5</v>
      </c>
      <c r="F2054">
        <f t="shared" si="98"/>
        <v>9.8275862068965561E-2</v>
      </c>
    </row>
    <row r="2055" spans="1:6" x14ac:dyDescent="0.25">
      <c r="A2055" t="s">
        <v>173</v>
      </c>
      <c r="B2055" s="1">
        <v>46202</v>
      </c>
      <c r="C2055">
        <v>98</v>
      </c>
      <c r="D2055">
        <f t="shared" si="96"/>
        <v>108</v>
      </c>
      <c r="E2055">
        <f t="shared" si="97"/>
        <v>5</v>
      </c>
      <c r="F2055">
        <f t="shared" si="98"/>
        <v>0.10204081632653061</v>
      </c>
    </row>
    <row r="2056" spans="1:6" x14ac:dyDescent="0.25">
      <c r="A2056" t="s">
        <v>175</v>
      </c>
      <c r="B2056" s="1">
        <v>46027</v>
      </c>
      <c r="C2056">
        <v>18</v>
      </c>
      <c r="D2056" t="str">
        <f t="shared" si="96"/>
        <v/>
      </c>
      <c r="E2056">
        <f t="shared" si="97"/>
        <v>0</v>
      </c>
      <c r="F2056" t="str">
        <f t="shared" si="98"/>
        <v/>
      </c>
    </row>
    <row r="2057" spans="1:6" x14ac:dyDescent="0.25">
      <c r="A2057" t="s">
        <v>175</v>
      </c>
      <c r="B2057" s="1">
        <v>46034</v>
      </c>
      <c r="C2057">
        <v>18</v>
      </c>
      <c r="D2057" t="str">
        <f t="shared" si="96"/>
        <v/>
      </c>
      <c r="E2057">
        <f t="shared" si="97"/>
        <v>1</v>
      </c>
      <c r="F2057" t="str">
        <f t="shared" si="98"/>
        <v/>
      </c>
    </row>
    <row r="2058" spans="1:6" x14ac:dyDescent="0.25">
      <c r="A2058" t="s">
        <v>175</v>
      </c>
      <c r="B2058" s="1">
        <v>46041</v>
      </c>
      <c r="C2058">
        <v>16</v>
      </c>
      <c r="D2058" t="str">
        <f t="shared" si="96"/>
        <v/>
      </c>
      <c r="E2058">
        <f t="shared" si="97"/>
        <v>2</v>
      </c>
      <c r="F2058" t="str">
        <f t="shared" si="98"/>
        <v/>
      </c>
    </row>
    <row r="2059" spans="1:6" x14ac:dyDescent="0.25">
      <c r="A2059" t="s">
        <v>175</v>
      </c>
      <c r="B2059" s="1">
        <v>46048</v>
      </c>
      <c r="C2059">
        <v>16</v>
      </c>
      <c r="D2059" t="str">
        <f t="shared" si="96"/>
        <v/>
      </c>
      <c r="E2059">
        <f t="shared" si="97"/>
        <v>3</v>
      </c>
      <c r="F2059" t="str">
        <f t="shared" si="98"/>
        <v/>
      </c>
    </row>
    <row r="2060" spans="1:6" x14ac:dyDescent="0.25">
      <c r="A2060" t="s">
        <v>175</v>
      </c>
      <c r="B2060" s="1">
        <v>46055</v>
      </c>
      <c r="C2060">
        <v>16</v>
      </c>
      <c r="D2060" t="str">
        <f t="shared" si="96"/>
        <v/>
      </c>
      <c r="E2060">
        <f t="shared" si="97"/>
        <v>4</v>
      </c>
      <c r="F2060" t="str">
        <f t="shared" si="98"/>
        <v/>
      </c>
    </row>
    <row r="2061" spans="1:6" x14ac:dyDescent="0.25">
      <c r="A2061" t="s">
        <v>175</v>
      </c>
      <c r="B2061" s="1">
        <v>46062</v>
      </c>
      <c r="C2061">
        <v>15</v>
      </c>
      <c r="D2061">
        <f t="shared" si="96"/>
        <v>16.8</v>
      </c>
      <c r="E2061">
        <f t="shared" si="97"/>
        <v>5</v>
      </c>
      <c r="F2061">
        <f t="shared" si="98"/>
        <v>0.12000000000000005</v>
      </c>
    </row>
    <row r="2062" spans="1:6" x14ac:dyDescent="0.25">
      <c r="A2062" t="s">
        <v>175</v>
      </c>
      <c r="B2062" s="1">
        <v>46069</v>
      </c>
      <c r="C2062">
        <v>17</v>
      </c>
      <c r="D2062">
        <f t="shared" si="96"/>
        <v>16.2</v>
      </c>
      <c r="E2062">
        <f t="shared" si="97"/>
        <v>5</v>
      </c>
      <c r="F2062">
        <f t="shared" si="98"/>
        <v>4.7058823529411806E-2</v>
      </c>
    </row>
    <row r="2063" spans="1:6" x14ac:dyDescent="0.25">
      <c r="A2063" t="s">
        <v>175</v>
      </c>
      <c r="B2063" s="1">
        <v>46076</v>
      </c>
      <c r="C2063">
        <v>18</v>
      </c>
      <c r="D2063">
        <f t="shared" si="96"/>
        <v>16</v>
      </c>
      <c r="E2063">
        <f t="shared" si="97"/>
        <v>5</v>
      </c>
      <c r="F2063">
        <f t="shared" si="98"/>
        <v>0.1111111111111111</v>
      </c>
    </row>
    <row r="2064" spans="1:6" x14ac:dyDescent="0.25">
      <c r="A2064" t="s">
        <v>175</v>
      </c>
      <c r="B2064" s="1">
        <v>46083</v>
      </c>
      <c r="C2064">
        <v>17</v>
      </c>
      <c r="D2064">
        <f t="shared" si="96"/>
        <v>16.399999999999999</v>
      </c>
      <c r="E2064">
        <f t="shared" si="97"/>
        <v>5</v>
      </c>
      <c r="F2064">
        <f t="shared" si="98"/>
        <v>3.5294117647058906E-2</v>
      </c>
    </row>
    <row r="2065" spans="1:6" x14ac:dyDescent="0.25">
      <c r="A2065" t="s">
        <v>175</v>
      </c>
      <c r="B2065" s="1">
        <v>46090</v>
      </c>
      <c r="C2065">
        <v>17</v>
      </c>
      <c r="D2065">
        <f t="shared" si="96"/>
        <v>16.600000000000001</v>
      </c>
      <c r="E2065">
        <f t="shared" si="97"/>
        <v>5</v>
      </c>
      <c r="F2065">
        <f t="shared" si="98"/>
        <v>2.3529411764705799E-2</v>
      </c>
    </row>
    <row r="2066" spans="1:6" x14ac:dyDescent="0.25">
      <c r="A2066" t="s">
        <v>175</v>
      </c>
      <c r="B2066" s="1">
        <v>46097</v>
      </c>
      <c r="C2066">
        <v>14</v>
      </c>
      <c r="D2066">
        <f t="shared" si="96"/>
        <v>16.8</v>
      </c>
      <c r="E2066">
        <f t="shared" si="97"/>
        <v>5</v>
      </c>
      <c r="F2066">
        <f t="shared" si="98"/>
        <v>0.20000000000000004</v>
      </c>
    </row>
    <row r="2067" spans="1:6" x14ac:dyDescent="0.25">
      <c r="A2067" t="s">
        <v>175</v>
      </c>
      <c r="B2067" s="1">
        <v>46104</v>
      </c>
      <c r="C2067">
        <v>16</v>
      </c>
      <c r="D2067">
        <f t="shared" si="96"/>
        <v>16.600000000000001</v>
      </c>
      <c r="E2067">
        <f t="shared" si="97"/>
        <v>5</v>
      </c>
      <c r="F2067">
        <f t="shared" si="98"/>
        <v>3.7500000000000089E-2</v>
      </c>
    </row>
    <row r="2068" spans="1:6" x14ac:dyDescent="0.25">
      <c r="A2068" t="s">
        <v>175</v>
      </c>
      <c r="B2068" s="1">
        <v>46111</v>
      </c>
      <c r="C2068">
        <v>20</v>
      </c>
      <c r="D2068">
        <f t="shared" si="96"/>
        <v>16.399999999999999</v>
      </c>
      <c r="E2068">
        <f t="shared" si="97"/>
        <v>5</v>
      </c>
      <c r="F2068">
        <f t="shared" si="98"/>
        <v>0.18000000000000008</v>
      </c>
    </row>
    <row r="2069" spans="1:6" x14ac:dyDescent="0.25">
      <c r="A2069" t="s">
        <v>175</v>
      </c>
      <c r="B2069" s="1">
        <v>46118</v>
      </c>
      <c r="C2069">
        <v>16</v>
      </c>
      <c r="D2069">
        <f t="shared" si="96"/>
        <v>16.8</v>
      </c>
      <c r="E2069">
        <f t="shared" si="97"/>
        <v>5</v>
      </c>
      <c r="F2069">
        <f t="shared" si="98"/>
        <v>5.0000000000000044E-2</v>
      </c>
    </row>
    <row r="2070" spans="1:6" x14ac:dyDescent="0.25">
      <c r="A2070" t="s">
        <v>175</v>
      </c>
      <c r="B2070" s="1">
        <v>46125</v>
      </c>
      <c r="C2070">
        <v>20</v>
      </c>
      <c r="D2070">
        <f t="shared" si="96"/>
        <v>16.600000000000001</v>
      </c>
      <c r="E2070">
        <f t="shared" si="97"/>
        <v>5</v>
      </c>
      <c r="F2070">
        <f t="shared" si="98"/>
        <v>0.16999999999999993</v>
      </c>
    </row>
    <row r="2071" spans="1:6" x14ac:dyDescent="0.25">
      <c r="A2071" t="s">
        <v>175</v>
      </c>
      <c r="B2071" s="1">
        <v>46132</v>
      </c>
      <c r="C2071">
        <v>20</v>
      </c>
      <c r="D2071">
        <f t="shared" si="96"/>
        <v>17.2</v>
      </c>
      <c r="E2071">
        <f t="shared" si="97"/>
        <v>5</v>
      </c>
      <c r="F2071">
        <f t="shared" si="98"/>
        <v>0.14000000000000004</v>
      </c>
    </row>
    <row r="2072" spans="1:6" x14ac:dyDescent="0.25">
      <c r="A2072" t="s">
        <v>175</v>
      </c>
      <c r="B2072" s="1">
        <v>46139</v>
      </c>
      <c r="C2072">
        <v>19</v>
      </c>
      <c r="D2072">
        <f t="shared" si="96"/>
        <v>18.399999999999999</v>
      </c>
      <c r="E2072">
        <f t="shared" si="97"/>
        <v>5</v>
      </c>
      <c r="F2072">
        <f t="shared" si="98"/>
        <v>3.157894736842113E-2</v>
      </c>
    </row>
    <row r="2073" spans="1:6" x14ac:dyDescent="0.25">
      <c r="A2073" t="s">
        <v>175</v>
      </c>
      <c r="B2073" s="1">
        <v>46146</v>
      </c>
      <c r="C2073">
        <v>20</v>
      </c>
      <c r="D2073">
        <f t="shared" si="96"/>
        <v>19</v>
      </c>
      <c r="E2073">
        <f t="shared" si="97"/>
        <v>5</v>
      </c>
      <c r="F2073">
        <f t="shared" si="98"/>
        <v>0.05</v>
      </c>
    </row>
    <row r="2074" spans="1:6" x14ac:dyDescent="0.25">
      <c r="A2074" t="s">
        <v>175</v>
      </c>
      <c r="B2074" s="1">
        <v>46153</v>
      </c>
      <c r="C2074">
        <v>21</v>
      </c>
      <c r="D2074">
        <f t="shared" si="96"/>
        <v>19</v>
      </c>
      <c r="E2074">
        <f t="shared" si="97"/>
        <v>5</v>
      </c>
      <c r="F2074">
        <f t="shared" si="98"/>
        <v>9.5238095238095233E-2</v>
      </c>
    </row>
    <row r="2075" spans="1:6" x14ac:dyDescent="0.25">
      <c r="A2075" t="s">
        <v>175</v>
      </c>
      <c r="B2075" s="1">
        <v>46160</v>
      </c>
      <c r="C2075">
        <v>20</v>
      </c>
      <c r="D2075">
        <f t="shared" si="96"/>
        <v>20</v>
      </c>
      <c r="E2075">
        <f t="shared" si="97"/>
        <v>5</v>
      </c>
      <c r="F2075">
        <f t="shared" si="98"/>
        <v>0</v>
      </c>
    </row>
    <row r="2076" spans="1:6" x14ac:dyDescent="0.25">
      <c r="A2076" t="s">
        <v>175</v>
      </c>
      <c r="B2076" s="1">
        <v>46167</v>
      </c>
      <c r="C2076">
        <v>20</v>
      </c>
      <c r="D2076">
        <f t="shared" si="96"/>
        <v>20</v>
      </c>
      <c r="E2076">
        <f t="shared" si="97"/>
        <v>5</v>
      </c>
      <c r="F2076">
        <f t="shared" si="98"/>
        <v>0</v>
      </c>
    </row>
    <row r="2077" spans="1:6" x14ac:dyDescent="0.25">
      <c r="A2077" t="s">
        <v>175</v>
      </c>
      <c r="B2077" s="1">
        <v>46174</v>
      </c>
      <c r="C2077">
        <v>22</v>
      </c>
      <c r="D2077">
        <f t="shared" si="96"/>
        <v>20</v>
      </c>
      <c r="E2077">
        <f t="shared" si="97"/>
        <v>5</v>
      </c>
      <c r="F2077">
        <f t="shared" si="98"/>
        <v>9.0909090909090912E-2</v>
      </c>
    </row>
    <row r="2078" spans="1:6" x14ac:dyDescent="0.25">
      <c r="A2078" t="s">
        <v>175</v>
      </c>
      <c r="B2078" s="1">
        <v>46181</v>
      </c>
      <c r="C2078">
        <v>21</v>
      </c>
      <c r="D2078">
        <f t="shared" si="96"/>
        <v>20.6</v>
      </c>
      <c r="E2078">
        <f t="shared" si="97"/>
        <v>5</v>
      </c>
      <c r="F2078">
        <f t="shared" si="98"/>
        <v>1.904761904761898E-2</v>
      </c>
    </row>
    <row r="2079" spans="1:6" x14ac:dyDescent="0.25">
      <c r="A2079" t="s">
        <v>175</v>
      </c>
      <c r="B2079" s="1">
        <v>46188</v>
      </c>
      <c r="C2079">
        <v>24</v>
      </c>
      <c r="D2079">
        <f t="shared" si="96"/>
        <v>20.8</v>
      </c>
      <c r="E2079">
        <f t="shared" si="97"/>
        <v>5</v>
      </c>
      <c r="F2079">
        <f t="shared" si="98"/>
        <v>0.1333333333333333</v>
      </c>
    </row>
    <row r="2080" spans="1:6" x14ac:dyDescent="0.25">
      <c r="A2080" t="s">
        <v>175</v>
      </c>
      <c r="B2080" s="1">
        <v>46195</v>
      </c>
      <c r="C2080">
        <v>20</v>
      </c>
      <c r="D2080">
        <f t="shared" si="96"/>
        <v>21.4</v>
      </c>
      <c r="E2080">
        <f t="shared" si="97"/>
        <v>5</v>
      </c>
      <c r="F2080">
        <f t="shared" si="98"/>
        <v>6.9999999999999923E-2</v>
      </c>
    </row>
    <row r="2081" spans="1:6" x14ac:dyDescent="0.25">
      <c r="A2081" t="s">
        <v>175</v>
      </c>
      <c r="B2081" s="1">
        <v>46202</v>
      </c>
      <c r="C2081">
        <v>21</v>
      </c>
      <c r="D2081">
        <f t="shared" si="96"/>
        <v>21.4</v>
      </c>
      <c r="E2081">
        <f t="shared" si="97"/>
        <v>5</v>
      </c>
      <c r="F2081">
        <f t="shared" si="98"/>
        <v>1.904761904761898E-2</v>
      </c>
    </row>
    <row r="2082" spans="1:6" x14ac:dyDescent="0.25">
      <c r="A2082" t="s">
        <v>177</v>
      </c>
      <c r="B2082" s="1">
        <v>46027</v>
      </c>
      <c r="C2082">
        <v>65</v>
      </c>
      <c r="D2082" t="str">
        <f t="shared" si="96"/>
        <v/>
      </c>
      <c r="E2082">
        <f t="shared" si="97"/>
        <v>0</v>
      </c>
      <c r="F2082" t="str">
        <f t="shared" si="98"/>
        <v/>
      </c>
    </row>
    <row r="2083" spans="1:6" x14ac:dyDescent="0.25">
      <c r="A2083" t="s">
        <v>177</v>
      </c>
      <c r="B2083" s="1">
        <v>46034</v>
      </c>
      <c r="C2083">
        <v>77</v>
      </c>
      <c r="D2083" t="str">
        <f t="shared" si="96"/>
        <v/>
      </c>
      <c r="E2083">
        <f t="shared" si="97"/>
        <v>1</v>
      </c>
      <c r="F2083" t="str">
        <f t="shared" si="98"/>
        <v/>
      </c>
    </row>
    <row r="2084" spans="1:6" x14ac:dyDescent="0.25">
      <c r="A2084" t="s">
        <v>177</v>
      </c>
      <c r="B2084" s="1">
        <v>46041</v>
      </c>
      <c r="C2084">
        <v>61</v>
      </c>
      <c r="D2084" t="str">
        <f t="shared" si="96"/>
        <v/>
      </c>
      <c r="E2084">
        <f t="shared" si="97"/>
        <v>2</v>
      </c>
      <c r="F2084" t="str">
        <f t="shared" si="98"/>
        <v/>
      </c>
    </row>
    <row r="2085" spans="1:6" x14ac:dyDescent="0.25">
      <c r="A2085" t="s">
        <v>177</v>
      </c>
      <c r="B2085" s="1">
        <v>46048</v>
      </c>
      <c r="C2085">
        <v>79</v>
      </c>
      <c r="D2085" t="str">
        <f t="shared" si="96"/>
        <v/>
      </c>
      <c r="E2085">
        <f t="shared" si="97"/>
        <v>3</v>
      </c>
      <c r="F2085" t="str">
        <f t="shared" si="98"/>
        <v/>
      </c>
    </row>
    <row r="2086" spans="1:6" x14ac:dyDescent="0.25">
      <c r="A2086" t="s">
        <v>177</v>
      </c>
      <c r="B2086" s="1">
        <v>46055</v>
      </c>
      <c r="C2086">
        <v>63</v>
      </c>
      <c r="D2086" t="str">
        <f t="shared" si="96"/>
        <v/>
      </c>
      <c r="E2086">
        <f t="shared" si="97"/>
        <v>4</v>
      </c>
      <c r="F2086" t="str">
        <f t="shared" si="98"/>
        <v/>
      </c>
    </row>
    <row r="2087" spans="1:6" x14ac:dyDescent="0.25">
      <c r="A2087" t="s">
        <v>177</v>
      </c>
      <c r="B2087" s="1">
        <v>46062</v>
      </c>
      <c r="C2087">
        <v>70</v>
      </c>
      <c r="D2087">
        <f t="shared" si="96"/>
        <v>69</v>
      </c>
      <c r="E2087">
        <f t="shared" si="97"/>
        <v>5</v>
      </c>
      <c r="F2087">
        <f t="shared" si="98"/>
        <v>1.4285714285714285E-2</v>
      </c>
    </row>
    <row r="2088" spans="1:6" x14ac:dyDescent="0.25">
      <c r="A2088" t="s">
        <v>177</v>
      </c>
      <c r="B2088" s="1">
        <v>46069</v>
      </c>
      <c r="C2088">
        <v>79</v>
      </c>
      <c r="D2088">
        <f t="shared" si="96"/>
        <v>70</v>
      </c>
      <c r="E2088">
        <f t="shared" si="97"/>
        <v>5</v>
      </c>
      <c r="F2088">
        <f t="shared" si="98"/>
        <v>0.11392405063291139</v>
      </c>
    </row>
    <row r="2089" spans="1:6" x14ac:dyDescent="0.25">
      <c r="A2089" t="s">
        <v>177</v>
      </c>
      <c r="B2089" s="1">
        <v>46076</v>
      </c>
      <c r="C2089">
        <v>80</v>
      </c>
      <c r="D2089">
        <f t="shared" si="96"/>
        <v>70.400000000000006</v>
      </c>
      <c r="E2089">
        <f t="shared" si="97"/>
        <v>5</v>
      </c>
      <c r="F2089">
        <f t="shared" si="98"/>
        <v>0.11999999999999993</v>
      </c>
    </row>
    <row r="2090" spans="1:6" x14ac:dyDescent="0.25">
      <c r="A2090" t="s">
        <v>177</v>
      </c>
      <c r="B2090" s="1">
        <v>46083</v>
      </c>
      <c r="C2090">
        <v>61</v>
      </c>
      <c r="D2090">
        <f t="shared" si="96"/>
        <v>74.2</v>
      </c>
      <c r="E2090">
        <f t="shared" si="97"/>
        <v>5</v>
      </c>
      <c r="F2090">
        <f t="shared" si="98"/>
        <v>0.21639344262295088</v>
      </c>
    </row>
    <row r="2091" spans="1:6" x14ac:dyDescent="0.25">
      <c r="A2091" t="s">
        <v>177</v>
      </c>
      <c r="B2091" s="1">
        <v>46090</v>
      </c>
      <c r="C2091">
        <v>55</v>
      </c>
      <c r="D2091">
        <f t="shared" si="96"/>
        <v>70.599999999999994</v>
      </c>
      <c r="E2091">
        <f t="shared" si="97"/>
        <v>5</v>
      </c>
      <c r="F2091">
        <f t="shared" si="98"/>
        <v>0.28363636363636352</v>
      </c>
    </row>
    <row r="2092" spans="1:6" x14ac:dyDescent="0.25">
      <c r="A2092" t="s">
        <v>177</v>
      </c>
      <c r="B2092" s="1">
        <v>46097</v>
      </c>
      <c r="C2092">
        <v>68</v>
      </c>
      <c r="D2092">
        <f t="shared" si="96"/>
        <v>69</v>
      </c>
      <c r="E2092">
        <f t="shared" si="97"/>
        <v>5</v>
      </c>
      <c r="F2092">
        <f t="shared" si="98"/>
        <v>1.4705882352941176E-2</v>
      </c>
    </row>
    <row r="2093" spans="1:6" x14ac:dyDescent="0.25">
      <c r="A2093" t="s">
        <v>177</v>
      </c>
      <c r="B2093" s="1">
        <v>46104</v>
      </c>
      <c r="C2093">
        <v>64</v>
      </c>
      <c r="D2093">
        <f t="shared" si="96"/>
        <v>68.599999999999994</v>
      </c>
      <c r="E2093">
        <f t="shared" si="97"/>
        <v>5</v>
      </c>
      <c r="F2093">
        <f t="shared" si="98"/>
        <v>7.1874999999999911E-2</v>
      </c>
    </row>
    <row r="2094" spans="1:6" x14ac:dyDescent="0.25">
      <c r="A2094" t="s">
        <v>177</v>
      </c>
      <c r="B2094" s="1">
        <v>46111</v>
      </c>
      <c r="C2094">
        <v>95</v>
      </c>
      <c r="D2094">
        <f t="shared" si="96"/>
        <v>65.599999999999994</v>
      </c>
      <c r="E2094">
        <f t="shared" si="97"/>
        <v>5</v>
      </c>
      <c r="F2094">
        <f t="shared" si="98"/>
        <v>0.3094736842105264</v>
      </c>
    </row>
    <row r="2095" spans="1:6" x14ac:dyDescent="0.25">
      <c r="A2095" t="s">
        <v>177</v>
      </c>
      <c r="B2095" s="1">
        <v>46118</v>
      </c>
      <c r="C2095">
        <v>100</v>
      </c>
      <c r="D2095">
        <f t="shared" si="96"/>
        <v>68.599999999999994</v>
      </c>
      <c r="E2095">
        <f t="shared" si="97"/>
        <v>5</v>
      </c>
      <c r="F2095">
        <f t="shared" si="98"/>
        <v>0.31400000000000006</v>
      </c>
    </row>
    <row r="2096" spans="1:6" x14ac:dyDescent="0.25">
      <c r="A2096" t="s">
        <v>177</v>
      </c>
      <c r="B2096" s="1">
        <v>46125</v>
      </c>
      <c r="C2096">
        <v>74</v>
      </c>
      <c r="D2096">
        <f t="shared" si="96"/>
        <v>76.400000000000006</v>
      </c>
      <c r="E2096">
        <f t="shared" si="97"/>
        <v>5</v>
      </c>
      <c r="F2096">
        <f t="shared" si="98"/>
        <v>3.2432432432432511E-2</v>
      </c>
    </row>
    <row r="2097" spans="1:6" x14ac:dyDescent="0.25">
      <c r="A2097" t="s">
        <v>177</v>
      </c>
      <c r="B2097" s="1">
        <v>46132</v>
      </c>
      <c r="C2097">
        <v>92</v>
      </c>
      <c r="D2097">
        <f t="shared" si="96"/>
        <v>80.2</v>
      </c>
      <c r="E2097">
        <f t="shared" si="97"/>
        <v>5</v>
      </c>
      <c r="F2097">
        <f t="shared" si="98"/>
        <v>0.12826086956521737</v>
      </c>
    </row>
    <row r="2098" spans="1:6" x14ac:dyDescent="0.25">
      <c r="A2098" t="s">
        <v>177</v>
      </c>
      <c r="B2098" s="1">
        <v>46139</v>
      </c>
      <c r="C2098">
        <v>78</v>
      </c>
      <c r="D2098">
        <f t="shared" si="96"/>
        <v>85</v>
      </c>
      <c r="E2098">
        <f t="shared" si="97"/>
        <v>5</v>
      </c>
      <c r="F2098">
        <f t="shared" si="98"/>
        <v>8.9743589743589744E-2</v>
      </c>
    </row>
    <row r="2099" spans="1:6" x14ac:dyDescent="0.25">
      <c r="A2099" t="s">
        <v>177</v>
      </c>
      <c r="B2099" s="1">
        <v>46146</v>
      </c>
      <c r="C2099">
        <v>68</v>
      </c>
      <c r="D2099">
        <f t="shared" si="96"/>
        <v>87.8</v>
      </c>
      <c r="E2099">
        <f t="shared" si="97"/>
        <v>5</v>
      </c>
      <c r="F2099">
        <f t="shared" si="98"/>
        <v>0.29117647058823526</v>
      </c>
    </row>
    <row r="2100" spans="1:6" x14ac:dyDescent="0.25">
      <c r="A2100" t="s">
        <v>177</v>
      </c>
      <c r="B2100" s="1">
        <v>46153</v>
      </c>
      <c r="C2100">
        <v>84</v>
      </c>
      <c r="D2100">
        <f t="shared" si="96"/>
        <v>82.4</v>
      </c>
      <c r="E2100">
        <f t="shared" si="97"/>
        <v>5</v>
      </c>
      <c r="F2100">
        <f t="shared" si="98"/>
        <v>1.904761904761898E-2</v>
      </c>
    </row>
    <row r="2101" spans="1:6" x14ac:dyDescent="0.25">
      <c r="A2101" t="s">
        <v>177</v>
      </c>
      <c r="B2101" s="1">
        <v>46160</v>
      </c>
      <c r="C2101">
        <v>84</v>
      </c>
      <c r="D2101">
        <f t="shared" si="96"/>
        <v>79.2</v>
      </c>
      <c r="E2101">
        <f t="shared" si="97"/>
        <v>5</v>
      </c>
      <c r="F2101">
        <f t="shared" si="98"/>
        <v>5.7142857142857106E-2</v>
      </c>
    </row>
    <row r="2102" spans="1:6" x14ac:dyDescent="0.25">
      <c r="A2102" t="s">
        <v>177</v>
      </c>
      <c r="B2102" s="1">
        <v>46167</v>
      </c>
      <c r="C2102">
        <v>111</v>
      </c>
      <c r="D2102">
        <f t="shared" si="96"/>
        <v>81.2</v>
      </c>
      <c r="E2102">
        <f t="shared" si="97"/>
        <v>5</v>
      </c>
      <c r="F2102">
        <f t="shared" si="98"/>
        <v>0.26846846846846845</v>
      </c>
    </row>
    <row r="2103" spans="1:6" x14ac:dyDescent="0.25">
      <c r="A2103" t="s">
        <v>177</v>
      </c>
      <c r="B2103" s="1">
        <v>46174</v>
      </c>
      <c r="C2103">
        <v>98</v>
      </c>
      <c r="D2103">
        <f t="shared" si="96"/>
        <v>85</v>
      </c>
      <c r="E2103">
        <f t="shared" si="97"/>
        <v>5</v>
      </c>
      <c r="F2103">
        <f t="shared" si="98"/>
        <v>0.1326530612244898</v>
      </c>
    </row>
    <row r="2104" spans="1:6" x14ac:dyDescent="0.25">
      <c r="A2104" t="s">
        <v>177</v>
      </c>
      <c r="B2104" s="1">
        <v>46181</v>
      </c>
      <c r="C2104">
        <v>89</v>
      </c>
      <c r="D2104">
        <f t="shared" si="96"/>
        <v>89</v>
      </c>
      <c r="E2104">
        <f t="shared" si="97"/>
        <v>5</v>
      </c>
      <c r="F2104">
        <f t="shared" si="98"/>
        <v>0</v>
      </c>
    </row>
    <row r="2105" spans="1:6" x14ac:dyDescent="0.25">
      <c r="A2105" t="s">
        <v>177</v>
      </c>
      <c r="B2105" s="1">
        <v>46188</v>
      </c>
      <c r="C2105">
        <v>86</v>
      </c>
      <c r="D2105">
        <f t="shared" si="96"/>
        <v>93.2</v>
      </c>
      <c r="E2105">
        <f t="shared" si="97"/>
        <v>5</v>
      </c>
      <c r="F2105">
        <f t="shared" si="98"/>
        <v>8.3720930232558166E-2</v>
      </c>
    </row>
    <row r="2106" spans="1:6" x14ac:dyDescent="0.25">
      <c r="A2106" t="s">
        <v>177</v>
      </c>
      <c r="B2106" s="1">
        <v>46195</v>
      </c>
      <c r="C2106">
        <v>92</v>
      </c>
      <c r="D2106">
        <f t="shared" si="96"/>
        <v>93.6</v>
      </c>
      <c r="E2106">
        <f t="shared" si="97"/>
        <v>5</v>
      </c>
      <c r="F2106">
        <f t="shared" si="98"/>
        <v>1.7391304347826025E-2</v>
      </c>
    </row>
    <row r="2107" spans="1:6" x14ac:dyDescent="0.25">
      <c r="A2107" t="s">
        <v>177</v>
      </c>
      <c r="B2107" s="1">
        <v>46202</v>
      </c>
      <c r="C2107">
        <v>102</v>
      </c>
      <c r="D2107">
        <f t="shared" si="96"/>
        <v>95.2</v>
      </c>
      <c r="E2107">
        <f t="shared" si="97"/>
        <v>5</v>
      </c>
      <c r="F2107">
        <f t="shared" si="98"/>
        <v>6.6666666666666638E-2</v>
      </c>
    </row>
    <row r="2108" spans="1:6" x14ac:dyDescent="0.25">
      <c r="A2108" t="s">
        <v>179</v>
      </c>
      <c r="B2108" s="1">
        <v>46027</v>
      </c>
      <c r="C2108">
        <v>43</v>
      </c>
      <c r="D2108" t="str">
        <f t="shared" si="96"/>
        <v/>
      </c>
      <c r="E2108">
        <f t="shared" si="97"/>
        <v>0</v>
      </c>
      <c r="F2108" t="str">
        <f t="shared" si="98"/>
        <v/>
      </c>
    </row>
    <row r="2109" spans="1:6" x14ac:dyDescent="0.25">
      <c r="A2109" t="s">
        <v>179</v>
      </c>
      <c r="B2109" s="1">
        <v>46034</v>
      </c>
      <c r="C2109">
        <v>32</v>
      </c>
      <c r="D2109" t="str">
        <f t="shared" si="96"/>
        <v/>
      </c>
      <c r="E2109">
        <f t="shared" si="97"/>
        <v>1</v>
      </c>
      <c r="F2109" t="str">
        <f t="shared" si="98"/>
        <v/>
      </c>
    </row>
    <row r="2110" spans="1:6" x14ac:dyDescent="0.25">
      <c r="A2110" t="s">
        <v>179</v>
      </c>
      <c r="B2110" s="1">
        <v>46041</v>
      </c>
      <c r="C2110">
        <v>26</v>
      </c>
      <c r="D2110" t="str">
        <f t="shared" si="96"/>
        <v/>
      </c>
      <c r="E2110">
        <f t="shared" si="97"/>
        <v>2</v>
      </c>
      <c r="F2110" t="str">
        <f t="shared" si="98"/>
        <v/>
      </c>
    </row>
    <row r="2111" spans="1:6" x14ac:dyDescent="0.25">
      <c r="A2111" t="s">
        <v>179</v>
      </c>
      <c r="B2111" s="1">
        <v>46048</v>
      </c>
      <c r="C2111">
        <v>46</v>
      </c>
      <c r="D2111" t="str">
        <f t="shared" si="96"/>
        <v/>
      </c>
      <c r="E2111">
        <f t="shared" si="97"/>
        <v>3</v>
      </c>
      <c r="F2111" t="str">
        <f t="shared" si="98"/>
        <v/>
      </c>
    </row>
    <row r="2112" spans="1:6" x14ac:dyDescent="0.25">
      <c r="A2112" t="s">
        <v>179</v>
      </c>
      <c r="B2112" s="1">
        <v>46055</v>
      </c>
      <c r="C2112">
        <v>29</v>
      </c>
      <c r="D2112" t="str">
        <f t="shared" si="96"/>
        <v/>
      </c>
      <c r="E2112">
        <f t="shared" si="97"/>
        <v>4</v>
      </c>
      <c r="F2112" t="str">
        <f t="shared" si="98"/>
        <v/>
      </c>
    </row>
    <row r="2113" spans="1:6" x14ac:dyDescent="0.25">
      <c r="A2113" t="s">
        <v>179</v>
      </c>
      <c r="B2113" s="1">
        <v>46062</v>
      </c>
      <c r="C2113">
        <v>47</v>
      </c>
      <c r="D2113">
        <f t="shared" si="96"/>
        <v>35.200000000000003</v>
      </c>
      <c r="E2113">
        <f t="shared" si="97"/>
        <v>5</v>
      </c>
      <c r="F2113">
        <f t="shared" si="98"/>
        <v>0.25106382978723396</v>
      </c>
    </row>
    <row r="2114" spans="1:6" x14ac:dyDescent="0.25">
      <c r="A2114" t="s">
        <v>179</v>
      </c>
      <c r="B2114" s="1">
        <v>46069</v>
      </c>
      <c r="C2114">
        <v>50</v>
      </c>
      <c r="D2114">
        <f t="shared" ref="D2114:D2177" si="99">IF(E2114 &lt; 5, "", AVERAGEIFS(C:C, A:A, A2114, B:B, "&gt;=" &amp; (B2114-35), B:B, "&lt;=" &amp; (B2114-7)))</f>
        <v>36</v>
      </c>
      <c r="E2114">
        <f t="shared" ref="E2114:E2177" si="100">COUNTIFS(A:A, A2114, B:B, "&gt;=" &amp; (B2114-35), B:B, "&lt;=" &amp; (B2114-7))</f>
        <v>5</v>
      </c>
      <c r="F2114">
        <f t="shared" ref="F2114:F2177" si="101">IF(OR(C2114=0, D2114=""), "", ABS(C2114 - D2114) / C2114)</f>
        <v>0.28000000000000003</v>
      </c>
    </row>
    <row r="2115" spans="1:6" x14ac:dyDescent="0.25">
      <c r="A2115" t="s">
        <v>179</v>
      </c>
      <c r="B2115" s="1">
        <v>46076</v>
      </c>
      <c r="C2115">
        <v>46</v>
      </c>
      <c r="D2115">
        <f t="shared" si="99"/>
        <v>39.6</v>
      </c>
      <c r="E2115">
        <f t="shared" si="100"/>
        <v>5</v>
      </c>
      <c r="F2115">
        <f t="shared" si="101"/>
        <v>0.13913043478260867</v>
      </c>
    </row>
    <row r="2116" spans="1:6" x14ac:dyDescent="0.25">
      <c r="A2116" t="s">
        <v>179</v>
      </c>
      <c r="B2116" s="1">
        <v>46083</v>
      </c>
      <c r="C2116">
        <v>43</v>
      </c>
      <c r="D2116">
        <f t="shared" si="99"/>
        <v>43.6</v>
      </c>
      <c r="E2116">
        <f t="shared" si="100"/>
        <v>5</v>
      </c>
      <c r="F2116">
        <f t="shared" si="101"/>
        <v>1.3953488372093056E-2</v>
      </c>
    </row>
    <row r="2117" spans="1:6" x14ac:dyDescent="0.25">
      <c r="A2117" t="s">
        <v>179</v>
      </c>
      <c r="B2117" s="1">
        <v>46090</v>
      </c>
      <c r="C2117">
        <v>43</v>
      </c>
      <c r="D2117">
        <f t="shared" si="99"/>
        <v>43</v>
      </c>
      <c r="E2117">
        <f t="shared" si="100"/>
        <v>5</v>
      </c>
      <c r="F2117">
        <f t="shared" si="101"/>
        <v>0</v>
      </c>
    </row>
    <row r="2118" spans="1:6" x14ac:dyDescent="0.25">
      <c r="A2118" t="s">
        <v>179</v>
      </c>
      <c r="B2118" s="1">
        <v>46097</v>
      </c>
      <c r="C2118">
        <v>47</v>
      </c>
      <c r="D2118">
        <f t="shared" si="99"/>
        <v>45.8</v>
      </c>
      <c r="E2118">
        <f t="shared" si="100"/>
        <v>5</v>
      </c>
      <c r="F2118">
        <f t="shared" si="101"/>
        <v>2.5531914893617082E-2</v>
      </c>
    </row>
    <row r="2119" spans="1:6" x14ac:dyDescent="0.25">
      <c r="A2119" t="s">
        <v>179</v>
      </c>
      <c r="B2119" s="1">
        <v>46104</v>
      </c>
      <c r="C2119">
        <v>44</v>
      </c>
      <c r="D2119">
        <f t="shared" si="99"/>
        <v>45.8</v>
      </c>
      <c r="E2119">
        <f t="shared" si="100"/>
        <v>5</v>
      </c>
      <c r="F2119">
        <f t="shared" si="101"/>
        <v>4.0909090909090846E-2</v>
      </c>
    </row>
    <row r="2120" spans="1:6" x14ac:dyDescent="0.25">
      <c r="A2120" t="s">
        <v>179</v>
      </c>
      <c r="B2120" s="1">
        <v>46111</v>
      </c>
      <c r="C2120">
        <v>43</v>
      </c>
      <c r="D2120">
        <f t="shared" si="99"/>
        <v>44.6</v>
      </c>
      <c r="E2120">
        <f t="shared" si="100"/>
        <v>5</v>
      </c>
      <c r="F2120">
        <f t="shared" si="101"/>
        <v>3.720930232558143E-2</v>
      </c>
    </row>
    <row r="2121" spans="1:6" x14ac:dyDescent="0.25">
      <c r="A2121" t="s">
        <v>179</v>
      </c>
      <c r="B2121" s="1">
        <v>46118</v>
      </c>
      <c r="C2121">
        <v>45</v>
      </c>
      <c r="D2121">
        <f t="shared" si="99"/>
        <v>44</v>
      </c>
      <c r="E2121">
        <f t="shared" si="100"/>
        <v>5</v>
      </c>
      <c r="F2121">
        <f t="shared" si="101"/>
        <v>2.2222222222222223E-2</v>
      </c>
    </row>
    <row r="2122" spans="1:6" x14ac:dyDescent="0.25">
      <c r="A2122" t="s">
        <v>179</v>
      </c>
      <c r="B2122" s="1">
        <v>46125</v>
      </c>
      <c r="C2122">
        <v>55</v>
      </c>
      <c r="D2122">
        <f t="shared" si="99"/>
        <v>44.4</v>
      </c>
      <c r="E2122">
        <f t="shared" si="100"/>
        <v>5</v>
      </c>
      <c r="F2122">
        <f t="shared" si="101"/>
        <v>0.19272727272727275</v>
      </c>
    </row>
    <row r="2123" spans="1:6" x14ac:dyDescent="0.25">
      <c r="A2123" t="s">
        <v>179</v>
      </c>
      <c r="B2123" s="1">
        <v>46132</v>
      </c>
      <c r="C2123">
        <v>44</v>
      </c>
      <c r="D2123">
        <f t="shared" si="99"/>
        <v>46.8</v>
      </c>
      <c r="E2123">
        <f t="shared" si="100"/>
        <v>5</v>
      </c>
      <c r="F2123">
        <f t="shared" si="101"/>
        <v>6.3636363636363574E-2</v>
      </c>
    </row>
    <row r="2124" spans="1:6" x14ac:dyDescent="0.25">
      <c r="A2124" t="s">
        <v>179</v>
      </c>
      <c r="B2124" s="1">
        <v>46139</v>
      </c>
      <c r="C2124">
        <v>51</v>
      </c>
      <c r="D2124">
        <f t="shared" si="99"/>
        <v>46.2</v>
      </c>
      <c r="E2124">
        <f t="shared" si="100"/>
        <v>5</v>
      </c>
      <c r="F2124">
        <f t="shared" si="101"/>
        <v>9.4117647058823473E-2</v>
      </c>
    </row>
    <row r="2125" spans="1:6" x14ac:dyDescent="0.25">
      <c r="A2125" t="s">
        <v>179</v>
      </c>
      <c r="B2125" s="1">
        <v>46146</v>
      </c>
      <c r="C2125">
        <v>42</v>
      </c>
      <c r="D2125">
        <f t="shared" si="99"/>
        <v>47.6</v>
      </c>
      <c r="E2125">
        <f t="shared" si="100"/>
        <v>5</v>
      </c>
      <c r="F2125">
        <f t="shared" si="101"/>
        <v>0.13333333333333336</v>
      </c>
    </row>
    <row r="2126" spans="1:6" x14ac:dyDescent="0.25">
      <c r="A2126" t="s">
        <v>179</v>
      </c>
      <c r="B2126" s="1">
        <v>46153</v>
      </c>
      <c r="C2126">
        <v>45</v>
      </c>
      <c r="D2126">
        <f t="shared" si="99"/>
        <v>47.4</v>
      </c>
      <c r="E2126">
        <f t="shared" si="100"/>
        <v>5</v>
      </c>
      <c r="F2126">
        <f t="shared" si="101"/>
        <v>5.3333333333333302E-2</v>
      </c>
    </row>
    <row r="2127" spans="1:6" x14ac:dyDescent="0.25">
      <c r="A2127" t="s">
        <v>179</v>
      </c>
      <c r="B2127" s="1">
        <v>46160</v>
      </c>
      <c r="C2127">
        <v>41</v>
      </c>
      <c r="D2127">
        <f t="shared" si="99"/>
        <v>47.4</v>
      </c>
      <c r="E2127">
        <f t="shared" si="100"/>
        <v>5</v>
      </c>
      <c r="F2127">
        <f t="shared" si="101"/>
        <v>0.15609756097560973</v>
      </c>
    </row>
    <row r="2128" spans="1:6" x14ac:dyDescent="0.25">
      <c r="A2128" t="s">
        <v>179</v>
      </c>
      <c r="B2128" s="1">
        <v>46167</v>
      </c>
      <c r="C2128">
        <v>50</v>
      </c>
      <c r="D2128">
        <f t="shared" si="99"/>
        <v>44.6</v>
      </c>
      <c r="E2128">
        <f t="shared" si="100"/>
        <v>5</v>
      </c>
      <c r="F2128">
        <f t="shared" si="101"/>
        <v>0.10799999999999997</v>
      </c>
    </row>
    <row r="2129" spans="1:6" x14ac:dyDescent="0.25">
      <c r="A2129" t="s">
        <v>179</v>
      </c>
      <c r="B2129" s="1">
        <v>46174</v>
      </c>
      <c r="C2129">
        <v>56</v>
      </c>
      <c r="D2129">
        <f t="shared" si="99"/>
        <v>45.8</v>
      </c>
      <c r="E2129">
        <f t="shared" si="100"/>
        <v>5</v>
      </c>
      <c r="F2129">
        <f t="shared" si="101"/>
        <v>0.18214285714285719</v>
      </c>
    </row>
    <row r="2130" spans="1:6" x14ac:dyDescent="0.25">
      <c r="A2130" t="s">
        <v>179</v>
      </c>
      <c r="B2130" s="1">
        <v>46181</v>
      </c>
      <c r="C2130">
        <v>54</v>
      </c>
      <c r="D2130">
        <f t="shared" si="99"/>
        <v>46.8</v>
      </c>
      <c r="E2130">
        <f t="shared" si="100"/>
        <v>5</v>
      </c>
      <c r="F2130">
        <f t="shared" si="101"/>
        <v>0.13333333333333339</v>
      </c>
    </row>
    <row r="2131" spans="1:6" x14ac:dyDescent="0.25">
      <c r="A2131" t="s">
        <v>179</v>
      </c>
      <c r="B2131" s="1">
        <v>46188</v>
      </c>
      <c r="C2131">
        <v>49</v>
      </c>
      <c r="D2131">
        <f t="shared" si="99"/>
        <v>49.2</v>
      </c>
      <c r="E2131">
        <f t="shared" si="100"/>
        <v>5</v>
      </c>
      <c r="F2131">
        <f t="shared" si="101"/>
        <v>4.0816326530612821E-3</v>
      </c>
    </row>
    <row r="2132" spans="1:6" x14ac:dyDescent="0.25">
      <c r="A2132" t="s">
        <v>179</v>
      </c>
      <c r="B2132" s="1">
        <v>46195</v>
      </c>
      <c r="C2132">
        <v>57</v>
      </c>
      <c r="D2132">
        <f t="shared" si="99"/>
        <v>50</v>
      </c>
      <c r="E2132">
        <f t="shared" si="100"/>
        <v>5</v>
      </c>
      <c r="F2132">
        <f t="shared" si="101"/>
        <v>0.12280701754385964</v>
      </c>
    </row>
    <row r="2133" spans="1:6" x14ac:dyDescent="0.25">
      <c r="A2133" t="s">
        <v>179</v>
      </c>
      <c r="B2133" s="1">
        <v>46202</v>
      </c>
      <c r="C2133">
        <v>51</v>
      </c>
      <c r="D2133">
        <f t="shared" si="99"/>
        <v>53.2</v>
      </c>
      <c r="E2133">
        <f t="shared" si="100"/>
        <v>5</v>
      </c>
      <c r="F2133">
        <f t="shared" si="101"/>
        <v>4.3137254901960839E-2</v>
      </c>
    </row>
    <row r="2134" spans="1:6" x14ac:dyDescent="0.25">
      <c r="A2134" t="s">
        <v>181</v>
      </c>
      <c r="B2134" s="1">
        <v>46027</v>
      </c>
      <c r="C2134">
        <v>29</v>
      </c>
      <c r="D2134" t="str">
        <f t="shared" si="99"/>
        <v/>
      </c>
      <c r="E2134">
        <f t="shared" si="100"/>
        <v>0</v>
      </c>
      <c r="F2134" t="str">
        <f t="shared" si="101"/>
        <v/>
      </c>
    </row>
    <row r="2135" spans="1:6" x14ac:dyDescent="0.25">
      <c r="A2135" t="s">
        <v>181</v>
      </c>
      <c r="B2135" s="1">
        <v>46034</v>
      </c>
      <c r="C2135">
        <v>32</v>
      </c>
      <c r="D2135" t="str">
        <f t="shared" si="99"/>
        <v/>
      </c>
      <c r="E2135">
        <f t="shared" si="100"/>
        <v>1</v>
      </c>
      <c r="F2135" t="str">
        <f t="shared" si="101"/>
        <v/>
      </c>
    </row>
    <row r="2136" spans="1:6" x14ac:dyDescent="0.25">
      <c r="A2136" t="s">
        <v>181</v>
      </c>
      <c r="B2136" s="1">
        <v>46041</v>
      </c>
      <c r="C2136">
        <v>36</v>
      </c>
      <c r="D2136" t="str">
        <f t="shared" si="99"/>
        <v/>
      </c>
      <c r="E2136">
        <f t="shared" si="100"/>
        <v>2</v>
      </c>
      <c r="F2136" t="str">
        <f t="shared" si="101"/>
        <v/>
      </c>
    </row>
    <row r="2137" spans="1:6" x14ac:dyDescent="0.25">
      <c r="A2137" t="s">
        <v>181</v>
      </c>
      <c r="B2137" s="1">
        <v>46048</v>
      </c>
      <c r="C2137">
        <v>31</v>
      </c>
      <c r="D2137" t="str">
        <f t="shared" si="99"/>
        <v/>
      </c>
      <c r="E2137">
        <f t="shared" si="100"/>
        <v>3</v>
      </c>
      <c r="F2137" t="str">
        <f t="shared" si="101"/>
        <v/>
      </c>
    </row>
    <row r="2138" spans="1:6" x14ac:dyDescent="0.25">
      <c r="A2138" t="s">
        <v>181</v>
      </c>
      <c r="B2138" s="1">
        <v>46055</v>
      </c>
      <c r="C2138">
        <v>38</v>
      </c>
      <c r="D2138" t="str">
        <f t="shared" si="99"/>
        <v/>
      </c>
      <c r="E2138">
        <f t="shared" si="100"/>
        <v>4</v>
      </c>
      <c r="F2138" t="str">
        <f t="shared" si="101"/>
        <v/>
      </c>
    </row>
    <row r="2139" spans="1:6" x14ac:dyDescent="0.25">
      <c r="A2139" t="s">
        <v>181</v>
      </c>
      <c r="B2139" s="1">
        <v>46062</v>
      </c>
      <c r="C2139">
        <v>13</v>
      </c>
      <c r="D2139">
        <f t="shared" si="99"/>
        <v>33.200000000000003</v>
      </c>
      <c r="E2139">
        <f t="shared" si="100"/>
        <v>5</v>
      </c>
      <c r="F2139">
        <f t="shared" si="101"/>
        <v>1.5538461538461541</v>
      </c>
    </row>
    <row r="2140" spans="1:6" x14ac:dyDescent="0.25">
      <c r="A2140" t="s">
        <v>181</v>
      </c>
      <c r="B2140" s="1">
        <v>46069</v>
      </c>
      <c r="C2140">
        <v>17</v>
      </c>
      <c r="D2140">
        <f t="shared" si="99"/>
        <v>30</v>
      </c>
      <c r="E2140">
        <f t="shared" si="100"/>
        <v>5</v>
      </c>
      <c r="F2140">
        <f t="shared" si="101"/>
        <v>0.76470588235294112</v>
      </c>
    </row>
    <row r="2141" spans="1:6" x14ac:dyDescent="0.25">
      <c r="A2141" t="s">
        <v>181</v>
      </c>
      <c r="B2141" s="1">
        <v>46076</v>
      </c>
      <c r="C2141">
        <v>34</v>
      </c>
      <c r="D2141">
        <f t="shared" si="99"/>
        <v>27</v>
      </c>
      <c r="E2141">
        <f t="shared" si="100"/>
        <v>5</v>
      </c>
      <c r="F2141">
        <f t="shared" si="101"/>
        <v>0.20588235294117646</v>
      </c>
    </row>
    <row r="2142" spans="1:6" x14ac:dyDescent="0.25">
      <c r="A2142" t="s">
        <v>181</v>
      </c>
      <c r="B2142" s="1">
        <v>46083</v>
      </c>
      <c r="C2142">
        <v>48</v>
      </c>
      <c r="D2142">
        <f t="shared" si="99"/>
        <v>26.6</v>
      </c>
      <c r="E2142">
        <f t="shared" si="100"/>
        <v>5</v>
      </c>
      <c r="F2142">
        <f t="shared" si="101"/>
        <v>0.4458333333333333</v>
      </c>
    </row>
    <row r="2143" spans="1:6" x14ac:dyDescent="0.25">
      <c r="A2143" t="s">
        <v>181</v>
      </c>
      <c r="B2143" s="1">
        <v>46090</v>
      </c>
      <c r="C2143">
        <v>10</v>
      </c>
      <c r="D2143">
        <f t="shared" si="99"/>
        <v>30</v>
      </c>
      <c r="E2143">
        <f t="shared" si="100"/>
        <v>5</v>
      </c>
      <c r="F2143">
        <f t="shared" si="101"/>
        <v>2</v>
      </c>
    </row>
    <row r="2144" spans="1:6" x14ac:dyDescent="0.25">
      <c r="A2144" t="s">
        <v>181</v>
      </c>
      <c r="B2144" s="1">
        <v>46097</v>
      </c>
      <c r="C2144">
        <v>35</v>
      </c>
      <c r="D2144">
        <f t="shared" si="99"/>
        <v>24.4</v>
      </c>
      <c r="E2144">
        <f t="shared" si="100"/>
        <v>5</v>
      </c>
      <c r="F2144">
        <f t="shared" si="101"/>
        <v>0.30285714285714288</v>
      </c>
    </row>
    <row r="2145" spans="1:6" x14ac:dyDescent="0.25">
      <c r="A2145" t="s">
        <v>181</v>
      </c>
      <c r="B2145" s="1">
        <v>46104</v>
      </c>
      <c r="C2145">
        <v>36</v>
      </c>
      <c r="D2145">
        <f t="shared" si="99"/>
        <v>28.8</v>
      </c>
      <c r="E2145">
        <f t="shared" si="100"/>
        <v>5</v>
      </c>
      <c r="F2145">
        <f t="shared" si="101"/>
        <v>0.19999999999999998</v>
      </c>
    </row>
    <row r="2146" spans="1:6" x14ac:dyDescent="0.25">
      <c r="A2146" t="s">
        <v>181</v>
      </c>
      <c r="B2146" s="1">
        <v>46111</v>
      </c>
      <c r="C2146">
        <v>12</v>
      </c>
      <c r="D2146">
        <f t="shared" si="99"/>
        <v>32.6</v>
      </c>
      <c r="E2146">
        <f t="shared" si="100"/>
        <v>5</v>
      </c>
      <c r="F2146">
        <f t="shared" si="101"/>
        <v>1.7166666666666668</v>
      </c>
    </row>
    <row r="2147" spans="1:6" x14ac:dyDescent="0.25">
      <c r="A2147" t="s">
        <v>181</v>
      </c>
      <c r="B2147" s="1">
        <v>46118</v>
      </c>
      <c r="C2147">
        <v>38</v>
      </c>
      <c r="D2147">
        <f t="shared" si="99"/>
        <v>28.2</v>
      </c>
      <c r="E2147">
        <f t="shared" si="100"/>
        <v>5</v>
      </c>
      <c r="F2147">
        <f t="shared" si="101"/>
        <v>0.25789473684210529</v>
      </c>
    </row>
    <row r="2148" spans="1:6" x14ac:dyDescent="0.25">
      <c r="A2148" t="s">
        <v>181</v>
      </c>
      <c r="B2148" s="1">
        <v>46125</v>
      </c>
      <c r="C2148">
        <v>47</v>
      </c>
      <c r="D2148">
        <f t="shared" si="99"/>
        <v>26.2</v>
      </c>
      <c r="E2148">
        <f t="shared" si="100"/>
        <v>5</v>
      </c>
      <c r="F2148">
        <f t="shared" si="101"/>
        <v>0.44255319148936173</v>
      </c>
    </row>
    <row r="2149" spans="1:6" x14ac:dyDescent="0.25">
      <c r="A2149" t="s">
        <v>181</v>
      </c>
      <c r="B2149" s="1">
        <v>46132</v>
      </c>
      <c r="C2149">
        <v>17</v>
      </c>
      <c r="D2149">
        <f t="shared" si="99"/>
        <v>33.6</v>
      </c>
      <c r="E2149">
        <f t="shared" si="100"/>
        <v>5</v>
      </c>
      <c r="F2149">
        <f t="shared" si="101"/>
        <v>0.9764705882352942</v>
      </c>
    </row>
    <row r="2150" spans="1:6" x14ac:dyDescent="0.25">
      <c r="A2150" t="s">
        <v>181</v>
      </c>
      <c r="B2150" s="1">
        <v>46139</v>
      </c>
      <c r="C2150">
        <v>28</v>
      </c>
      <c r="D2150">
        <f t="shared" si="99"/>
        <v>30</v>
      </c>
      <c r="E2150">
        <f t="shared" si="100"/>
        <v>5</v>
      </c>
      <c r="F2150">
        <f t="shared" si="101"/>
        <v>7.1428571428571425E-2</v>
      </c>
    </row>
    <row r="2151" spans="1:6" x14ac:dyDescent="0.25">
      <c r="A2151" t="s">
        <v>181</v>
      </c>
      <c r="B2151" s="1">
        <v>46146</v>
      </c>
      <c r="C2151">
        <v>15</v>
      </c>
      <c r="D2151">
        <f t="shared" si="99"/>
        <v>28.4</v>
      </c>
      <c r="E2151">
        <f t="shared" si="100"/>
        <v>5</v>
      </c>
      <c r="F2151">
        <f t="shared" si="101"/>
        <v>0.8933333333333332</v>
      </c>
    </row>
    <row r="2152" spans="1:6" x14ac:dyDescent="0.25">
      <c r="A2152" t="s">
        <v>181</v>
      </c>
      <c r="B2152" s="1">
        <v>46153</v>
      </c>
      <c r="C2152">
        <v>30</v>
      </c>
      <c r="D2152">
        <f t="shared" si="99"/>
        <v>29</v>
      </c>
      <c r="E2152">
        <f t="shared" si="100"/>
        <v>5</v>
      </c>
      <c r="F2152">
        <f t="shared" si="101"/>
        <v>3.3333333333333333E-2</v>
      </c>
    </row>
    <row r="2153" spans="1:6" x14ac:dyDescent="0.25">
      <c r="A2153" t="s">
        <v>181</v>
      </c>
      <c r="B2153" s="1">
        <v>46160</v>
      </c>
      <c r="C2153">
        <v>43</v>
      </c>
      <c r="D2153">
        <f t="shared" si="99"/>
        <v>27.4</v>
      </c>
      <c r="E2153">
        <f t="shared" si="100"/>
        <v>5</v>
      </c>
      <c r="F2153">
        <f t="shared" si="101"/>
        <v>0.36279069767441863</v>
      </c>
    </row>
    <row r="2154" spans="1:6" x14ac:dyDescent="0.25">
      <c r="A2154" t="s">
        <v>181</v>
      </c>
      <c r="B2154" s="1">
        <v>46167</v>
      </c>
      <c r="C2154">
        <v>26</v>
      </c>
      <c r="D2154">
        <f t="shared" si="99"/>
        <v>26.6</v>
      </c>
      <c r="E2154">
        <f t="shared" si="100"/>
        <v>5</v>
      </c>
      <c r="F2154">
        <f t="shared" si="101"/>
        <v>2.307692307692313E-2</v>
      </c>
    </row>
    <row r="2155" spans="1:6" x14ac:dyDescent="0.25">
      <c r="A2155" t="s">
        <v>181</v>
      </c>
      <c r="B2155" s="1">
        <v>46174</v>
      </c>
      <c r="C2155">
        <v>32</v>
      </c>
      <c r="D2155">
        <f t="shared" si="99"/>
        <v>28.4</v>
      </c>
      <c r="E2155">
        <f t="shared" si="100"/>
        <v>5</v>
      </c>
      <c r="F2155">
        <f t="shared" si="101"/>
        <v>0.11250000000000004</v>
      </c>
    </row>
    <row r="2156" spans="1:6" x14ac:dyDescent="0.25">
      <c r="A2156" t="s">
        <v>181</v>
      </c>
      <c r="B2156" s="1">
        <v>46181</v>
      </c>
      <c r="C2156">
        <v>52</v>
      </c>
      <c r="D2156">
        <f t="shared" si="99"/>
        <v>29.2</v>
      </c>
      <c r="E2156">
        <f t="shared" si="100"/>
        <v>5</v>
      </c>
      <c r="F2156">
        <f t="shared" si="101"/>
        <v>0.43846153846153846</v>
      </c>
    </row>
    <row r="2157" spans="1:6" x14ac:dyDescent="0.25">
      <c r="A2157" t="s">
        <v>181</v>
      </c>
      <c r="B2157" s="1">
        <v>46188</v>
      </c>
      <c r="C2157">
        <v>29</v>
      </c>
      <c r="D2157">
        <f t="shared" si="99"/>
        <v>36.6</v>
      </c>
      <c r="E2157">
        <f t="shared" si="100"/>
        <v>5</v>
      </c>
      <c r="F2157">
        <f t="shared" si="101"/>
        <v>0.2620689655172414</v>
      </c>
    </row>
    <row r="2158" spans="1:6" x14ac:dyDescent="0.25">
      <c r="A2158" t="s">
        <v>181</v>
      </c>
      <c r="B2158" s="1">
        <v>46195</v>
      </c>
      <c r="C2158">
        <v>40</v>
      </c>
      <c r="D2158">
        <f t="shared" si="99"/>
        <v>36.4</v>
      </c>
      <c r="E2158">
        <f t="shared" si="100"/>
        <v>5</v>
      </c>
      <c r="F2158">
        <f t="shared" si="101"/>
        <v>9.0000000000000038E-2</v>
      </c>
    </row>
    <row r="2159" spans="1:6" x14ac:dyDescent="0.25">
      <c r="A2159" t="s">
        <v>181</v>
      </c>
      <c r="B2159" s="1">
        <v>46202</v>
      </c>
      <c r="C2159">
        <v>68</v>
      </c>
      <c r="D2159">
        <f t="shared" si="99"/>
        <v>35.799999999999997</v>
      </c>
      <c r="E2159">
        <f t="shared" si="100"/>
        <v>5</v>
      </c>
      <c r="F2159">
        <f t="shared" si="101"/>
        <v>0.47352941176470592</v>
      </c>
    </row>
    <row r="2160" spans="1:6" x14ac:dyDescent="0.25">
      <c r="A2160" t="s">
        <v>183</v>
      </c>
      <c r="B2160" s="1">
        <v>46027</v>
      </c>
      <c r="C2160">
        <v>53</v>
      </c>
      <c r="D2160" t="str">
        <f t="shared" si="99"/>
        <v/>
      </c>
      <c r="E2160">
        <f t="shared" si="100"/>
        <v>0</v>
      </c>
      <c r="F2160" t="str">
        <f t="shared" si="101"/>
        <v/>
      </c>
    </row>
    <row r="2161" spans="1:6" x14ac:dyDescent="0.25">
      <c r="A2161" t="s">
        <v>183</v>
      </c>
      <c r="B2161" s="1">
        <v>46034</v>
      </c>
      <c r="C2161">
        <v>53</v>
      </c>
      <c r="D2161" t="str">
        <f t="shared" si="99"/>
        <v/>
      </c>
      <c r="E2161">
        <f t="shared" si="100"/>
        <v>1</v>
      </c>
      <c r="F2161" t="str">
        <f t="shared" si="101"/>
        <v/>
      </c>
    </row>
    <row r="2162" spans="1:6" x14ac:dyDescent="0.25">
      <c r="A2162" t="s">
        <v>183</v>
      </c>
      <c r="B2162" s="1">
        <v>46041</v>
      </c>
      <c r="C2162">
        <v>55</v>
      </c>
      <c r="D2162" t="str">
        <f t="shared" si="99"/>
        <v/>
      </c>
      <c r="E2162">
        <f t="shared" si="100"/>
        <v>2</v>
      </c>
      <c r="F2162" t="str">
        <f t="shared" si="101"/>
        <v/>
      </c>
    </row>
    <row r="2163" spans="1:6" x14ac:dyDescent="0.25">
      <c r="A2163" t="s">
        <v>183</v>
      </c>
      <c r="B2163" s="1">
        <v>46048</v>
      </c>
      <c r="C2163">
        <v>57</v>
      </c>
      <c r="D2163" t="str">
        <f t="shared" si="99"/>
        <v/>
      </c>
      <c r="E2163">
        <f t="shared" si="100"/>
        <v>3</v>
      </c>
      <c r="F2163" t="str">
        <f t="shared" si="101"/>
        <v/>
      </c>
    </row>
    <row r="2164" spans="1:6" x14ac:dyDescent="0.25">
      <c r="A2164" t="s">
        <v>183</v>
      </c>
      <c r="B2164" s="1">
        <v>46055</v>
      </c>
      <c r="C2164">
        <v>48</v>
      </c>
      <c r="D2164" t="str">
        <f t="shared" si="99"/>
        <v/>
      </c>
      <c r="E2164">
        <f t="shared" si="100"/>
        <v>4</v>
      </c>
      <c r="F2164" t="str">
        <f t="shared" si="101"/>
        <v/>
      </c>
    </row>
    <row r="2165" spans="1:6" x14ac:dyDescent="0.25">
      <c r="A2165" t="s">
        <v>183</v>
      </c>
      <c r="B2165" s="1">
        <v>46062</v>
      </c>
      <c r="C2165">
        <v>62</v>
      </c>
      <c r="D2165">
        <f t="shared" si="99"/>
        <v>53.2</v>
      </c>
      <c r="E2165">
        <f t="shared" si="100"/>
        <v>5</v>
      </c>
      <c r="F2165">
        <f t="shared" si="101"/>
        <v>0.14193548387096769</v>
      </c>
    </row>
    <row r="2166" spans="1:6" x14ac:dyDescent="0.25">
      <c r="A2166" t="s">
        <v>183</v>
      </c>
      <c r="B2166" s="1">
        <v>46069</v>
      </c>
      <c r="C2166">
        <v>51</v>
      </c>
      <c r="D2166">
        <f t="shared" si="99"/>
        <v>55</v>
      </c>
      <c r="E2166">
        <f t="shared" si="100"/>
        <v>5</v>
      </c>
      <c r="F2166">
        <f t="shared" si="101"/>
        <v>7.8431372549019607E-2</v>
      </c>
    </row>
    <row r="2167" spans="1:6" x14ac:dyDescent="0.25">
      <c r="A2167" t="s">
        <v>183</v>
      </c>
      <c r="B2167" s="1">
        <v>46076</v>
      </c>
      <c r="C2167">
        <v>66</v>
      </c>
      <c r="D2167">
        <f t="shared" si="99"/>
        <v>54.6</v>
      </c>
      <c r="E2167">
        <f t="shared" si="100"/>
        <v>5</v>
      </c>
      <c r="F2167">
        <f t="shared" si="101"/>
        <v>0.1727272727272727</v>
      </c>
    </row>
    <row r="2168" spans="1:6" x14ac:dyDescent="0.25">
      <c r="A2168" t="s">
        <v>183</v>
      </c>
      <c r="B2168" s="1">
        <v>46083</v>
      </c>
      <c r="C2168">
        <v>72</v>
      </c>
      <c r="D2168">
        <f t="shared" si="99"/>
        <v>56.8</v>
      </c>
      <c r="E2168">
        <f t="shared" si="100"/>
        <v>5</v>
      </c>
      <c r="F2168">
        <f t="shared" si="101"/>
        <v>0.21111111111111114</v>
      </c>
    </row>
    <row r="2169" spans="1:6" x14ac:dyDescent="0.25">
      <c r="A2169" t="s">
        <v>183</v>
      </c>
      <c r="B2169" s="1">
        <v>46090</v>
      </c>
      <c r="C2169">
        <v>71</v>
      </c>
      <c r="D2169">
        <f t="shared" si="99"/>
        <v>59.8</v>
      </c>
      <c r="E2169">
        <f t="shared" si="100"/>
        <v>5</v>
      </c>
      <c r="F2169">
        <f t="shared" si="101"/>
        <v>0.15774647887323948</v>
      </c>
    </row>
    <row r="2170" spans="1:6" x14ac:dyDescent="0.25">
      <c r="A2170" t="s">
        <v>183</v>
      </c>
      <c r="B2170" s="1">
        <v>46097</v>
      </c>
      <c r="C2170">
        <v>75</v>
      </c>
      <c r="D2170">
        <f t="shared" si="99"/>
        <v>64.400000000000006</v>
      </c>
      <c r="E2170">
        <f t="shared" si="100"/>
        <v>5</v>
      </c>
      <c r="F2170">
        <f t="shared" si="101"/>
        <v>0.14133333333333326</v>
      </c>
    </row>
    <row r="2171" spans="1:6" x14ac:dyDescent="0.25">
      <c r="A2171" t="s">
        <v>183</v>
      </c>
      <c r="B2171" s="1">
        <v>46104</v>
      </c>
      <c r="C2171">
        <v>75</v>
      </c>
      <c r="D2171">
        <f t="shared" si="99"/>
        <v>67</v>
      </c>
      <c r="E2171">
        <f t="shared" si="100"/>
        <v>5</v>
      </c>
      <c r="F2171">
        <f t="shared" si="101"/>
        <v>0.10666666666666667</v>
      </c>
    </row>
    <row r="2172" spans="1:6" x14ac:dyDescent="0.25">
      <c r="A2172" t="s">
        <v>183</v>
      </c>
      <c r="B2172" s="1">
        <v>46111</v>
      </c>
      <c r="C2172">
        <v>82</v>
      </c>
      <c r="D2172">
        <f t="shared" si="99"/>
        <v>71.8</v>
      </c>
      <c r="E2172">
        <f t="shared" si="100"/>
        <v>5</v>
      </c>
      <c r="F2172">
        <f t="shared" si="101"/>
        <v>0.12439024390243907</v>
      </c>
    </row>
    <row r="2173" spans="1:6" x14ac:dyDescent="0.25">
      <c r="A2173" t="s">
        <v>183</v>
      </c>
      <c r="B2173" s="1">
        <v>46118</v>
      </c>
      <c r="C2173">
        <v>65</v>
      </c>
      <c r="D2173">
        <f t="shared" si="99"/>
        <v>75</v>
      </c>
      <c r="E2173">
        <f t="shared" si="100"/>
        <v>5</v>
      </c>
      <c r="F2173">
        <f t="shared" si="101"/>
        <v>0.15384615384615385</v>
      </c>
    </row>
    <row r="2174" spans="1:6" x14ac:dyDescent="0.25">
      <c r="A2174" t="s">
        <v>183</v>
      </c>
      <c r="B2174" s="1">
        <v>46125</v>
      </c>
      <c r="C2174">
        <v>61</v>
      </c>
      <c r="D2174">
        <f t="shared" si="99"/>
        <v>73.599999999999994</v>
      </c>
      <c r="E2174">
        <f t="shared" si="100"/>
        <v>5</v>
      </c>
      <c r="F2174">
        <f t="shared" si="101"/>
        <v>0.20655737704918023</v>
      </c>
    </row>
    <row r="2175" spans="1:6" x14ac:dyDescent="0.25">
      <c r="A2175" t="s">
        <v>183</v>
      </c>
      <c r="B2175" s="1">
        <v>46132</v>
      </c>
      <c r="C2175">
        <v>66</v>
      </c>
      <c r="D2175">
        <f t="shared" si="99"/>
        <v>71.599999999999994</v>
      </c>
      <c r="E2175">
        <f t="shared" si="100"/>
        <v>5</v>
      </c>
      <c r="F2175">
        <f t="shared" si="101"/>
        <v>8.4848484848484756E-2</v>
      </c>
    </row>
    <row r="2176" spans="1:6" x14ac:dyDescent="0.25">
      <c r="A2176" t="s">
        <v>183</v>
      </c>
      <c r="B2176" s="1">
        <v>46139</v>
      </c>
      <c r="C2176">
        <v>61</v>
      </c>
      <c r="D2176">
        <f t="shared" si="99"/>
        <v>69.8</v>
      </c>
      <c r="E2176">
        <f t="shared" si="100"/>
        <v>5</v>
      </c>
      <c r="F2176">
        <f t="shared" si="101"/>
        <v>0.14426229508196717</v>
      </c>
    </row>
    <row r="2177" spans="1:6" x14ac:dyDescent="0.25">
      <c r="A2177" t="s">
        <v>183</v>
      </c>
      <c r="B2177" s="1">
        <v>46146</v>
      </c>
      <c r="C2177">
        <v>78</v>
      </c>
      <c r="D2177">
        <f t="shared" si="99"/>
        <v>67</v>
      </c>
      <c r="E2177">
        <f t="shared" si="100"/>
        <v>5</v>
      </c>
      <c r="F2177">
        <f t="shared" si="101"/>
        <v>0.14102564102564102</v>
      </c>
    </row>
    <row r="2178" spans="1:6" x14ac:dyDescent="0.25">
      <c r="A2178" t="s">
        <v>183</v>
      </c>
      <c r="B2178" s="1">
        <v>46153</v>
      </c>
      <c r="C2178">
        <v>53</v>
      </c>
      <c r="D2178">
        <f t="shared" ref="D2178:D2241" si="102">IF(E2178 &lt; 5, "", AVERAGEIFS(C:C, A:A, A2178, B:B, "&gt;=" &amp; (B2178-35), B:B, "&lt;=" &amp; (B2178-7)))</f>
        <v>66.2</v>
      </c>
      <c r="E2178">
        <f t="shared" ref="E2178:E2241" si="103">COUNTIFS(A:A, A2178, B:B, "&gt;=" &amp; (B2178-35), B:B, "&lt;=" &amp; (B2178-7))</f>
        <v>5</v>
      </c>
      <c r="F2178">
        <f t="shared" ref="F2178:F2241" si="104">IF(OR(C2178=0, D2178=""), "", ABS(C2178 - D2178) / C2178)</f>
        <v>0.24905660377358496</v>
      </c>
    </row>
    <row r="2179" spans="1:6" x14ac:dyDescent="0.25">
      <c r="A2179" t="s">
        <v>183</v>
      </c>
      <c r="B2179" s="1">
        <v>46160</v>
      </c>
      <c r="C2179">
        <v>71</v>
      </c>
      <c r="D2179">
        <f t="shared" si="102"/>
        <v>63.8</v>
      </c>
      <c r="E2179">
        <f t="shared" si="103"/>
        <v>5</v>
      </c>
      <c r="F2179">
        <f t="shared" si="104"/>
        <v>0.1014084507042254</v>
      </c>
    </row>
    <row r="2180" spans="1:6" x14ac:dyDescent="0.25">
      <c r="A2180" t="s">
        <v>183</v>
      </c>
      <c r="B2180" s="1">
        <v>46167</v>
      </c>
      <c r="C2180">
        <v>78</v>
      </c>
      <c r="D2180">
        <f t="shared" si="102"/>
        <v>65.8</v>
      </c>
      <c r="E2180">
        <f t="shared" si="103"/>
        <v>5</v>
      </c>
      <c r="F2180">
        <f t="shared" si="104"/>
        <v>0.15641025641025644</v>
      </c>
    </row>
    <row r="2181" spans="1:6" x14ac:dyDescent="0.25">
      <c r="A2181" t="s">
        <v>183</v>
      </c>
      <c r="B2181" s="1">
        <v>46174</v>
      </c>
      <c r="C2181">
        <v>76</v>
      </c>
      <c r="D2181">
        <f t="shared" si="102"/>
        <v>68.2</v>
      </c>
      <c r="E2181">
        <f t="shared" si="103"/>
        <v>5</v>
      </c>
      <c r="F2181">
        <f t="shared" si="104"/>
        <v>0.10263157894736838</v>
      </c>
    </row>
    <row r="2182" spans="1:6" x14ac:dyDescent="0.25">
      <c r="A2182" t="s">
        <v>183</v>
      </c>
      <c r="B2182" s="1">
        <v>46181</v>
      </c>
      <c r="C2182">
        <v>79</v>
      </c>
      <c r="D2182">
        <f t="shared" si="102"/>
        <v>71.2</v>
      </c>
      <c r="E2182">
        <f t="shared" si="103"/>
        <v>5</v>
      </c>
      <c r="F2182">
        <f t="shared" si="104"/>
        <v>9.8734177215189831E-2</v>
      </c>
    </row>
    <row r="2183" spans="1:6" x14ac:dyDescent="0.25">
      <c r="A2183" t="s">
        <v>183</v>
      </c>
      <c r="B2183" s="1">
        <v>46188</v>
      </c>
      <c r="C2183">
        <v>66</v>
      </c>
      <c r="D2183">
        <f t="shared" si="102"/>
        <v>71.400000000000006</v>
      </c>
      <c r="E2183">
        <f t="shared" si="103"/>
        <v>5</v>
      </c>
      <c r="F2183">
        <f t="shared" si="104"/>
        <v>8.1818181818181901E-2</v>
      </c>
    </row>
    <row r="2184" spans="1:6" x14ac:dyDescent="0.25">
      <c r="A2184" t="s">
        <v>183</v>
      </c>
      <c r="B2184" s="1">
        <v>46195</v>
      </c>
      <c r="C2184">
        <v>71</v>
      </c>
      <c r="D2184">
        <f t="shared" si="102"/>
        <v>74</v>
      </c>
      <c r="E2184">
        <f t="shared" si="103"/>
        <v>5</v>
      </c>
      <c r="F2184">
        <f t="shared" si="104"/>
        <v>4.2253521126760563E-2</v>
      </c>
    </row>
    <row r="2185" spans="1:6" x14ac:dyDescent="0.25">
      <c r="A2185" t="s">
        <v>183</v>
      </c>
      <c r="B2185" s="1">
        <v>46202</v>
      </c>
      <c r="C2185">
        <v>74</v>
      </c>
      <c r="D2185">
        <f t="shared" si="102"/>
        <v>74</v>
      </c>
      <c r="E2185">
        <f t="shared" si="103"/>
        <v>5</v>
      </c>
      <c r="F2185">
        <f t="shared" si="104"/>
        <v>0</v>
      </c>
    </row>
    <row r="2186" spans="1:6" x14ac:dyDescent="0.25">
      <c r="A2186" t="s">
        <v>185</v>
      </c>
      <c r="B2186" s="1">
        <v>46027</v>
      </c>
      <c r="C2186">
        <v>33</v>
      </c>
      <c r="D2186" t="str">
        <f t="shared" si="102"/>
        <v/>
      </c>
      <c r="E2186">
        <f t="shared" si="103"/>
        <v>0</v>
      </c>
      <c r="F2186" t="str">
        <f t="shared" si="104"/>
        <v/>
      </c>
    </row>
    <row r="2187" spans="1:6" x14ac:dyDescent="0.25">
      <c r="A2187" t="s">
        <v>185</v>
      </c>
      <c r="B2187" s="1">
        <v>46034</v>
      </c>
      <c r="C2187">
        <v>25</v>
      </c>
      <c r="D2187" t="str">
        <f t="shared" si="102"/>
        <v/>
      </c>
      <c r="E2187">
        <f t="shared" si="103"/>
        <v>1</v>
      </c>
      <c r="F2187" t="str">
        <f t="shared" si="104"/>
        <v/>
      </c>
    </row>
    <row r="2188" spans="1:6" x14ac:dyDescent="0.25">
      <c r="A2188" t="s">
        <v>185</v>
      </c>
      <c r="B2188" s="1">
        <v>46041</v>
      </c>
      <c r="C2188">
        <v>38</v>
      </c>
      <c r="D2188" t="str">
        <f t="shared" si="102"/>
        <v/>
      </c>
      <c r="E2188">
        <f t="shared" si="103"/>
        <v>2</v>
      </c>
      <c r="F2188" t="str">
        <f t="shared" si="104"/>
        <v/>
      </c>
    </row>
    <row r="2189" spans="1:6" x14ac:dyDescent="0.25">
      <c r="A2189" t="s">
        <v>185</v>
      </c>
      <c r="B2189" s="1">
        <v>46048</v>
      </c>
      <c r="C2189">
        <v>30</v>
      </c>
      <c r="D2189" t="str">
        <f t="shared" si="102"/>
        <v/>
      </c>
      <c r="E2189">
        <f t="shared" si="103"/>
        <v>3</v>
      </c>
      <c r="F2189" t="str">
        <f t="shared" si="104"/>
        <v/>
      </c>
    </row>
    <row r="2190" spans="1:6" x14ac:dyDescent="0.25">
      <c r="A2190" t="s">
        <v>185</v>
      </c>
      <c r="B2190" s="1">
        <v>46055</v>
      </c>
      <c r="C2190">
        <v>32</v>
      </c>
      <c r="D2190" t="str">
        <f t="shared" si="102"/>
        <v/>
      </c>
      <c r="E2190">
        <f t="shared" si="103"/>
        <v>4</v>
      </c>
      <c r="F2190" t="str">
        <f t="shared" si="104"/>
        <v/>
      </c>
    </row>
    <row r="2191" spans="1:6" x14ac:dyDescent="0.25">
      <c r="A2191" t="s">
        <v>185</v>
      </c>
      <c r="B2191" s="1">
        <v>46062</v>
      </c>
      <c r="C2191">
        <v>40</v>
      </c>
      <c r="D2191">
        <f t="shared" si="102"/>
        <v>31.6</v>
      </c>
      <c r="E2191">
        <f t="shared" si="103"/>
        <v>5</v>
      </c>
      <c r="F2191">
        <f t="shared" si="104"/>
        <v>0.20999999999999996</v>
      </c>
    </row>
    <row r="2192" spans="1:6" x14ac:dyDescent="0.25">
      <c r="A2192" t="s">
        <v>185</v>
      </c>
      <c r="B2192" s="1">
        <v>46069</v>
      </c>
      <c r="C2192">
        <v>35</v>
      </c>
      <c r="D2192">
        <f t="shared" si="102"/>
        <v>33</v>
      </c>
      <c r="E2192">
        <f t="shared" si="103"/>
        <v>5</v>
      </c>
      <c r="F2192">
        <f t="shared" si="104"/>
        <v>5.7142857142857141E-2</v>
      </c>
    </row>
    <row r="2193" spans="1:6" x14ac:dyDescent="0.25">
      <c r="A2193" t="s">
        <v>185</v>
      </c>
      <c r="B2193" s="1">
        <v>46076</v>
      </c>
      <c r="C2193">
        <v>35</v>
      </c>
      <c r="D2193">
        <f t="shared" si="102"/>
        <v>35</v>
      </c>
      <c r="E2193">
        <f t="shared" si="103"/>
        <v>5</v>
      </c>
      <c r="F2193">
        <f t="shared" si="104"/>
        <v>0</v>
      </c>
    </row>
    <row r="2194" spans="1:6" x14ac:dyDescent="0.25">
      <c r="A2194" t="s">
        <v>185</v>
      </c>
      <c r="B2194" s="1">
        <v>46083</v>
      </c>
      <c r="C2194">
        <v>36</v>
      </c>
      <c r="D2194">
        <f t="shared" si="102"/>
        <v>34.4</v>
      </c>
      <c r="E2194">
        <f t="shared" si="103"/>
        <v>5</v>
      </c>
      <c r="F2194">
        <f t="shared" si="104"/>
        <v>4.4444444444444481E-2</v>
      </c>
    </row>
    <row r="2195" spans="1:6" x14ac:dyDescent="0.25">
      <c r="A2195" t="s">
        <v>185</v>
      </c>
      <c r="B2195" s="1">
        <v>46090</v>
      </c>
      <c r="C2195">
        <v>38</v>
      </c>
      <c r="D2195">
        <f t="shared" si="102"/>
        <v>35.6</v>
      </c>
      <c r="E2195">
        <f t="shared" si="103"/>
        <v>5</v>
      </c>
      <c r="F2195">
        <f t="shared" si="104"/>
        <v>6.3157894736842066E-2</v>
      </c>
    </row>
    <row r="2196" spans="1:6" x14ac:dyDescent="0.25">
      <c r="A2196" t="s">
        <v>185</v>
      </c>
      <c r="B2196" s="1">
        <v>46097</v>
      </c>
      <c r="C2196">
        <v>35</v>
      </c>
      <c r="D2196">
        <f t="shared" si="102"/>
        <v>36.799999999999997</v>
      </c>
      <c r="E2196">
        <f t="shared" si="103"/>
        <v>5</v>
      </c>
      <c r="F2196">
        <f t="shared" si="104"/>
        <v>5.1428571428571344E-2</v>
      </c>
    </row>
    <row r="2197" spans="1:6" x14ac:dyDescent="0.25">
      <c r="A2197" t="s">
        <v>185</v>
      </c>
      <c r="B2197" s="1">
        <v>46104</v>
      </c>
      <c r="C2197">
        <v>39</v>
      </c>
      <c r="D2197">
        <f t="shared" si="102"/>
        <v>35.799999999999997</v>
      </c>
      <c r="E2197">
        <f t="shared" si="103"/>
        <v>5</v>
      </c>
      <c r="F2197">
        <f t="shared" si="104"/>
        <v>8.2051282051282121E-2</v>
      </c>
    </row>
    <row r="2198" spans="1:6" x14ac:dyDescent="0.25">
      <c r="A2198" t="s">
        <v>185</v>
      </c>
      <c r="B2198" s="1">
        <v>46111</v>
      </c>
      <c r="C2198">
        <v>34</v>
      </c>
      <c r="D2198">
        <f t="shared" si="102"/>
        <v>36.6</v>
      </c>
      <c r="E2198">
        <f t="shared" si="103"/>
        <v>5</v>
      </c>
      <c r="F2198">
        <f t="shared" si="104"/>
        <v>7.6470588235294165E-2</v>
      </c>
    </row>
    <row r="2199" spans="1:6" x14ac:dyDescent="0.25">
      <c r="A2199" t="s">
        <v>185</v>
      </c>
      <c r="B2199" s="1">
        <v>46118</v>
      </c>
      <c r="C2199">
        <v>42</v>
      </c>
      <c r="D2199">
        <f t="shared" si="102"/>
        <v>36.4</v>
      </c>
      <c r="E2199">
        <f t="shared" si="103"/>
        <v>5</v>
      </c>
      <c r="F2199">
        <f t="shared" si="104"/>
        <v>0.13333333333333336</v>
      </c>
    </row>
    <row r="2200" spans="1:6" x14ac:dyDescent="0.25">
      <c r="A2200" t="s">
        <v>185</v>
      </c>
      <c r="B2200" s="1">
        <v>46125</v>
      </c>
      <c r="C2200">
        <v>36</v>
      </c>
      <c r="D2200">
        <f t="shared" si="102"/>
        <v>37.6</v>
      </c>
      <c r="E2200">
        <f t="shared" si="103"/>
        <v>5</v>
      </c>
      <c r="F2200">
        <f t="shared" si="104"/>
        <v>4.4444444444444481E-2</v>
      </c>
    </row>
    <row r="2201" spans="1:6" x14ac:dyDescent="0.25">
      <c r="A2201" t="s">
        <v>185</v>
      </c>
      <c r="B2201" s="1">
        <v>46132</v>
      </c>
      <c r="C2201">
        <v>42</v>
      </c>
      <c r="D2201">
        <f t="shared" si="102"/>
        <v>37.200000000000003</v>
      </c>
      <c r="E2201">
        <f t="shared" si="103"/>
        <v>5</v>
      </c>
      <c r="F2201">
        <f t="shared" si="104"/>
        <v>0.11428571428571421</v>
      </c>
    </row>
    <row r="2202" spans="1:6" x14ac:dyDescent="0.25">
      <c r="A2202" t="s">
        <v>185</v>
      </c>
      <c r="B2202" s="1">
        <v>46139</v>
      </c>
      <c r="C2202">
        <v>45</v>
      </c>
      <c r="D2202">
        <f t="shared" si="102"/>
        <v>38.6</v>
      </c>
      <c r="E2202">
        <f t="shared" si="103"/>
        <v>5</v>
      </c>
      <c r="F2202">
        <f t="shared" si="104"/>
        <v>0.14222222222222219</v>
      </c>
    </row>
    <row r="2203" spans="1:6" x14ac:dyDescent="0.25">
      <c r="A2203" t="s">
        <v>185</v>
      </c>
      <c r="B2203" s="1">
        <v>46146</v>
      </c>
      <c r="C2203">
        <v>45</v>
      </c>
      <c r="D2203">
        <f t="shared" si="102"/>
        <v>39.799999999999997</v>
      </c>
      <c r="E2203">
        <f t="shared" si="103"/>
        <v>5</v>
      </c>
      <c r="F2203">
        <f t="shared" si="104"/>
        <v>0.11555555555555562</v>
      </c>
    </row>
    <row r="2204" spans="1:6" x14ac:dyDescent="0.25">
      <c r="A2204" t="s">
        <v>185</v>
      </c>
      <c r="B2204" s="1">
        <v>46153</v>
      </c>
      <c r="C2204">
        <v>42</v>
      </c>
      <c r="D2204">
        <f t="shared" si="102"/>
        <v>42</v>
      </c>
      <c r="E2204">
        <f t="shared" si="103"/>
        <v>5</v>
      </c>
      <c r="F2204">
        <f t="shared" si="104"/>
        <v>0</v>
      </c>
    </row>
    <row r="2205" spans="1:6" x14ac:dyDescent="0.25">
      <c r="A2205" t="s">
        <v>185</v>
      </c>
      <c r="B2205" s="1">
        <v>46160</v>
      </c>
      <c r="C2205">
        <v>34</v>
      </c>
      <c r="D2205">
        <f t="shared" si="102"/>
        <v>42</v>
      </c>
      <c r="E2205">
        <f t="shared" si="103"/>
        <v>5</v>
      </c>
      <c r="F2205">
        <f t="shared" si="104"/>
        <v>0.23529411764705882</v>
      </c>
    </row>
    <row r="2206" spans="1:6" x14ac:dyDescent="0.25">
      <c r="A2206" t="s">
        <v>185</v>
      </c>
      <c r="B2206" s="1">
        <v>46167</v>
      </c>
      <c r="C2206">
        <v>34</v>
      </c>
      <c r="D2206">
        <f t="shared" si="102"/>
        <v>41.6</v>
      </c>
      <c r="E2206">
        <f t="shared" si="103"/>
        <v>5</v>
      </c>
      <c r="F2206">
        <f t="shared" si="104"/>
        <v>0.22352941176470592</v>
      </c>
    </row>
    <row r="2207" spans="1:6" x14ac:dyDescent="0.25">
      <c r="A2207" t="s">
        <v>185</v>
      </c>
      <c r="B2207" s="1">
        <v>46174</v>
      </c>
      <c r="C2207">
        <v>43</v>
      </c>
      <c r="D2207">
        <f t="shared" si="102"/>
        <v>40</v>
      </c>
      <c r="E2207">
        <f t="shared" si="103"/>
        <v>5</v>
      </c>
      <c r="F2207">
        <f t="shared" si="104"/>
        <v>6.9767441860465115E-2</v>
      </c>
    </row>
    <row r="2208" spans="1:6" x14ac:dyDescent="0.25">
      <c r="A2208" t="s">
        <v>185</v>
      </c>
      <c r="B2208" s="1">
        <v>46181</v>
      </c>
      <c r="C2208">
        <v>43</v>
      </c>
      <c r="D2208">
        <f t="shared" si="102"/>
        <v>39.6</v>
      </c>
      <c r="E2208">
        <f t="shared" si="103"/>
        <v>5</v>
      </c>
      <c r="F2208">
        <f t="shared" si="104"/>
        <v>7.9069767441860436E-2</v>
      </c>
    </row>
    <row r="2209" spans="1:6" x14ac:dyDescent="0.25">
      <c r="A2209" t="s">
        <v>185</v>
      </c>
      <c r="B2209" s="1">
        <v>46188</v>
      </c>
      <c r="C2209">
        <v>44</v>
      </c>
      <c r="D2209">
        <f t="shared" si="102"/>
        <v>39.200000000000003</v>
      </c>
      <c r="E2209">
        <f t="shared" si="103"/>
        <v>5</v>
      </c>
      <c r="F2209">
        <f t="shared" si="104"/>
        <v>0.10909090909090903</v>
      </c>
    </row>
    <row r="2210" spans="1:6" x14ac:dyDescent="0.25">
      <c r="A2210" t="s">
        <v>185</v>
      </c>
      <c r="B2210" s="1">
        <v>46195</v>
      </c>
      <c r="C2210">
        <v>41</v>
      </c>
      <c r="D2210">
        <f t="shared" si="102"/>
        <v>39.6</v>
      </c>
      <c r="E2210">
        <f t="shared" si="103"/>
        <v>5</v>
      </c>
      <c r="F2210">
        <f t="shared" si="104"/>
        <v>3.4146341463414602E-2</v>
      </c>
    </row>
    <row r="2211" spans="1:6" x14ac:dyDescent="0.25">
      <c r="A2211" t="s">
        <v>185</v>
      </c>
      <c r="B2211" s="1">
        <v>46202</v>
      </c>
      <c r="C2211">
        <v>44</v>
      </c>
      <c r="D2211">
        <f t="shared" si="102"/>
        <v>41</v>
      </c>
      <c r="E2211">
        <f t="shared" si="103"/>
        <v>5</v>
      </c>
      <c r="F2211">
        <f t="shared" si="104"/>
        <v>6.8181818181818177E-2</v>
      </c>
    </row>
    <row r="2212" spans="1:6" x14ac:dyDescent="0.25">
      <c r="A2212" t="s">
        <v>187</v>
      </c>
      <c r="B2212" s="1">
        <v>46027</v>
      </c>
      <c r="C2212">
        <v>23</v>
      </c>
      <c r="D2212" t="str">
        <f t="shared" si="102"/>
        <v/>
      </c>
      <c r="E2212">
        <f t="shared" si="103"/>
        <v>0</v>
      </c>
      <c r="F2212" t="str">
        <f t="shared" si="104"/>
        <v/>
      </c>
    </row>
    <row r="2213" spans="1:6" x14ac:dyDescent="0.25">
      <c r="A2213" t="s">
        <v>187</v>
      </c>
      <c r="B2213" s="1">
        <v>46034</v>
      </c>
      <c r="C2213">
        <v>23</v>
      </c>
      <c r="D2213" t="str">
        <f t="shared" si="102"/>
        <v/>
      </c>
      <c r="E2213">
        <f t="shared" si="103"/>
        <v>1</v>
      </c>
      <c r="F2213" t="str">
        <f t="shared" si="104"/>
        <v/>
      </c>
    </row>
    <row r="2214" spans="1:6" x14ac:dyDescent="0.25">
      <c r="A2214" t="s">
        <v>187</v>
      </c>
      <c r="B2214" s="1">
        <v>46041</v>
      </c>
      <c r="C2214">
        <v>23</v>
      </c>
      <c r="D2214" t="str">
        <f t="shared" si="102"/>
        <v/>
      </c>
      <c r="E2214">
        <f t="shared" si="103"/>
        <v>2</v>
      </c>
      <c r="F2214" t="str">
        <f t="shared" si="104"/>
        <v/>
      </c>
    </row>
    <row r="2215" spans="1:6" x14ac:dyDescent="0.25">
      <c r="A2215" t="s">
        <v>187</v>
      </c>
      <c r="B2215" s="1">
        <v>46048</v>
      </c>
      <c r="C2215">
        <v>24</v>
      </c>
      <c r="D2215" t="str">
        <f t="shared" si="102"/>
        <v/>
      </c>
      <c r="E2215">
        <f t="shared" si="103"/>
        <v>3</v>
      </c>
      <c r="F2215" t="str">
        <f t="shared" si="104"/>
        <v/>
      </c>
    </row>
    <row r="2216" spans="1:6" x14ac:dyDescent="0.25">
      <c r="A2216" t="s">
        <v>187</v>
      </c>
      <c r="B2216" s="1">
        <v>46055</v>
      </c>
      <c r="C2216">
        <v>19</v>
      </c>
      <c r="D2216" t="str">
        <f t="shared" si="102"/>
        <v/>
      </c>
      <c r="E2216">
        <f t="shared" si="103"/>
        <v>4</v>
      </c>
      <c r="F2216" t="str">
        <f t="shared" si="104"/>
        <v/>
      </c>
    </row>
    <row r="2217" spans="1:6" x14ac:dyDescent="0.25">
      <c r="A2217" t="s">
        <v>187</v>
      </c>
      <c r="B2217" s="1">
        <v>46062</v>
      </c>
      <c r="C2217">
        <v>24</v>
      </c>
      <c r="D2217">
        <f t="shared" si="102"/>
        <v>22.4</v>
      </c>
      <c r="E2217">
        <f t="shared" si="103"/>
        <v>5</v>
      </c>
      <c r="F2217">
        <f t="shared" si="104"/>
        <v>6.6666666666666721E-2</v>
      </c>
    </row>
    <row r="2218" spans="1:6" x14ac:dyDescent="0.25">
      <c r="A2218" t="s">
        <v>187</v>
      </c>
      <c r="B2218" s="1">
        <v>46069</v>
      </c>
      <c r="C2218">
        <v>21</v>
      </c>
      <c r="D2218">
        <f t="shared" si="102"/>
        <v>22.6</v>
      </c>
      <c r="E2218">
        <f t="shared" si="103"/>
        <v>5</v>
      </c>
      <c r="F2218">
        <f t="shared" si="104"/>
        <v>7.6190476190476253E-2</v>
      </c>
    </row>
    <row r="2219" spans="1:6" x14ac:dyDescent="0.25">
      <c r="A2219" t="s">
        <v>187</v>
      </c>
      <c r="B2219" s="1">
        <v>46076</v>
      </c>
      <c r="C2219">
        <v>20</v>
      </c>
      <c r="D2219">
        <f t="shared" si="102"/>
        <v>22.2</v>
      </c>
      <c r="E2219">
        <f t="shared" si="103"/>
        <v>5</v>
      </c>
      <c r="F2219">
        <f t="shared" si="104"/>
        <v>0.10999999999999996</v>
      </c>
    </row>
    <row r="2220" spans="1:6" x14ac:dyDescent="0.25">
      <c r="A2220" t="s">
        <v>187</v>
      </c>
      <c r="B2220" s="1">
        <v>46083</v>
      </c>
      <c r="C2220">
        <v>25</v>
      </c>
      <c r="D2220">
        <f t="shared" si="102"/>
        <v>21.6</v>
      </c>
      <c r="E2220">
        <f t="shared" si="103"/>
        <v>5</v>
      </c>
      <c r="F2220">
        <f t="shared" si="104"/>
        <v>0.13599999999999995</v>
      </c>
    </row>
    <row r="2221" spans="1:6" x14ac:dyDescent="0.25">
      <c r="A2221" t="s">
        <v>187</v>
      </c>
      <c r="B2221" s="1">
        <v>46090</v>
      </c>
      <c r="C2221">
        <v>28</v>
      </c>
      <c r="D2221">
        <f t="shared" si="102"/>
        <v>21.8</v>
      </c>
      <c r="E2221">
        <f t="shared" si="103"/>
        <v>5</v>
      </c>
      <c r="F2221">
        <f t="shared" si="104"/>
        <v>0.22142857142857139</v>
      </c>
    </row>
    <row r="2222" spans="1:6" x14ac:dyDescent="0.25">
      <c r="A2222" t="s">
        <v>187</v>
      </c>
      <c r="B2222" s="1">
        <v>46097</v>
      </c>
      <c r="C2222">
        <v>20</v>
      </c>
      <c r="D2222">
        <f t="shared" si="102"/>
        <v>23.6</v>
      </c>
      <c r="E2222">
        <f t="shared" si="103"/>
        <v>5</v>
      </c>
      <c r="F2222">
        <f t="shared" si="104"/>
        <v>0.18000000000000008</v>
      </c>
    </row>
    <row r="2223" spans="1:6" x14ac:dyDescent="0.25">
      <c r="A2223" t="s">
        <v>187</v>
      </c>
      <c r="B2223" s="1">
        <v>46104</v>
      </c>
      <c r="C2223">
        <v>28</v>
      </c>
      <c r="D2223">
        <f t="shared" si="102"/>
        <v>22.8</v>
      </c>
      <c r="E2223">
        <f t="shared" si="103"/>
        <v>5</v>
      </c>
      <c r="F2223">
        <f t="shared" si="104"/>
        <v>0.18571428571428569</v>
      </c>
    </row>
    <row r="2224" spans="1:6" x14ac:dyDescent="0.25">
      <c r="A2224" t="s">
        <v>187</v>
      </c>
      <c r="B2224" s="1">
        <v>46111</v>
      </c>
      <c r="C2224">
        <v>25</v>
      </c>
      <c r="D2224">
        <f t="shared" si="102"/>
        <v>24.2</v>
      </c>
      <c r="E2224">
        <f t="shared" si="103"/>
        <v>5</v>
      </c>
      <c r="F2224">
        <f t="shared" si="104"/>
        <v>3.2000000000000028E-2</v>
      </c>
    </row>
    <row r="2225" spans="1:6" x14ac:dyDescent="0.25">
      <c r="A2225" t="s">
        <v>187</v>
      </c>
      <c r="B2225" s="1">
        <v>46118</v>
      </c>
      <c r="C2225">
        <v>21</v>
      </c>
      <c r="D2225">
        <f t="shared" si="102"/>
        <v>25.2</v>
      </c>
      <c r="E2225">
        <f t="shared" si="103"/>
        <v>5</v>
      </c>
      <c r="F2225">
        <f t="shared" si="104"/>
        <v>0.19999999999999996</v>
      </c>
    </row>
    <row r="2226" spans="1:6" x14ac:dyDescent="0.25">
      <c r="A2226" t="s">
        <v>187</v>
      </c>
      <c r="B2226" s="1">
        <v>46125</v>
      </c>
      <c r="C2226">
        <v>25</v>
      </c>
      <c r="D2226">
        <f t="shared" si="102"/>
        <v>24.4</v>
      </c>
      <c r="E2226">
        <f t="shared" si="103"/>
        <v>5</v>
      </c>
      <c r="F2226">
        <f t="shared" si="104"/>
        <v>2.4000000000000056E-2</v>
      </c>
    </row>
    <row r="2227" spans="1:6" x14ac:dyDescent="0.25">
      <c r="A2227" t="s">
        <v>187</v>
      </c>
      <c r="B2227" s="1">
        <v>46132</v>
      </c>
      <c r="C2227">
        <v>25</v>
      </c>
      <c r="D2227">
        <f t="shared" si="102"/>
        <v>23.8</v>
      </c>
      <c r="E2227">
        <f t="shared" si="103"/>
        <v>5</v>
      </c>
      <c r="F2227">
        <f t="shared" si="104"/>
        <v>4.7999999999999973E-2</v>
      </c>
    </row>
    <row r="2228" spans="1:6" x14ac:dyDescent="0.25">
      <c r="A2228" t="s">
        <v>187</v>
      </c>
      <c r="B2228" s="1">
        <v>46139</v>
      </c>
      <c r="C2228">
        <v>25</v>
      </c>
      <c r="D2228">
        <f t="shared" si="102"/>
        <v>24.8</v>
      </c>
      <c r="E2228">
        <f t="shared" si="103"/>
        <v>5</v>
      </c>
      <c r="F2228">
        <f t="shared" si="104"/>
        <v>7.9999999999999724E-3</v>
      </c>
    </row>
    <row r="2229" spans="1:6" x14ac:dyDescent="0.25">
      <c r="A2229" t="s">
        <v>187</v>
      </c>
      <c r="B2229" s="1">
        <v>46146</v>
      </c>
      <c r="C2229">
        <v>24</v>
      </c>
      <c r="D2229">
        <f t="shared" si="102"/>
        <v>24.2</v>
      </c>
      <c r="E2229">
        <f t="shared" si="103"/>
        <v>5</v>
      </c>
      <c r="F2229">
        <f t="shared" si="104"/>
        <v>8.3333333333333037E-3</v>
      </c>
    </row>
    <row r="2230" spans="1:6" x14ac:dyDescent="0.25">
      <c r="A2230" t="s">
        <v>187</v>
      </c>
      <c r="B2230" s="1">
        <v>46153</v>
      </c>
      <c r="C2230">
        <v>21</v>
      </c>
      <c r="D2230">
        <f t="shared" si="102"/>
        <v>24</v>
      </c>
      <c r="E2230">
        <f t="shared" si="103"/>
        <v>5</v>
      </c>
      <c r="F2230">
        <f t="shared" si="104"/>
        <v>0.14285714285714285</v>
      </c>
    </row>
    <row r="2231" spans="1:6" x14ac:dyDescent="0.25">
      <c r="A2231" t="s">
        <v>187</v>
      </c>
      <c r="B2231" s="1">
        <v>46160</v>
      </c>
      <c r="C2231">
        <v>25</v>
      </c>
      <c r="D2231">
        <f t="shared" si="102"/>
        <v>24</v>
      </c>
      <c r="E2231">
        <f t="shared" si="103"/>
        <v>5</v>
      </c>
      <c r="F2231">
        <f t="shared" si="104"/>
        <v>0.04</v>
      </c>
    </row>
    <row r="2232" spans="1:6" x14ac:dyDescent="0.25">
      <c r="A2232" t="s">
        <v>187</v>
      </c>
      <c r="B2232" s="1">
        <v>46167</v>
      </c>
      <c r="C2232">
        <v>28</v>
      </c>
      <c r="D2232">
        <f t="shared" si="102"/>
        <v>24</v>
      </c>
      <c r="E2232">
        <f t="shared" si="103"/>
        <v>5</v>
      </c>
      <c r="F2232">
        <f t="shared" si="104"/>
        <v>0.14285714285714285</v>
      </c>
    </row>
    <row r="2233" spans="1:6" x14ac:dyDescent="0.25">
      <c r="A2233" t="s">
        <v>187</v>
      </c>
      <c r="B2233" s="1">
        <v>46174</v>
      </c>
      <c r="C2233">
        <v>28</v>
      </c>
      <c r="D2233">
        <f t="shared" si="102"/>
        <v>24.6</v>
      </c>
      <c r="E2233">
        <f t="shared" si="103"/>
        <v>5</v>
      </c>
      <c r="F2233">
        <f t="shared" si="104"/>
        <v>0.12142857142857137</v>
      </c>
    </row>
    <row r="2234" spans="1:6" x14ac:dyDescent="0.25">
      <c r="A2234" t="s">
        <v>187</v>
      </c>
      <c r="B2234" s="1">
        <v>46181</v>
      </c>
      <c r="C2234">
        <v>28</v>
      </c>
      <c r="D2234">
        <f t="shared" si="102"/>
        <v>25.2</v>
      </c>
      <c r="E2234">
        <f t="shared" si="103"/>
        <v>5</v>
      </c>
      <c r="F2234">
        <f t="shared" si="104"/>
        <v>0.10000000000000002</v>
      </c>
    </row>
    <row r="2235" spans="1:6" x14ac:dyDescent="0.25">
      <c r="A2235" t="s">
        <v>187</v>
      </c>
      <c r="B2235" s="1">
        <v>46188</v>
      </c>
      <c r="C2235">
        <v>29</v>
      </c>
      <c r="D2235">
        <f t="shared" si="102"/>
        <v>26</v>
      </c>
      <c r="E2235">
        <f t="shared" si="103"/>
        <v>5</v>
      </c>
      <c r="F2235">
        <f t="shared" si="104"/>
        <v>0.10344827586206896</v>
      </c>
    </row>
    <row r="2236" spans="1:6" x14ac:dyDescent="0.25">
      <c r="A2236" t="s">
        <v>187</v>
      </c>
      <c r="B2236" s="1">
        <v>46195</v>
      </c>
      <c r="C2236">
        <v>24</v>
      </c>
      <c r="D2236">
        <f t="shared" si="102"/>
        <v>27.6</v>
      </c>
      <c r="E2236">
        <f t="shared" si="103"/>
        <v>5</v>
      </c>
      <c r="F2236">
        <f t="shared" si="104"/>
        <v>0.15000000000000005</v>
      </c>
    </row>
    <row r="2237" spans="1:6" x14ac:dyDescent="0.25">
      <c r="A2237" t="s">
        <v>187</v>
      </c>
      <c r="B2237" s="1">
        <v>46202</v>
      </c>
      <c r="C2237">
        <v>27</v>
      </c>
      <c r="D2237">
        <f t="shared" si="102"/>
        <v>27.4</v>
      </c>
      <c r="E2237">
        <f t="shared" si="103"/>
        <v>5</v>
      </c>
      <c r="F2237">
        <f t="shared" si="104"/>
        <v>1.4814814814814762E-2</v>
      </c>
    </row>
    <row r="2238" spans="1:6" x14ac:dyDescent="0.25">
      <c r="A2238" t="s">
        <v>189</v>
      </c>
      <c r="B2238" s="1">
        <v>46027</v>
      </c>
      <c r="C2238">
        <v>27</v>
      </c>
      <c r="D2238" t="str">
        <f t="shared" si="102"/>
        <v/>
      </c>
      <c r="E2238">
        <f t="shared" si="103"/>
        <v>0</v>
      </c>
      <c r="F2238" t="str">
        <f t="shared" si="104"/>
        <v/>
      </c>
    </row>
    <row r="2239" spans="1:6" x14ac:dyDescent="0.25">
      <c r="A2239" t="s">
        <v>189</v>
      </c>
      <c r="B2239" s="1">
        <v>46034</v>
      </c>
      <c r="C2239">
        <v>36</v>
      </c>
      <c r="D2239" t="str">
        <f t="shared" si="102"/>
        <v/>
      </c>
      <c r="E2239">
        <f t="shared" si="103"/>
        <v>1</v>
      </c>
      <c r="F2239" t="str">
        <f t="shared" si="104"/>
        <v/>
      </c>
    </row>
    <row r="2240" spans="1:6" x14ac:dyDescent="0.25">
      <c r="A2240" t="s">
        <v>189</v>
      </c>
      <c r="B2240" s="1">
        <v>46041</v>
      </c>
      <c r="C2240">
        <v>47</v>
      </c>
      <c r="D2240" t="str">
        <f t="shared" si="102"/>
        <v/>
      </c>
      <c r="E2240">
        <f t="shared" si="103"/>
        <v>2</v>
      </c>
      <c r="F2240" t="str">
        <f t="shared" si="104"/>
        <v/>
      </c>
    </row>
    <row r="2241" spans="1:6" x14ac:dyDescent="0.25">
      <c r="A2241" t="s">
        <v>189</v>
      </c>
      <c r="B2241" s="1">
        <v>46048</v>
      </c>
      <c r="C2241">
        <v>38</v>
      </c>
      <c r="D2241" t="str">
        <f t="shared" si="102"/>
        <v/>
      </c>
      <c r="E2241">
        <f t="shared" si="103"/>
        <v>3</v>
      </c>
      <c r="F2241" t="str">
        <f t="shared" si="104"/>
        <v/>
      </c>
    </row>
    <row r="2242" spans="1:6" x14ac:dyDescent="0.25">
      <c r="A2242" t="s">
        <v>189</v>
      </c>
      <c r="B2242" s="1">
        <v>46055</v>
      </c>
      <c r="C2242">
        <v>39</v>
      </c>
      <c r="D2242" t="str">
        <f t="shared" ref="D2242:D2305" si="105">IF(E2242 &lt; 5, "", AVERAGEIFS(C:C, A:A, A2242, B:B, "&gt;=" &amp; (B2242-35), B:B, "&lt;=" &amp; (B2242-7)))</f>
        <v/>
      </c>
      <c r="E2242">
        <f t="shared" ref="E2242:E2305" si="106">COUNTIFS(A:A, A2242, B:B, "&gt;=" &amp; (B2242-35), B:B, "&lt;=" &amp; (B2242-7))</f>
        <v>4</v>
      </c>
      <c r="F2242" t="str">
        <f t="shared" ref="F2242:F2305" si="107">IF(OR(C2242=0, D2242=""), "", ABS(C2242 - D2242) / C2242)</f>
        <v/>
      </c>
    </row>
    <row r="2243" spans="1:6" x14ac:dyDescent="0.25">
      <c r="A2243" t="s">
        <v>189</v>
      </c>
      <c r="B2243" s="1">
        <v>46062</v>
      </c>
      <c r="C2243">
        <v>42</v>
      </c>
      <c r="D2243">
        <f t="shared" si="105"/>
        <v>37.4</v>
      </c>
      <c r="E2243">
        <f t="shared" si="106"/>
        <v>5</v>
      </c>
      <c r="F2243">
        <f t="shared" si="107"/>
        <v>0.10952380952380955</v>
      </c>
    </row>
    <row r="2244" spans="1:6" x14ac:dyDescent="0.25">
      <c r="A2244" t="s">
        <v>189</v>
      </c>
      <c r="B2244" s="1">
        <v>46069</v>
      </c>
      <c r="C2244">
        <v>45</v>
      </c>
      <c r="D2244">
        <f t="shared" si="105"/>
        <v>40.4</v>
      </c>
      <c r="E2244">
        <f t="shared" si="106"/>
        <v>5</v>
      </c>
      <c r="F2244">
        <f t="shared" si="107"/>
        <v>0.10222222222222226</v>
      </c>
    </row>
    <row r="2245" spans="1:6" x14ac:dyDescent="0.25">
      <c r="A2245" t="s">
        <v>189</v>
      </c>
      <c r="B2245" s="1">
        <v>46076</v>
      </c>
      <c r="C2245">
        <v>45</v>
      </c>
      <c r="D2245">
        <f t="shared" si="105"/>
        <v>42.2</v>
      </c>
      <c r="E2245">
        <f t="shared" si="106"/>
        <v>5</v>
      </c>
      <c r="F2245">
        <f t="shared" si="107"/>
        <v>6.2222222222222158E-2</v>
      </c>
    </row>
    <row r="2246" spans="1:6" x14ac:dyDescent="0.25">
      <c r="A2246" t="s">
        <v>189</v>
      </c>
      <c r="B2246" s="1">
        <v>46083</v>
      </c>
      <c r="C2246">
        <v>52</v>
      </c>
      <c r="D2246">
        <f t="shared" si="105"/>
        <v>41.8</v>
      </c>
      <c r="E2246">
        <f t="shared" si="106"/>
        <v>5</v>
      </c>
      <c r="F2246">
        <f t="shared" si="107"/>
        <v>0.19615384615384621</v>
      </c>
    </row>
    <row r="2247" spans="1:6" x14ac:dyDescent="0.25">
      <c r="A2247" t="s">
        <v>189</v>
      </c>
      <c r="B2247" s="1">
        <v>46090</v>
      </c>
      <c r="C2247">
        <v>48</v>
      </c>
      <c r="D2247">
        <f t="shared" si="105"/>
        <v>44.6</v>
      </c>
      <c r="E2247">
        <f t="shared" si="106"/>
        <v>5</v>
      </c>
      <c r="F2247">
        <f t="shared" si="107"/>
        <v>7.0833333333333304E-2</v>
      </c>
    </row>
    <row r="2248" spans="1:6" x14ac:dyDescent="0.25">
      <c r="A2248" t="s">
        <v>189</v>
      </c>
      <c r="B2248" s="1">
        <v>46097</v>
      </c>
      <c r="C2248">
        <v>44</v>
      </c>
      <c r="D2248">
        <f t="shared" si="105"/>
        <v>46.4</v>
      </c>
      <c r="E2248">
        <f t="shared" si="106"/>
        <v>5</v>
      </c>
      <c r="F2248">
        <f t="shared" si="107"/>
        <v>5.4545454545454515E-2</v>
      </c>
    </row>
    <row r="2249" spans="1:6" x14ac:dyDescent="0.25">
      <c r="A2249" t="s">
        <v>189</v>
      </c>
      <c r="B2249" s="1">
        <v>46104</v>
      </c>
      <c r="C2249">
        <v>43</v>
      </c>
      <c r="D2249">
        <f t="shared" si="105"/>
        <v>46.8</v>
      </c>
      <c r="E2249">
        <f t="shared" si="106"/>
        <v>5</v>
      </c>
      <c r="F2249">
        <f t="shared" si="107"/>
        <v>8.8372093023255743E-2</v>
      </c>
    </row>
    <row r="2250" spans="1:6" x14ac:dyDescent="0.25">
      <c r="A2250" t="s">
        <v>189</v>
      </c>
      <c r="B2250" s="1">
        <v>46111</v>
      </c>
      <c r="C2250">
        <v>46</v>
      </c>
      <c r="D2250">
        <f t="shared" si="105"/>
        <v>46.4</v>
      </c>
      <c r="E2250">
        <f t="shared" si="106"/>
        <v>5</v>
      </c>
      <c r="F2250">
        <f t="shared" si="107"/>
        <v>8.6956521739130124E-3</v>
      </c>
    </row>
    <row r="2251" spans="1:6" x14ac:dyDescent="0.25">
      <c r="A2251" t="s">
        <v>189</v>
      </c>
      <c r="B2251" s="1">
        <v>46118</v>
      </c>
      <c r="C2251">
        <v>45</v>
      </c>
      <c r="D2251">
        <f t="shared" si="105"/>
        <v>46.6</v>
      </c>
      <c r="E2251">
        <f t="shared" si="106"/>
        <v>5</v>
      </c>
      <c r="F2251">
        <f t="shared" si="107"/>
        <v>3.555555555555559E-2</v>
      </c>
    </row>
    <row r="2252" spans="1:6" x14ac:dyDescent="0.25">
      <c r="A2252" t="s">
        <v>189</v>
      </c>
      <c r="B2252" s="1">
        <v>46125</v>
      </c>
      <c r="C2252">
        <v>52</v>
      </c>
      <c r="D2252">
        <f t="shared" si="105"/>
        <v>45.2</v>
      </c>
      <c r="E2252">
        <f t="shared" si="106"/>
        <v>5</v>
      </c>
      <c r="F2252">
        <f t="shared" si="107"/>
        <v>0.13076923076923072</v>
      </c>
    </row>
    <row r="2253" spans="1:6" x14ac:dyDescent="0.25">
      <c r="A2253" t="s">
        <v>189</v>
      </c>
      <c r="B2253" s="1">
        <v>46132</v>
      </c>
      <c r="C2253">
        <v>56</v>
      </c>
      <c r="D2253">
        <f t="shared" si="105"/>
        <v>46</v>
      </c>
      <c r="E2253">
        <f t="shared" si="106"/>
        <v>5</v>
      </c>
      <c r="F2253">
        <f t="shared" si="107"/>
        <v>0.17857142857142858</v>
      </c>
    </row>
    <row r="2254" spans="1:6" x14ac:dyDescent="0.25">
      <c r="A2254" t="s">
        <v>189</v>
      </c>
      <c r="B2254" s="1">
        <v>46139</v>
      </c>
      <c r="C2254">
        <v>53</v>
      </c>
      <c r="D2254">
        <f t="shared" si="105"/>
        <v>48.4</v>
      </c>
      <c r="E2254">
        <f t="shared" si="106"/>
        <v>5</v>
      </c>
      <c r="F2254">
        <f t="shared" si="107"/>
        <v>8.6792452830188702E-2</v>
      </c>
    </row>
    <row r="2255" spans="1:6" x14ac:dyDescent="0.25">
      <c r="A2255" t="s">
        <v>189</v>
      </c>
      <c r="B2255" s="1">
        <v>46146</v>
      </c>
      <c r="C2255">
        <v>49</v>
      </c>
      <c r="D2255">
        <f t="shared" si="105"/>
        <v>50.4</v>
      </c>
      <c r="E2255">
        <f t="shared" si="106"/>
        <v>5</v>
      </c>
      <c r="F2255">
        <f t="shared" si="107"/>
        <v>2.8571428571428543E-2</v>
      </c>
    </row>
    <row r="2256" spans="1:6" x14ac:dyDescent="0.25">
      <c r="A2256" t="s">
        <v>189</v>
      </c>
      <c r="B2256" s="1">
        <v>46153</v>
      </c>
      <c r="C2256">
        <v>48</v>
      </c>
      <c r="D2256">
        <f t="shared" si="105"/>
        <v>51</v>
      </c>
      <c r="E2256">
        <f t="shared" si="106"/>
        <v>5</v>
      </c>
      <c r="F2256">
        <f t="shared" si="107"/>
        <v>6.25E-2</v>
      </c>
    </row>
    <row r="2257" spans="1:6" x14ac:dyDescent="0.25">
      <c r="A2257" t="s">
        <v>189</v>
      </c>
      <c r="B2257" s="1">
        <v>46160</v>
      </c>
      <c r="C2257">
        <v>49</v>
      </c>
      <c r="D2257">
        <f t="shared" si="105"/>
        <v>51.6</v>
      </c>
      <c r="E2257">
        <f t="shared" si="106"/>
        <v>5</v>
      </c>
      <c r="F2257">
        <f t="shared" si="107"/>
        <v>5.3061224489795944E-2</v>
      </c>
    </row>
    <row r="2258" spans="1:6" x14ac:dyDescent="0.25">
      <c r="A2258" t="s">
        <v>189</v>
      </c>
      <c r="B2258" s="1">
        <v>46167</v>
      </c>
      <c r="C2258">
        <v>49</v>
      </c>
      <c r="D2258">
        <f t="shared" si="105"/>
        <v>51</v>
      </c>
      <c r="E2258">
        <f t="shared" si="106"/>
        <v>5</v>
      </c>
      <c r="F2258">
        <f t="shared" si="107"/>
        <v>4.0816326530612242E-2</v>
      </c>
    </row>
    <row r="2259" spans="1:6" x14ac:dyDescent="0.25">
      <c r="A2259" t="s">
        <v>189</v>
      </c>
      <c r="B2259" s="1">
        <v>46174</v>
      </c>
      <c r="C2259">
        <v>50</v>
      </c>
      <c r="D2259">
        <f t="shared" si="105"/>
        <v>49.6</v>
      </c>
      <c r="E2259">
        <f t="shared" si="106"/>
        <v>5</v>
      </c>
      <c r="F2259">
        <f t="shared" si="107"/>
        <v>7.9999999999999724E-3</v>
      </c>
    </row>
    <row r="2260" spans="1:6" x14ac:dyDescent="0.25">
      <c r="A2260" t="s">
        <v>189</v>
      </c>
      <c r="B2260" s="1">
        <v>46181</v>
      </c>
      <c r="C2260">
        <v>50</v>
      </c>
      <c r="D2260">
        <f t="shared" si="105"/>
        <v>49</v>
      </c>
      <c r="E2260">
        <f t="shared" si="106"/>
        <v>5</v>
      </c>
      <c r="F2260">
        <f t="shared" si="107"/>
        <v>0.02</v>
      </c>
    </row>
    <row r="2261" spans="1:6" x14ac:dyDescent="0.25">
      <c r="A2261" t="s">
        <v>189</v>
      </c>
      <c r="B2261" s="1">
        <v>46188</v>
      </c>
      <c r="C2261">
        <v>50</v>
      </c>
      <c r="D2261">
        <f t="shared" si="105"/>
        <v>49.2</v>
      </c>
      <c r="E2261">
        <f t="shared" si="106"/>
        <v>5</v>
      </c>
      <c r="F2261">
        <f t="shared" si="107"/>
        <v>1.5999999999999945E-2</v>
      </c>
    </row>
    <row r="2262" spans="1:6" x14ac:dyDescent="0.25">
      <c r="A2262" t="s">
        <v>189</v>
      </c>
      <c r="B2262" s="1">
        <v>46195</v>
      </c>
      <c r="C2262">
        <v>53</v>
      </c>
      <c r="D2262">
        <f t="shared" si="105"/>
        <v>49.6</v>
      </c>
      <c r="E2262">
        <f t="shared" si="106"/>
        <v>5</v>
      </c>
      <c r="F2262">
        <f t="shared" si="107"/>
        <v>6.4150943396226387E-2</v>
      </c>
    </row>
    <row r="2263" spans="1:6" x14ac:dyDescent="0.25">
      <c r="A2263" t="s">
        <v>189</v>
      </c>
      <c r="B2263" s="1">
        <v>46202</v>
      </c>
      <c r="C2263">
        <v>61</v>
      </c>
      <c r="D2263">
        <f t="shared" si="105"/>
        <v>50.4</v>
      </c>
      <c r="E2263">
        <f t="shared" si="106"/>
        <v>5</v>
      </c>
      <c r="F2263">
        <f t="shared" si="107"/>
        <v>0.17377049180327872</v>
      </c>
    </row>
    <row r="2264" spans="1:6" x14ac:dyDescent="0.25">
      <c r="A2264" t="s">
        <v>191</v>
      </c>
      <c r="B2264" s="1">
        <v>46027</v>
      </c>
      <c r="C2264">
        <v>89</v>
      </c>
      <c r="D2264" t="str">
        <f t="shared" si="105"/>
        <v/>
      </c>
      <c r="E2264">
        <f t="shared" si="106"/>
        <v>0</v>
      </c>
      <c r="F2264" t="str">
        <f t="shared" si="107"/>
        <v/>
      </c>
    </row>
    <row r="2265" spans="1:6" x14ac:dyDescent="0.25">
      <c r="A2265" t="s">
        <v>191</v>
      </c>
      <c r="B2265" s="1">
        <v>46034</v>
      </c>
      <c r="C2265">
        <v>85</v>
      </c>
      <c r="D2265" t="str">
        <f t="shared" si="105"/>
        <v/>
      </c>
      <c r="E2265">
        <f t="shared" si="106"/>
        <v>1</v>
      </c>
      <c r="F2265" t="str">
        <f t="shared" si="107"/>
        <v/>
      </c>
    </row>
    <row r="2266" spans="1:6" x14ac:dyDescent="0.25">
      <c r="A2266" t="s">
        <v>191</v>
      </c>
      <c r="B2266" s="1">
        <v>46041</v>
      </c>
      <c r="C2266">
        <v>52</v>
      </c>
      <c r="D2266" t="str">
        <f t="shared" si="105"/>
        <v/>
      </c>
      <c r="E2266">
        <f t="shared" si="106"/>
        <v>2</v>
      </c>
      <c r="F2266" t="str">
        <f t="shared" si="107"/>
        <v/>
      </c>
    </row>
    <row r="2267" spans="1:6" x14ac:dyDescent="0.25">
      <c r="A2267" t="s">
        <v>191</v>
      </c>
      <c r="B2267" s="1">
        <v>46048</v>
      </c>
      <c r="C2267">
        <v>61</v>
      </c>
      <c r="D2267" t="str">
        <f t="shared" si="105"/>
        <v/>
      </c>
      <c r="E2267">
        <f t="shared" si="106"/>
        <v>3</v>
      </c>
      <c r="F2267" t="str">
        <f t="shared" si="107"/>
        <v/>
      </c>
    </row>
    <row r="2268" spans="1:6" x14ac:dyDescent="0.25">
      <c r="A2268" t="s">
        <v>191</v>
      </c>
      <c r="B2268" s="1">
        <v>46055</v>
      </c>
      <c r="C2268">
        <v>102</v>
      </c>
      <c r="D2268" t="str">
        <f t="shared" si="105"/>
        <v/>
      </c>
      <c r="E2268">
        <f t="shared" si="106"/>
        <v>4</v>
      </c>
      <c r="F2268" t="str">
        <f t="shared" si="107"/>
        <v/>
      </c>
    </row>
    <row r="2269" spans="1:6" x14ac:dyDescent="0.25">
      <c r="A2269" t="s">
        <v>191</v>
      </c>
      <c r="B2269" s="1">
        <v>46062</v>
      </c>
      <c r="C2269">
        <v>90</v>
      </c>
      <c r="D2269">
        <f t="shared" si="105"/>
        <v>77.8</v>
      </c>
      <c r="E2269">
        <f t="shared" si="106"/>
        <v>5</v>
      </c>
      <c r="F2269">
        <f t="shared" si="107"/>
        <v>0.1355555555555556</v>
      </c>
    </row>
    <row r="2270" spans="1:6" x14ac:dyDescent="0.25">
      <c r="A2270" t="s">
        <v>191</v>
      </c>
      <c r="B2270" s="1">
        <v>46069</v>
      </c>
      <c r="C2270">
        <v>78</v>
      </c>
      <c r="D2270">
        <f t="shared" si="105"/>
        <v>78</v>
      </c>
      <c r="E2270">
        <f t="shared" si="106"/>
        <v>5</v>
      </c>
      <c r="F2270">
        <f t="shared" si="107"/>
        <v>0</v>
      </c>
    </row>
    <row r="2271" spans="1:6" x14ac:dyDescent="0.25">
      <c r="A2271" t="s">
        <v>191</v>
      </c>
      <c r="B2271" s="1">
        <v>46076</v>
      </c>
      <c r="C2271">
        <v>65</v>
      </c>
      <c r="D2271">
        <f t="shared" si="105"/>
        <v>76.599999999999994</v>
      </c>
      <c r="E2271">
        <f t="shared" si="106"/>
        <v>5</v>
      </c>
      <c r="F2271">
        <f t="shared" si="107"/>
        <v>0.17846153846153837</v>
      </c>
    </row>
    <row r="2272" spans="1:6" x14ac:dyDescent="0.25">
      <c r="A2272" t="s">
        <v>191</v>
      </c>
      <c r="B2272" s="1">
        <v>46083</v>
      </c>
      <c r="C2272">
        <v>75</v>
      </c>
      <c r="D2272">
        <f t="shared" si="105"/>
        <v>79.2</v>
      </c>
      <c r="E2272">
        <f t="shared" si="106"/>
        <v>5</v>
      </c>
      <c r="F2272">
        <f t="shared" si="107"/>
        <v>5.6000000000000036E-2</v>
      </c>
    </row>
    <row r="2273" spans="1:6" x14ac:dyDescent="0.25">
      <c r="A2273" t="s">
        <v>191</v>
      </c>
      <c r="B2273" s="1">
        <v>46090</v>
      </c>
      <c r="C2273">
        <v>110</v>
      </c>
      <c r="D2273">
        <f t="shared" si="105"/>
        <v>82</v>
      </c>
      <c r="E2273">
        <f t="shared" si="106"/>
        <v>5</v>
      </c>
      <c r="F2273">
        <f t="shared" si="107"/>
        <v>0.25454545454545452</v>
      </c>
    </row>
    <row r="2274" spans="1:6" x14ac:dyDescent="0.25">
      <c r="A2274" t="s">
        <v>191</v>
      </c>
      <c r="B2274" s="1">
        <v>46097</v>
      </c>
      <c r="C2274">
        <v>62</v>
      </c>
      <c r="D2274">
        <f t="shared" si="105"/>
        <v>83.6</v>
      </c>
      <c r="E2274">
        <f t="shared" si="106"/>
        <v>5</v>
      </c>
      <c r="F2274">
        <f t="shared" si="107"/>
        <v>0.34838709677419344</v>
      </c>
    </row>
    <row r="2275" spans="1:6" x14ac:dyDescent="0.25">
      <c r="A2275" t="s">
        <v>191</v>
      </c>
      <c r="B2275" s="1">
        <v>46104</v>
      </c>
      <c r="C2275">
        <v>99</v>
      </c>
      <c r="D2275">
        <f t="shared" si="105"/>
        <v>78</v>
      </c>
      <c r="E2275">
        <f t="shared" si="106"/>
        <v>5</v>
      </c>
      <c r="F2275">
        <f t="shared" si="107"/>
        <v>0.21212121212121213</v>
      </c>
    </row>
    <row r="2276" spans="1:6" x14ac:dyDescent="0.25">
      <c r="A2276" t="s">
        <v>191</v>
      </c>
      <c r="B2276" s="1">
        <v>46111</v>
      </c>
      <c r="C2276">
        <v>124</v>
      </c>
      <c r="D2276">
        <f t="shared" si="105"/>
        <v>82.2</v>
      </c>
      <c r="E2276">
        <f t="shared" si="106"/>
        <v>5</v>
      </c>
      <c r="F2276">
        <f t="shared" si="107"/>
        <v>0.33709677419354839</v>
      </c>
    </row>
    <row r="2277" spans="1:6" x14ac:dyDescent="0.25">
      <c r="A2277" t="s">
        <v>191</v>
      </c>
      <c r="B2277" s="1">
        <v>46118</v>
      </c>
      <c r="C2277">
        <v>96</v>
      </c>
      <c r="D2277">
        <f t="shared" si="105"/>
        <v>94</v>
      </c>
      <c r="E2277">
        <f t="shared" si="106"/>
        <v>5</v>
      </c>
      <c r="F2277">
        <f t="shared" si="107"/>
        <v>2.0833333333333332E-2</v>
      </c>
    </row>
    <row r="2278" spans="1:6" x14ac:dyDescent="0.25">
      <c r="A2278" t="s">
        <v>191</v>
      </c>
      <c r="B2278" s="1">
        <v>46125</v>
      </c>
      <c r="C2278">
        <v>84</v>
      </c>
      <c r="D2278">
        <f t="shared" si="105"/>
        <v>98.2</v>
      </c>
      <c r="E2278">
        <f t="shared" si="106"/>
        <v>5</v>
      </c>
      <c r="F2278">
        <f t="shared" si="107"/>
        <v>0.16904761904761909</v>
      </c>
    </row>
    <row r="2279" spans="1:6" x14ac:dyDescent="0.25">
      <c r="A2279" t="s">
        <v>191</v>
      </c>
      <c r="B2279" s="1">
        <v>46132</v>
      </c>
      <c r="C2279">
        <v>103</v>
      </c>
      <c r="D2279">
        <f t="shared" si="105"/>
        <v>93</v>
      </c>
      <c r="E2279">
        <f t="shared" si="106"/>
        <v>5</v>
      </c>
      <c r="F2279">
        <f t="shared" si="107"/>
        <v>9.7087378640776698E-2</v>
      </c>
    </row>
    <row r="2280" spans="1:6" x14ac:dyDescent="0.25">
      <c r="A2280" t="s">
        <v>191</v>
      </c>
      <c r="B2280" s="1">
        <v>46139</v>
      </c>
      <c r="C2280">
        <v>106</v>
      </c>
      <c r="D2280">
        <f t="shared" si="105"/>
        <v>101.2</v>
      </c>
      <c r="E2280">
        <f t="shared" si="106"/>
        <v>5</v>
      </c>
      <c r="F2280">
        <f t="shared" si="107"/>
        <v>4.5283018867924504E-2</v>
      </c>
    </row>
    <row r="2281" spans="1:6" x14ac:dyDescent="0.25">
      <c r="A2281" t="s">
        <v>191</v>
      </c>
      <c r="B2281" s="1">
        <v>46146</v>
      </c>
      <c r="C2281">
        <v>104</v>
      </c>
      <c r="D2281">
        <f t="shared" si="105"/>
        <v>102.6</v>
      </c>
      <c r="E2281">
        <f t="shared" si="106"/>
        <v>5</v>
      </c>
      <c r="F2281">
        <f t="shared" si="107"/>
        <v>1.3461538461538516E-2</v>
      </c>
    </row>
    <row r="2282" spans="1:6" x14ac:dyDescent="0.25">
      <c r="A2282" t="s">
        <v>191</v>
      </c>
      <c r="B2282" s="1">
        <v>46153</v>
      </c>
      <c r="C2282">
        <v>97</v>
      </c>
      <c r="D2282">
        <f t="shared" si="105"/>
        <v>98.6</v>
      </c>
      <c r="E2282">
        <f t="shared" si="106"/>
        <v>5</v>
      </c>
      <c r="F2282">
        <f t="shared" si="107"/>
        <v>1.6494845360824684E-2</v>
      </c>
    </row>
    <row r="2283" spans="1:6" x14ac:dyDescent="0.25">
      <c r="A2283" t="s">
        <v>191</v>
      </c>
      <c r="B2283" s="1">
        <v>46160</v>
      </c>
      <c r="C2283">
        <v>81</v>
      </c>
      <c r="D2283">
        <f t="shared" si="105"/>
        <v>98.8</v>
      </c>
      <c r="E2283">
        <f t="shared" si="106"/>
        <v>5</v>
      </c>
      <c r="F2283">
        <f t="shared" si="107"/>
        <v>0.21975308641975305</v>
      </c>
    </row>
    <row r="2284" spans="1:6" x14ac:dyDescent="0.25">
      <c r="A2284" t="s">
        <v>191</v>
      </c>
      <c r="B2284" s="1">
        <v>46167</v>
      </c>
      <c r="C2284">
        <v>109</v>
      </c>
      <c r="D2284">
        <f t="shared" si="105"/>
        <v>98.2</v>
      </c>
      <c r="E2284">
        <f t="shared" si="106"/>
        <v>5</v>
      </c>
      <c r="F2284">
        <f t="shared" si="107"/>
        <v>9.9082568807339427E-2</v>
      </c>
    </row>
    <row r="2285" spans="1:6" x14ac:dyDescent="0.25">
      <c r="A2285" t="s">
        <v>191</v>
      </c>
      <c r="B2285" s="1">
        <v>46174</v>
      </c>
      <c r="C2285">
        <v>112</v>
      </c>
      <c r="D2285">
        <f t="shared" si="105"/>
        <v>99.4</v>
      </c>
      <c r="E2285">
        <f t="shared" si="106"/>
        <v>5</v>
      </c>
      <c r="F2285">
        <f t="shared" si="107"/>
        <v>0.11249999999999995</v>
      </c>
    </row>
    <row r="2286" spans="1:6" x14ac:dyDescent="0.25">
      <c r="A2286" t="s">
        <v>191</v>
      </c>
      <c r="B2286" s="1">
        <v>46181</v>
      </c>
      <c r="C2286">
        <v>109</v>
      </c>
      <c r="D2286">
        <f t="shared" si="105"/>
        <v>100.6</v>
      </c>
      <c r="E2286">
        <f t="shared" si="106"/>
        <v>5</v>
      </c>
      <c r="F2286">
        <f t="shared" si="107"/>
        <v>7.7064220183486284E-2</v>
      </c>
    </row>
    <row r="2287" spans="1:6" x14ac:dyDescent="0.25">
      <c r="A2287" t="s">
        <v>191</v>
      </c>
      <c r="B2287" s="1">
        <v>46188</v>
      </c>
      <c r="C2287">
        <v>112</v>
      </c>
      <c r="D2287">
        <f t="shared" si="105"/>
        <v>101.6</v>
      </c>
      <c r="E2287">
        <f t="shared" si="106"/>
        <v>5</v>
      </c>
      <c r="F2287">
        <f t="shared" si="107"/>
        <v>9.2857142857142902E-2</v>
      </c>
    </row>
    <row r="2288" spans="1:6" x14ac:dyDescent="0.25">
      <c r="A2288" t="s">
        <v>191</v>
      </c>
      <c r="B2288" s="1">
        <v>46195</v>
      </c>
      <c r="C2288">
        <v>108</v>
      </c>
      <c r="D2288">
        <f t="shared" si="105"/>
        <v>104.6</v>
      </c>
      <c r="E2288">
        <f t="shared" si="106"/>
        <v>5</v>
      </c>
      <c r="F2288">
        <f t="shared" si="107"/>
        <v>3.1481481481481534E-2</v>
      </c>
    </row>
    <row r="2289" spans="1:6" x14ac:dyDescent="0.25">
      <c r="A2289" t="s">
        <v>191</v>
      </c>
      <c r="B2289" s="1">
        <v>46202</v>
      </c>
      <c r="C2289">
        <v>119</v>
      </c>
      <c r="D2289">
        <f t="shared" si="105"/>
        <v>110</v>
      </c>
      <c r="E2289">
        <f t="shared" si="106"/>
        <v>5</v>
      </c>
      <c r="F2289">
        <f t="shared" si="107"/>
        <v>7.5630252100840331E-2</v>
      </c>
    </row>
    <row r="2290" spans="1:6" x14ac:dyDescent="0.25">
      <c r="A2290" t="s">
        <v>193</v>
      </c>
      <c r="B2290" s="1">
        <v>46027</v>
      </c>
      <c r="C2290">
        <v>24</v>
      </c>
      <c r="D2290" t="str">
        <f t="shared" si="105"/>
        <v/>
      </c>
      <c r="E2290">
        <f t="shared" si="106"/>
        <v>0</v>
      </c>
      <c r="F2290" t="str">
        <f t="shared" si="107"/>
        <v/>
      </c>
    </row>
    <row r="2291" spans="1:6" x14ac:dyDescent="0.25">
      <c r="A2291" t="s">
        <v>193</v>
      </c>
      <c r="B2291" s="1">
        <v>46034</v>
      </c>
      <c r="C2291">
        <v>18</v>
      </c>
      <c r="D2291" t="str">
        <f t="shared" si="105"/>
        <v/>
      </c>
      <c r="E2291">
        <f t="shared" si="106"/>
        <v>1</v>
      </c>
      <c r="F2291" t="str">
        <f t="shared" si="107"/>
        <v/>
      </c>
    </row>
    <row r="2292" spans="1:6" x14ac:dyDescent="0.25">
      <c r="A2292" t="s">
        <v>193</v>
      </c>
      <c r="B2292" s="1">
        <v>46041</v>
      </c>
      <c r="C2292">
        <v>16</v>
      </c>
      <c r="D2292" t="str">
        <f t="shared" si="105"/>
        <v/>
      </c>
      <c r="E2292">
        <f t="shared" si="106"/>
        <v>2</v>
      </c>
      <c r="F2292" t="str">
        <f t="shared" si="107"/>
        <v/>
      </c>
    </row>
    <row r="2293" spans="1:6" x14ac:dyDescent="0.25">
      <c r="A2293" t="s">
        <v>193</v>
      </c>
      <c r="B2293" s="1">
        <v>46048</v>
      </c>
      <c r="C2293">
        <v>24</v>
      </c>
      <c r="D2293" t="str">
        <f t="shared" si="105"/>
        <v/>
      </c>
      <c r="E2293">
        <f t="shared" si="106"/>
        <v>3</v>
      </c>
      <c r="F2293" t="str">
        <f t="shared" si="107"/>
        <v/>
      </c>
    </row>
    <row r="2294" spans="1:6" x14ac:dyDescent="0.25">
      <c r="A2294" t="s">
        <v>193</v>
      </c>
      <c r="B2294" s="1">
        <v>46055</v>
      </c>
      <c r="C2294">
        <v>31</v>
      </c>
      <c r="D2294" t="str">
        <f t="shared" si="105"/>
        <v/>
      </c>
      <c r="E2294">
        <f t="shared" si="106"/>
        <v>4</v>
      </c>
      <c r="F2294" t="str">
        <f t="shared" si="107"/>
        <v/>
      </c>
    </row>
    <row r="2295" spans="1:6" x14ac:dyDescent="0.25">
      <c r="A2295" t="s">
        <v>193</v>
      </c>
      <c r="B2295" s="1">
        <v>46062</v>
      </c>
      <c r="C2295">
        <v>20</v>
      </c>
      <c r="D2295">
        <f t="shared" si="105"/>
        <v>22.6</v>
      </c>
      <c r="E2295">
        <f t="shared" si="106"/>
        <v>5</v>
      </c>
      <c r="F2295">
        <f t="shared" si="107"/>
        <v>0.13000000000000006</v>
      </c>
    </row>
    <row r="2296" spans="1:6" x14ac:dyDescent="0.25">
      <c r="A2296" t="s">
        <v>193</v>
      </c>
      <c r="B2296" s="1">
        <v>46069</v>
      </c>
      <c r="C2296">
        <v>23</v>
      </c>
      <c r="D2296">
        <f t="shared" si="105"/>
        <v>21.8</v>
      </c>
      <c r="E2296">
        <f t="shared" si="106"/>
        <v>5</v>
      </c>
      <c r="F2296">
        <f t="shared" si="107"/>
        <v>5.217391304347823E-2</v>
      </c>
    </row>
    <row r="2297" spans="1:6" x14ac:dyDescent="0.25">
      <c r="A2297" t="s">
        <v>193</v>
      </c>
      <c r="B2297" s="1">
        <v>46076</v>
      </c>
      <c r="C2297">
        <v>23</v>
      </c>
      <c r="D2297">
        <f t="shared" si="105"/>
        <v>22.8</v>
      </c>
      <c r="E2297">
        <f t="shared" si="106"/>
        <v>5</v>
      </c>
      <c r="F2297">
        <f t="shared" si="107"/>
        <v>8.6956521739130124E-3</v>
      </c>
    </row>
    <row r="2298" spans="1:6" x14ac:dyDescent="0.25">
      <c r="A2298" t="s">
        <v>193</v>
      </c>
      <c r="B2298" s="1">
        <v>46083</v>
      </c>
      <c r="C2298">
        <v>19</v>
      </c>
      <c r="D2298">
        <f t="shared" si="105"/>
        <v>24.2</v>
      </c>
      <c r="E2298">
        <f t="shared" si="106"/>
        <v>5</v>
      </c>
      <c r="F2298">
        <f t="shared" si="107"/>
        <v>0.27368421052631575</v>
      </c>
    </row>
    <row r="2299" spans="1:6" x14ac:dyDescent="0.25">
      <c r="A2299" t="s">
        <v>193</v>
      </c>
      <c r="B2299" s="1">
        <v>46090</v>
      </c>
      <c r="C2299">
        <v>20</v>
      </c>
      <c r="D2299">
        <f t="shared" si="105"/>
        <v>23.2</v>
      </c>
      <c r="E2299">
        <f t="shared" si="106"/>
        <v>5</v>
      </c>
      <c r="F2299">
        <f t="shared" si="107"/>
        <v>0.15999999999999998</v>
      </c>
    </row>
    <row r="2300" spans="1:6" x14ac:dyDescent="0.25">
      <c r="A2300" t="s">
        <v>193</v>
      </c>
      <c r="B2300" s="1">
        <v>46097</v>
      </c>
      <c r="C2300">
        <v>27</v>
      </c>
      <c r="D2300">
        <f t="shared" si="105"/>
        <v>21</v>
      </c>
      <c r="E2300">
        <f t="shared" si="106"/>
        <v>5</v>
      </c>
      <c r="F2300">
        <f t="shared" si="107"/>
        <v>0.22222222222222221</v>
      </c>
    </row>
    <row r="2301" spans="1:6" x14ac:dyDescent="0.25">
      <c r="A2301" t="s">
        <v>193</v>
      </c>
      <c r="B2301" s="1">
        <v>46104</v>
      </c>
      <c r="C2301">
        <v>24</v>
      </c>
      <c r="D2301">
        <f t="shared" si="105"/>
        <v>22.4</v>
      </c>
      <c r="E2301">
        <f t="shared" si="106"/>
        <v>5</v>
      </c>
      <c r="F2301">
        <f t="shared" si="107"/>
        <v>6.6666666666666721E-2</v>
      </c>
    </row>
    <row r="2302" spans="1:6" x14ac:dyDescent="0.25">
      <c r="A2302" t="s">
        <v>193</v>
      </c>
      <c r="B2302" s="1">
        <v>46111</v>
      </c>
      <c r="C2302">
        <v>26</v>
      </c>
      <c r="D2302">
        <f t="shared" si="105"/>
        <v>22.6</v>
      </c>
      <c r="E2302">
        <f t="shared" si="106"/>
        <v>5</v>
      </c>
      <c r="F2302">
        <f t="shared" si="107"/>
        <v>0.13076923076923072</v>
      </c>
    </row>
    <row r="2303" spans="1:6" x14ac:dyDescent="0.25">
      <c r="A2303" t="s">
        <v>193</v>
      </c>
      <c r="B2303" s="1">
        <v>46118</v>
      </c>
      <c r="C2303">
        <v>23</v>
      </c>
      <c r="D2303">
        <f t="shared" si="105"/>
        <v>23.2</v>
      </c>
      <c r="E2303">
        <f t="shared" si="106"/>
        <v>5</v>
      </c>
      <c r="F2303">
        <f t="shared" si="107"/>
        <v>8.6956521739130124E-3</v>
      </c>
    </row>
    <row r="2304" spans="1:6" x14ac:dyDescent="0.25">
      <c r="A2304" t="s">
        <v>193</v>
      </c>
      <c r="B2304" s="1">
        <v>46125</v>
      </c>
      <c r="C2304">
        <v>34</v>
      </c>
      <c r="D2304">
        <f t="shared" si="105"/>
        <v>24</v>
      </c>
      <c r="E2304">
        <f t="shared" si="106"/>
        <v>5</v>
      </c>
      <c r="F2304">
        <f t="shared" si="107"/>
        <v>0.29411764705882354</v>
      </c>
    </row>
    <row r="2305" spans="1:6" x14ac:dyDescent="0.25">
      <c r="A2305" t="s">
        <v>193</v>
      </c>
      <c r="B2305" s="1">
        <v>46132</v>
      </c>
      <c r="C2305">
        <v>38</v>
      </c>
      <c r="D2305">
        <f t="shared" si="105"/>
        <v>26.8</v>
      </c>
      <c r="E2305">
        <f t="shared" si="106"/>
        <v>5</v>
      </c>
      <c r="F2305">
        <f t="shared" si="107"/>
        <v>0.29473684210526313</v>
      </c>
    </row>
    <row r="2306" spans="1:6" x14ac:dyDescent="0.25">
      <c r="A2306" t="s">
        <v>193</v>
      </c>
      <c r="B2306" s="1">
        <v>46139</v>
      </c>
      <c r="C2306">
        <v>24</v>
      </c>
      <c r="D2306">
        <f t="shared" ref="D2306:D2369" si="108">IF(E2306 &lt; 5, "", AVERAGEIFS(C:C, A:A, A2306, B:B, "&gt;=" &amp; (B2306-35), B:B, "&lt;=" &amp; (B2306-7)))</f>
        <v>29</v>
      </c>
      <c r="E2306">
        <f t="shared" ref="E2306:E2369" si="109">COUNTIFS(A:A, A2306, B:B, "&gt;=" &amp; (B2306-35), B:B, "&lt;=" &amp; (B2306-7))</f>
        <v>5</v>
      </c>
      <c r="F2306">
        <f t="shared" ref="F2306:F2369" si="110">IF(OR(C2306=0, D2306=""), "", ABS(C2306 - D2306) / C2306)</f>
        <v>0.20833333333333334</v>
      </c>
    </row>
    <row r="2307" spans="1:6" x14ac:dyDescent="0.25">
      <c r="A2307" t="s">
        <v>193</v>
      </c>
      <c r="B2307" s="1">
        <v>46146</v>
      </c>
      <c r="C2307">
        <v>22</v>
      </c>
      <c r="D2307">
        <f t="shared" si="108"/>
        <v>29</v>
      </c>
      <c r="E2307">
        <f t="shared" si="109"/>
        <v>5</v>
      </c>
      <c r="F2307">
        <f t="shared" si="110"/>
        <v>0.31818181818181818</v>
      </c>
    </row>
    <row r="2308" spans="1:6" x14ac:dyDescent="0.25">
      <c r="A2308" t="s">
        <v>193</v>
      </c>
      <c r="B2308" s="1">
        <v>46153</v>
      </c>
      <c r="C2308">
        <v>34</v>
      </c>
      <c r="D2308">
        <f t="shared" si="108"/>
        <v>28.2</v>
      </c>
      <c r="E2308">
        <f t="shared" si="109"/>
        <v>5</v>
      </c>
      <c r="F2308">
        <f t="shared" si="110"/>
        <v>0.17058823529411768</v>
      </c>
    </row>
    <row r="2309" spans="1:6" x14ac:dyDescent="0.25">
      <c r="A2309" t="s">
        <v>193</v>
      </c>
      <c r="B2309" s="1">
        <v>46160</v>
      </c>
      <c r="C2309">
        <v>35</v>
      </c>
      <c r="D2309">
        <f t="shared" si="108"/>
        <v>30.4</v>
      </c>
      <c r="E2309">
        <f t="shared" si="109"/>
        <v>5</v>
      </c>
      <c r="F2309">
        <f t="shared" si="110"/>
        <v>0.13142857142857148</v>
      </c>
    </row>
    <row r="2310" spans="1:6" x14ac:dyDescent="0.25">
      <c r="A2310" t="s">
        <v>193</v>
      </c>
      <c r="B2310" s="1">
        <v>46167</v>
      </c>
      <c r="C2310">
        <v>38</v>
      </c>
      <c r="D2310">
        <f t="shared" si="108"/>
        <v>30.6</v>
      </c>
      <c r="E2310">
        <f t="shared" si="109"/>
        <v>5</v>
      </c>
      <c r="F2310">
        <f t="shared" si="110"/>
        <v>0.19473684210526312</v>
      </c>
    </row>
    <row r="2311" spans="1:6" x14ac:dyDescent="0.25">
      <c r="A2311" t="s">
        <v>193</v>
      </c>
      <c r="B2311" s="1">
        <v>46174</v>
      </c>
      <c r="C2311">
        <v>26</v>
      </c>
      <c r="D2311">
        <f t="shared" si="108"/>
        <v>30.6</v>
      </c>
      <c r="E2311">
        <f t="shared" si="109"/>
        <v>5</v>
      </c>
      <c r="F2311">
        <f t="shared" si="110"/>
        <v>0.17692307692307699</v>
      </c>
    </row>
    <row r="2312" spans="1:6" x14ac:dyDescent="0.25">
      <c r="A2312" t="s">
        <v>193</v>
      </c>
      <c r="B2312" s="1">
        <v>46181</v>
      </c>
      <c r="C2312">
        <v>30</v>
      </c>
      <c r="D2312">
        <f t="shared" si="108"/>
        <v>31</v>
      </c>
      <c r="E2312">
        <f t="shared" si="109"/>
        <v>5</v>
      </c>
      <c r="F2312">
        <f t="shared" si="110"/>
        <v>3.3333333333333333E-2</v>
      </c>
    </row>
    <row r="2313" spans="1:6" x14ac:dyDescent="0.25">
      <c r="A2313" t="s">
        <v>193</v>
      </c>
      <c r="B2313" s="1">
        <v>46188</v>
      </c>
      <c r="C2313">
        <v>21</v>
      </c>
      <c r="D2313">
        <f t="shared" si="108"/>
        <v>32.6</v>
      </c>
      <c r="E2313">
        <f t="shared" si="109"/>
        <v>5</v>
      </c>
      <c r="F2313">
        <f t="shared" si="110"/>
        <v>0.55238095238095242</v>
      </c>
    </row>
    <row r="2314" spans="1:6" x14ac:dyDescent="0.25">
      <c r="A2314" t="s">
        <v>193</v>
      </c>
      <c r="B2314" s="1">
        <v>46195</v>
      </c>
      <c r="C2314">
        <v>32</v>
      </c>
      <c r="D2314">
        <f t="shared" si="108"/>
        <v>30</v>
      </c>
      <c r="E2314">
        <f t="shared" si="109"/>
        <v>5</v>
      </c>
      <c r="F2314">
        <f t="shared" si="110"/>
        <v>6.25E-2</v>
      </c>
    </row>
    <row r="2315" spans="1:6" x14ac:dyDescent="0.25">
      <c r="A2315" t="s">
        <v>193</v>
      </c>
      <c r="B2315" s="1">
        <v>46202</v>
      </c>
      <c r="C2315">
        <v>25</v>
      </c>
      <c r="D2315">
        <f t="shared" si="108"/>
        <v>29.4</v>
      </c>
      <c r="E2315">
        <f t="shared" si="109"/>
        <v>5</v>
      </c>
      <c r="F2315">
        <f t="shared" si="110"/>
        <v>0.17599999999999993</v>
      </c>
    </row>
    <row r="2316" spans="1:6" x14ac:dyDescent="0.25">
      <c r="A2316" t="s">
        <v>195</v>
      </c>
      <c r="B2316" s="1">
        <v>46027</v>
      </c>
      <c r="C2316">
        <v>57</v>
      </c>
      <c r="D2316" t="str">
        <f t="shared" si="108"/>
        <v/>
      </c>
      <c r="E2316">
        <f t="shared" si="109"/>
        <v>0</v>
      </c>
      <c r="F2316" t="str">
        <f t="shared" si="110"/>
        <v/>
      </c>
    </row>
    <row r="2317" spans="1:6" x14ac:dyDescent="0.25">
      <c r="A2317" t="s">
        <v>195</v>
      </c>
      <c r="B2317" s="1">
        <v>46034</v>
      </c>
      <c r="C2317">
        <v>55</v>
      </c>
      <c r="D2317" t="str">
        <f t="shared" si="108"/>
        <v/>
      </c>
      <c r="E2317">
        <f t="shared" si="109"/>
        <v>1</v>
      </c>
      <c r="F2317" t="str">
        <f t="shared" si="110"/>
        <v/>
      </c>
    </row>
    <row r="2318" spans="1:6" x14ac:dyDescent="0.25">
      <c r="A2318" t="s">
        <v>195</v>
      </c>
      <c r="B2318" s="1">
        <v>46041</v>
      </c>
      <c r="C2318">
        <v>57</v>
      </c>
      <c r="D2318" t="str">
        <f t="shared" si="108"/>
        <v/>
      </c>
      <c r="E2318">
        <f t="shared" si="109"/>
        <v>2</v>
      </c>
      <c r="F2318" t="str">
        <f t="shared" si="110"/>
        <v/>
      </c>
    </row>
    <row r="2319" spans="1:6" x14ac:dyDescent="0.25">
      <c r="A2319" t="s">
        <v>195</v>
      </c>
      <c r="B2319" s="1">
        <v>46048</v>
      </c>
      <c r="C2319">
        <v>72</v>
      </c>
      <c r="D2319" t="str">
        <f t="shared" si="108"/>
        <v/>
      </c>
      <c r="E2319">
        <f t="shared" si="109"/>
        <v>3</v>
      </c>
      <c r="F2319" t="str">
        <f t="shared" si="110"/>
        <v/>
      </c>
    </row>
    <row r="2320" spans="1:6" x14ac:dyDescent="0.25">
      <c r="A2320" t="s">
        <v>195</v>
      </c>
      <c r="B2320" s="1">
        <v>46055</v>
      </c>
      <c r="C2320">
        <v>63</v>
      </c>
      <c r="D2320" t="str">
        <f t="shared" si="108"/>
        <v/>
      </c>
      <c r="E2320">
        <f t="shared" si="109"/>
        <v>4</v>
      </c>
      <c r="F2320" t="str">
        <f t="shared" si="110"/>
        <v/>
      </c>
    </row>
    <row r="2321" spans="1:6" x14ac:dyDescent="0.25">
      <c r="A2321" t="s">
        <v>195</v>
      </c>
      <c r="B2321" s="1">
        <v>46062</v>
      </c>
      <c r="C2321">
        <v>68</v>
      </c>
      <c r="D2321">
        <f t="shared" si="108"/>
        <v>60.8</v>
      </c>
      <c r="E2321">
        <f t="shared" si="109"/>
        <v>5</v>
      </c>
      <c r="F2321">
        <f t="shared" si="110"/>
        <v>0.10588235294117651</v>
      </c>
    </row>
    <row r="2322" spans="1:6" x14ac:dyDescent="0.25">
      <c r="A2322" t="s">
        <v>195</v>
      </c>
      <c r="B2322" s="1">
        <v>46069</v>
      </c>
      <c r="C2322">
        <v>73</v>
      </c>
      <c r="D2322">
        <f t="shared" si="108"/>
        <v>63</v>
      </c>
      <c r="E2322">
        <f t="shared" si="109"/>
        <v>5</v>
      </c>
      <c r="F2322">
        <f t="shared" si="110"/>
        <v>0.13698630136986301</v>
      </c>
    </row>
    <row r="2323" spans="1:6" x14ac:dyDescent="0.25">
      <c r="A2323" t="s">
        <v>195</v>
      </c>
      <c r="B2323" s="1">
        <v>46076</v>
      </c>
      <c r="C2323">
        <v>74</v>
      </c>
      <c r="D2323">
        <f t="shared" si="108"/>
        <v>66.599999999999994</v>
      </c>
      <c r="E2323">
        <f t="shared" si="109"/>
        <v>5</v>
      </c>
      <c r="F2323">
        <f t="shared" si="110"/>
        <v>0.10000000000000007</v>
      </c>
    </row>
    <row r="2324" spans="1:6" x14ac:dyDescent="0.25">
      <c r="A2324" t="s">
        <v>195</v>
      </c>
      <c r="B2324" s="1">
        <v>46083</v>
      </c>
      <c r="C2324">
        <v>81</v>
      </c>
      <c r="D2324">
        <f t="shared" si="108"/>
        <v>70</v>
      </c>
      <c r="E2324">
        <f t="shared" si="109"/>
        <v>5</v>
      </c>
      <c r="F2324">
        <f t="shared" si="110"/>
        <v>0.13580246913580246</v>
      </c>
    </row>
    <row r="2325" spans="1:6" x14ac:dyDescent="0.25">
      <c r="A2325" t="s">
        <v>195</v>
      </c>
      <c r="B2325" s="1">
        <v>46090</v>
      </c>
      <c r="C2325">
        <v>63</v>
      </c>
      <c r="D2325">
        <f t="shared" si="108"/>
        <v>71.8</v>
      </c>
      <c r="E2325">
        <f t="shared" si="109"/>
        <v>5</v>
      </c>
      <c r="F2325">
        <f t="shared" si="110"/>
        <v>0.13968253968253963</v>
      </c>
    </row>
    <row r="2326" spans="1:6" x14ac:dyDescent="0.25">
      <c r="A2326" t="s">
        <v>195</v>
      </c>
      <c r="B2326" s="1">
        <v>46097</v>
      </c>
      <c r="C2326">
        <v>80</v>
      </c>
      <c r="D2326">
        <f t="shared" si="108"/>
        <v>71.8</v>
      </c>
      <c r="E2326">
        <f t="shared" si="109"/>
        <v>5</v>
      </c>
      <c r="F2326">
        <f t="shared" si="110"/>
        <v>0.10250000000000004</v>
      </c>
    </row>
    <row r="2327" spans="1:6" x14ac:dyDescent="0.25">
      <c r="A2327" t="s">
        <v>195</v>
      </c>
      <c r="B2327" s="1">
        <v>46104</v>
      </c>
      <c r="C2327">
        <v>63</v>
      </c>
      <c r="D2327">
        <f t="shared" si="108"/>
        <v>74.2</v>
      </c>
      <c r="E2327">
        <f t="shared" si="109"/>
        <v>5</v>
      </c>
      <c r="F2327">
        <f t="shared" si="110"/>
        <v>0.17777777777777781</v>
      </c>
    </row>
    <row r="2328" spans="1:6" x14ac:dyDescent="0.25">
      <c r="A2328" t="s">
        <v>195</v>
      </c>
      <c r="B2328" s="1">
        <v>46111</v>
      </c>
      <c r="C2328">
        <v>82</v>
      </c>
      <c r="D2328">
        <f t="shared" si="108"/>
        <v>72.2</v>
      </c>
      <c r="E2328">
        <f t="shared" si="109"/>
        <v>5</v>
      </c>
      <c r="F2328">
        <f t="shared" si="110"/>
        <v>0.11951219512195119</v>
      </c>
    </row>
    <row r="2329" spans="1:6" x14ac:dyDescent="0.25">
      <c r="A2329" t="s">
        <v>195</v>
      </c>
      <c r="B2329" s="1">
        <v>46118</v>
      </c>
      <c r="C2329">
        <v>94</v>
      </c>
      <c r="D2329">
        <f t="shared" si="108"/>
        <v>73.8</v>
      </c>
      <c r="E2329">
        <f t="shared" si="109"/>
        <v>5</v>
      </c>
      <c r="F2329">
        <f t="shared" si="110"/>
        <v>0.21489361702127663</v>
      </c>
    </row>
    <row r="2330" spans="1:6" x14ac:dyDescent="0.25">
      <c r="A2330" t="s">
        <v>195</v>
      </c>
      <c r="B2330" s="1">
        <v>46125</v>
      </c>
      <c r="C2330">
        <v>66</v>
      </c>
      <c r="D2330">
        <f t="shared" si="108"/>
        <v>76.400000000000006</v>
      </c>
      <c r="E2330">
        <f t="shared" si="109"/>
        <v>5</v>
      </c>
      <c r="F2330">
        <f t="shared" si="110"/>
        <v>0.15757575757575767</v>
      </c>
    </row>
    <row r="2331" spans="1:6" x14ac:dyDescent="0.25">
      <c r="A2331" t="s">
        <v>195</v>
      </c>
      <c r="B2331" s="1">
        <v>46132</v>
      </c>
      <c r="C2331">
        <v>77</v>
      </c>
      <c r="D2331">
        <f t="shared" si="108"/>
        <v>77</v>
      </c>
      <c r="E2331">
        <f t="shared" si="109"/>
        <v>5</v>
      </c>
      <c r="F2331">
        <f t="shared" si="110"/>
        <v>0</v>
      </c>
    </row>
    <row r="2332" spans="1:6" x14ac:dyDescent="0.25">
      <c r="A2332" t="s">
        <v>195</v>
      </c>
      <c r="B2332" s="1">
        <v>46139</v>
      </c>
      <c r="C2332">
        <v>67</v>
      </c>
      <c r="D2332">
        <f t="shared" si="108"/>
        <v>76.400000000000006</v>
      </c>
      <c r="E2332">
        <f t="shared" si="109"/>
        <v>5</v>
      </c>
      <c r="F2332">
        <f t="shared" si="110"/>
        <v>0.14029850746268666</v>
      </c>
    </row>
    <row r="2333" spans="1:6" x14ac:dyDescent="0.25">
      <c r="A2333" t="s">
        <v>195</v>
      </c>
      <c r="B2333" s="1">
        <v>46146</v>
      </c>
      <c r="C2333">
        <v>77</v>
      </c>
      <c r="D2333">
        <f t="shared" si="108"/>
        <v>77.2</v>
      </c>
      <c r="E2333">
        <f t="shared" si="109"/>
        <v>5</v>
      </c>
      <c r="F2333">
        <f t="shared" si="110"/>
        <v>2.5974025974026343E-3</v>
      </c>
    </row>
    <row r="2334" spans="1:6" x14ac:dyDescent="0.25">
      <c r="A2334" t="s">
        <v>195</v>
      </c>
      <c r="B2334" s="1">
        <v>46153</v>
      </c>
      <c r="C2334">
        <v>89</v>
      </c>
      <c r="D2334">
        <f t="shared" si="108"/>
        <v>76.2</v>
      </c>
      <c r="E2334">
        <f t="shared" si="109"/>
        <v>5</v>
      </c>
      <c r="F2334">
        <f t="shared" si="110"/>
        <v>0.14382022471910108</v>
      </c>
    </row>
    <row r="2335" spans="1:6" x14ac:dyDescent="0.25">
      <c r="A2335" t="s">
        <v>195</v>
      </c>
      <c r="B2335" s="1">
        <v>46160</v>
      </c>
      <c r="C2335">
        <v>86</v>
      </c>
      <c r="D2335">
        <f t="shared" si="108"/>
        <v>75.2</v>
      </c>
      <c r="E2335">
        <f t="shared" si="109"/>
        <v>5</v>
      </c>
      <c r="F2335">
        <f t="shared" si="110"/>
        <v>0.12558139534883717</v>
      </c>
    </row>
    <row r="2336" spans="1:6" x14ac:dyDescent="0.25">
      <c r="A2336" t="s">
        <v>195</v>
      </c>
      <c r="B2336" s="1">
        <v>46167</v>
      </c>
      <c r="C2336">
        <v>84</v>
      </c>
      <c r="D2336">
        <f t="shared" si="108"/>
        <v>79.2</v>
      </c>
      <c r="E2336">
        <f t="shared" si="109"/>
        <v>5</v>
      </c>
      <c r="F2336">
        <f t="shared" si="110"/>
        <v>5.7142857142857106E-2</v>
      </c>
    </row>
    <row r="2337" spans="1:6" x14ac:dyDescent="0.25">
      <c r="A2337" t="s">
        <v>195</v>
      </c>
      <c r="B2337" s="1">
        <v>46174</v>
      </c>
      <c r="C2337">
        <v>82</v>
      </c>
      <c r="D2337">
        <f t="shared" si="108"/>
        <v>80.599999999999994</v>
      </c>
      <c r="E2337">
        <f t="shared" si="109"/>
        <v>5</v>
      </c>
      <c r="F2337">
        <f t="shared" si="110"/>
        <v>1.7073170731707388E-2</v>
      </c>
    </row>
    <row r="2338" spans="1:6" x14ac:dyDescent="0.25">
      <c r="A2338" t="s">
        <v>195</v>
      </c>
      <c r="B2338" s="1">
        <v>46181</v>
      </c>
      <c r="C2338">
        <v>80</v>
      </c>
      <c r="D2338">
        <f t="shared" si="108"/>
        <v>83.6</v>
      </c>
      <c r="E2338">
        <f t="shared" si="109"/>
        <v>5</v>
      </c>
      <c r="F2338">
        <f t="shared" si="110"/>
        <v>4.4999999999999929E-2</v>
      </c>
    </row>
    <row r="2339" spans="1:6" x14ac:dyDescent="0.25">
      <c r="A2339" t="s">
        <v>195</v>
      </c>
      <c r="B2339" s="1">
        <v>46188</v>
      </c>
      <c r="C2339">
        <v>81</v>
      </c>
      <c r="D2339">
        <f t="shared" si="108"/>
        <v>84.2</v>
      </c>
      <c r="E2339">
        <f t="shared" si="109"/>
        <v>5</v>
      </c>
      <c r="F2339">
        <f t="shared" si="110"/>
        <v>3.9506172839506207E-2</v>
      </c>
    </row>
    <row r="2340" spans="1:6" x14ac:dyDescent="0.25">
      <c r="A2340" t="s">
        <v>195</v>
      </c>
      <c r="B2340" s="1">
        <v>46195</v>
      </c>
      <c r="C2340">
        <v>88</v>
      </c>
      <c r="D2340">
        <f t="shared" si="108"/>
        <v>82.6</v>
      </c>
      <c r="E2340">
        <f t="shared" si="109"/>
        <v>5</v>
      </c>
      <c r="F2340">
        <f t="shared" si="110"/>
        <v>6.1363636363636426E-2</v>
      </c>
    </row>
    <row r="2341" spans="1:6" x14ac:dyDescent="0.25">
      <c r="A2341" t="s">
        <v>195</v>
      </c>
      <c r="B2341" s="1">
        <v>46202</v>
      </c>
      <c r="C2341">
        <v>101</v>
      </c>
      <c r="D2341">
        <f t="shared" si="108"/>
        <v>83</v>
      </c>
      <c r="E2341">
        <f t="shared" si="109"/>
        <v>5</v>
      </c>
      <c r="F2341">
        <f t="shared" si="110"/>
        <v>0.17821782178217821</v>
      </c>
    </row>
    <row r="2342" spans="1:6" x14ac:dyDescent="0.25">
      <c r="A2342" t="s">
        <v>197</v>
      </c>
      <c r="B2342" s="1">
        <v>46027</v>
      </c>
      <c r="C2342">
        <v>24</v>
      </c>
      <c r="D2342" t="str">
        <f t="shared" si="108"/>
        <v/>
      </c>
      <c r="E2342">
        <f t="shared" si="109"/>
        <v>0</v>
      </c>
      <c r="F2342" t="str">
        <f t="shared" si="110"/>
        <v/>
      </c>
    </row>
    <row r="2343" spans="1:6" x14ac:dyDescent="0.25">
      <c r="A2343" t="s">
        <v>197</v>
      </c>
      <c r="B2343" s="1">
        <v>46034</v>
      </c>
      <c r="C2343">
        <v>22</v>
      </c>
      <c r="D2343" t="str">
        <f t="shared" si="108"/>
        <v/>
      </c>
      <c r="E2343">
        <f t="shared" si="109"/>
        <v>1</v>
      </c>
      <c r="F2343" t="str">
        <f t="shared" si="110"/>
        <v/>
      </c>
    </row>
    <row r="2344" spans="1:6" x14ac:dyDescent="0.25">
      <c r="A2344" t="s">
        <v>197</v>
      </c>
      <c r="B2344" s="1">
        <v>46041</v>
      </c>
      <c r="C2344">
        <v>24</v>
      </c>
      <c r="D2344" t="str">
        <f t="shared" si="108"/>
        <v/>
      </c>
      <c r="E2344">
        <f t="shared" si="109"/>
        <v>2</v>
      </c>
      <c r="F2344" t="str">
        <f t="shared" si="110"/>
        <v/>
      </c>
    </row>
    <row r="2345" spans="1:6" x14ac:dyDescent="0.25">
      <c r="A2345" t="s">
        <v>197</v>
      </c>
      <c r="B2345" s="1">
        <v>46048</v>
      </c>
      <c r="C2345">
        <v>22</v>
      </c>
      <c r="D2345" t="str">
        <f t="shared" si="108"/>
        <v/>
      </c>
      <c r="E2345">
        <f t="shared" si="109"/>
        <v>3</v>
      </c>
      <c r="F2345" t="str">
        <f t="shared" si="110"/>
        <v/>
      </c>
    </row>
    <row r="2346" spans="1:6" x14ac:dyDescent="0.25">
      <c r="A2346" t="s">
        <v>197</v>
      </c>
      <c r="B2346" s="1">
        <v>46055</v>
      </c>
      <c r="C2346">
        <v>25</v>
      </c>
      <c r="D2346" t="str">
        <f t="shared" si="108"/>
        <v/>
      </c>
      <c r="E2346">
        <f t="shared" si="109"/>
        <v>4</v>
      </c>
      <c r="F2346" t="str">
        <f t="shared" si="110"/>
        <v/>
      </c>
    </row>
    <row r="2347" spans="1:6" x14ac:dyDescent="0.25">
      <c r="A2347" t="s">
        <v>197</v>
      </c>
      <c r="B2347" s="1">
        <v>46062</v>
      </c>
      <c r="C2347">
        <v>29</v>
      </c>
      <c r="D2347">
        <f t="shared" si="108"/>
        <v>23.4</v>
      </c>
      <c r="E2347">
        <f t="shared" si="109"/>
        <v>5</v>
      </c>
      <c r="F2347">
        <f t="shared" si="110"/>
        <v>0.19310344827586212</v>
      </c>
    </row>
    <row r="2348" spans="1:6" x14ac:dyDescent="0.25">
      <c r="A2348" t="s">
        <v>197</v>
      </c>
      <c r="B2348" s="1">
        <v>46069</v>
      </c>
      <c r="C2348">
        <v>27</v>
      </c>
      <c r="D2348">
        <f t="shared" si="108"/>
        <v>24.4</v>
      </c>
      <c r="E2348">
        <f t="shared" si="109"/>
        <v>5</v>
      </c>
      <c r="F2348">
        <f t="shared" si="110"/>
        <v>9.6296296296296352E-2</v>
      </c>
    </row>
    <row r="2349" spans="1:6" x14ac:dyDescent="0.25">
      <c r="A2349" t="s">
        <v>197</v>
      </c>
      <c r="B2349" s="1">
        <v>46076</v>
      </c>
      <c r="C2349">
        <v>32</v>
      </c>
      <c r="D2349">
        <f t="shared" si="108"/>
        <v>25.4</v>
      </c>
      <c r="E2349">
        <f t="shared" si="109"/>
        <v>5</v>
      </c>
      <c r="F2349">
        <f t="shared" si="110"/>
        <v>0.20625000000000004</v>
      </c>
    </row>
    <row r="2350" spans="1:6" x14ac:dyDescent="0.25">
      <c r="A2350" t="s">
        <v>197</v>
      </c>
      <c r="B2350" s="1">
        <v>46083</v>
      </c>
      <c r="C2350">
        <v>34</v>
      </c>
      <c r="D2350">
        <f t="shared" si="108"/>
        <v>27</v>
      </c>
      <c r="E2350">
        <f t="shared" si="109"/>
        <v>5</v>
      </c>
      <c r="F2350">
        <f t="shared" si="110"/>
        <v>0.20588235294117646</v>
      </c>
    </row>
    <row r="2351" spans="1:6" x14ac:dyDescent="0.25">
      <c r="A2351" t="s">
        <v>197</v>
      </c>
      <c r="B2351" s="1">
        <v>46090</v>
      </c>
      <c r="C2351">
        <v>27</v>
      </c>
      <c r="D2351">
        <f t="shared" si="108"/>
        <v>29.4</v>
      </c>
      <c r="E2351">
        <f t="shared" si="109"/>
        <v>5</v>
      </c>
      <c r="F2351">
        <f t="shared" si="110"/>
        <v>8.8888888888888837E-2</v>
      </c>
    </row>
    <row r="2352" spans="1:6" x14ac:dyDescent="0.25">
      <c r="A2352" t="s">
        <v>197</v>
      </c>
      <c r="B2352" s="1">
        <v>46097</v>
      </c>
      <c r="C2352">
        <v>27</v>
      </c>
      <c r="D2352">
        <f t="shared" si="108"/>
        <v>29.8</v>
      </c>
      <c r="E2352">
        <f t="shared" si="109"/>
        <v>5</v>
      </c>
      <c r="F2352">
        <f t="shared" si="110"/>
        <v>0.10370370370370373</v>
      </c>
    </row>
    <row r="2353" spans="1:6" x14ac:dyDescent="0.25">
      <c r="A2353" t="s">
        <v>197</v>
      </c>
      <c r="B2353" s="1">
        <v>46104</v>
      </c>
      <c r="C2353">
        <v>30</v>
      </c>
      <c r="D2353">
        <f t="shared" si="108"/>
        <v>29.4</v>
      </c>
      <c r="E2353">
        <f t="shared" si="109"/>
        <v>5</v>
      </c>
      <c r="F2353">
        <f t="shared" si="110"/>
        <v>2.0000000000000049E-2</v>
      </c>
    </row>
    <row r="2354" spans="1:6" x14ac:dyDescent="0.25">
      <c r="A2354" t="s">
        <v>197</v>
      </c>
      <c r="B2354" s="1">
        <v>46111</v>
      </c>
      <c r="C2354">
        <v>30</v>
      </c>
      <c r="D2354">
        <f t="shared" si="108"/>
        <v>30</v>
      </c>
      <c r="E2354">
        <f t="shared" si="109"/>
        <v>5</v>
      </c>
      <c r="F2354">
        <f t="shared" si="110"/>
        <v>0</v>
      </c>
    </row>
    <row r="2355" spans="1:6" x14ac:dyDescent="0.25">
      <c r="A2355" t="s">
        <v>197</v>
      </c>
      <c r="B2355" s="1">
        <v>46118</v>
      </c>
      <c r="C2355">
        <v>32</v>
      </c>
      <c r="D2355">
        <f t="shared" si="108"/>
        <v>29.6</v>
      </c>
      <c r="E2355">
        <f t="shared" si="109"/>
        <v>5</v>
      </c>
      <c r="F2355">
        <f t="shared" si="110"/>
        <v>7.4999999999999956E-2</v>
      </c>
    </row>
    <row r="2356" spans="1:6" x14ac:dyDescent="0.25">
      <c r="A2356" t="s">
        <v>197</v>
      </c>
      <c r="B2356" s="1">
        <v>46125</v>
      </c>
      <c r="C2356">
        <v>30</v>
      </c>
      <c r="D2356">
        <f t="shared" si="108"/>
        <v>29.2</v>
      </c>
      <c r="E2356">
        <f t="shared" si="109"/>
        <v>5</v>
      </c>
      <c r="F2356">
        <f t="shared" si="110"/>
        <v>2.6666666666666689E-2</v>
      </c>
    </row>
    <row r="2357" spans="1:6" x14ac:dyDescent="0.25">
      <c r="A2357" t="s">
        <v>197</v>
      </c>
      <c r="B2357" s="1">
        <v>46132</v>
      </c>
      <c r="C2357">
        <v>31</v>
      </c>
      <c r="D2357">
        <f t="shared" si="108"/>
        <v>29.8</v>
      </c>
      <c r="E2357">
        <f t="shared" si="109"/>
        <v>5</v>
      </c>
      <c r="F2357">
        <f t="shared" si="110"/>
        <v>3.8709677419354813E-2</v>
      </c>
    </row>
    <row r="2358" spans="1:6" x14ac:dyDescent="0.25">
      <c r="A2358" t="s">
        <v>197</v>
      </c>
      <c r="B2358" s="1">
        <v>46139</v>
      </c>
      <c r="C2358">
        <v>29</v>
      </c>
      <c r="D2358">
        <f t="shared" si="108"/>
        <v>30.6</v>
      </c>
      <c r="E2358">
        <f t="shared" si="109"/>
        <v>5</v>
      </c>
      <c r="F2358">
        <f t="shared" si="110"/>
        <v>5.5172413793103496E-2</v>
      </c>
    </row>
    <row r="2359" spans="1:6" x14ac:dyDescent="0.25">
      <c r="A2359" t="s">
        <v>197</v>
      </c>
      <c r="B2359" s="1">
        <v>46146</v>
      </c>
      <c r="C2359">
        <v>34</v>
      </c>
      <c r="D2359">
        <f t="shared" si="108"/>
        <v>30.4</v>
      </c>
      <c r="E2359">
        <f t="shared" si="109"/>
        <v>5</v>
      </c>
      <c r="F2359">
        <f t="shared" si="110"/>
        <v>0.10588235294117651</v>
      </c>
    </row>
    <row r="2360" spans="1:6" x14ac:dyDescent="0.25">
      <c r="A2360" t="s">
        <v>197</v>
      </c>
      <c r="B2360" s="1">
        <v>46153</v>
      </c>
      <c r="C2360">
        <v>35</v>
      </c>
      <c r="D2360">
        <f t="shared" si="108"/>
        <v>31.2</v>
      </c>
      <c r="E2360">
        <f t="shared" si="109"/>
        <v>5</v>
      </c>
      <c r="F2360">
        <f t="shared" si="110"/>
        <v>0.1085714285714286</v>
      </c>
    </row>
    <row r="2361" spans="1:6" x14ac:dyDescent="0.25">
      <c r="A2361" t="s">
        <v>197</v>
      </c>
      <c r="B2361" s="1">
        <v>46160</v>
      </c>
      <c r="C2361">
        <v>33</v>
      </c>
      <c r="D2361">
        <f t="shared" si="108"/>
        <v>31.8</v>
      </c>
      <c r="E2361">
        <f t="shared" si="109"/>
        <v>5</v>
      </c>
      <c r="F2361">
        <f t="shared" si="110"/>
        <v>3.6363636363636341E-2</v>
      </c>
    </row>
    <row r="2362" spans="1:6" x14ac:dyDescent="0.25">
      <c r="A2362" t="s">
        <v>197</v>
      </c>
      <c r="B2362" s="1">
        <v>46167</v>
      </c>
      <c r="C2362">
        <v>35</v>
      </c>
      <c r="D2362">
        <f t="shared" si="108"/>
        <v>32.4</v>
      </c>
      <c r="E2362">
        <f t="shared" si="109"/>
        <v>5</v>
      </c>
      <c r="F2362">
        <f t="shared" si="110"/>
        <v>7.428571428571433E-2</v>
      </c>
    </row>
    <row r="2363" spans="1:6" x14ac:dyDescent="0.25">
      <c r="A2363" t="s">
        <v>197</v>
      </c>
      <c r="B2363" s="1">
        <v>46174</v>
      </c>
      <c r="C2363">
        <v>33</v>
      </c>
      <c r="D2363">
        <f t="shared" si="108"/>
        <v>33.200000000000003</v>
      </c>
      <c r="E2363">
        <f t="shared" si="109"/>
        <v>5</v>
      </c>
      <c r="F2363">
        <f t="shared" si="110"/>
        <v>6.0606060606061465E-3</v>
      </c>
    </row>
    <row r="2364" spans="1:6" x14ac:dyDescent="0.25">
      <c r="A2364" t="s">
        <v>197</v>
      </c>
      <c r="B2364" s="1">
        <v>46181</v>
      </c>
      <c r="C2364">
        <v>36</v>
      </c>
      <c r="D2364">
        <f t="shared" si="108"/>
        <v>34</v>
      </c>
      <c r="E2364">
        <f t="shared" si="109"/>
        <v>5</v>
      </c>
      <c r="F2364">
        <f t="shared" si="110"/>
        <v>5.5555555555555552E-2</v>
      </c>
    </row>
    <row r="2365" spans="1:6" x14ac:dyDescent="0.25">
      <c r="A2365" t="s">
        <v>197</v>
      </c>
      <c r="B2365" s="1">
        <v>46188</v>
      </c>
      <c r="C2365">
        <v>32</v>
      </c>
      <c r="D2365">
        <f t="shared" si="108"/>
        <v>34.4</v>
      </c>
      <c r="E2365">
        <f t="shared" si="109"/>
        <v>5</v>
      </c>
      <c r="F2365">
        <f t="shared" si="110"/>
        <v>7.4999999999999956E-2</v>
      </c>
    </row>
    <row r="2366" spans="1:6" x14ac:dyDescent="0.25">
      <c r="A2366" t="s">
        <v>197</v>
      </c>
      <c r="B2366" s="1">
        <v>46195</v>
      </c>
      <c r="C2366">
        <v>32</v>
      </c>
      <c r="D2366">
        <f t="shared" si="108"/>
        <v>33.799999999999997</v>
      </c>
      <c r="E2366">
        <f t="shared" si="109"/>
        <v>5</v>
      </c>
      <c r="F2366">
        <f t="shared" si="110"/>
        <v>5.6249999999999911E-2</v>
      </c>
    </row>
    <row r="2367" spans="1:6" x14ac:dyDescent="0.25">
      <c r="A2367" t="s">
        <v>197</v>
      </c>
      <c r="B2367" s="1">
        <v>46202</v>
      </c>
      <c r="C2367">
        <v>34</v>
      </c>
      <c r="D2367">
        <f t="shared" si="108"/>
        <v>33.6</v>
      </c>
      <c r="E2367">
        <f t="shared" si="109"/>
        <v>5</v>
      </c>
      <c r="F2367">
        <f t="shared" si="110"/>
        <v>1.1764705882352899E-2</v>
      </c>
    </row>
    <row r="2368" spans="1:6" x14ac:dyDescent="0.25">
      <c r="A2368" t="s">
        <v>199</v>
      </c>
      <c r="B2368" s="1">
        <v>46027</v>
      </c>
      <c r="C2368">
        <v>54</v>
      </c>
      <c r="D2368" t="str">
        <f t="shared" si="108"/>
        <v/>
      </c>
      <c r="E2368">
        <f t="shared" si="109"/>
        <v>0</v>
      </c>
      <c r="F2368" t="str">
        <f t="shared" si="110"/>
        <v/>
      </c>
    </row>
    <row r="2369" spans="1:6" x14ac:dyDescent="0.25">
      <c r="A2369" t="s">
        <v>199</v>
      </c>
      <c r="B2369" s="1">
        <v>46034</v>
      </c>
      <c r="C2369">
        <v>46</v>
      </c>
      <c r="D2369" t="str">
        <f t="shared" si="108"/>
        <v/>
      </c>
      <c r="E2369">
        <f t="shared" si="109"/>
        <v>1</v>
      </c>
      <c r="F2369" t="str">
        <f t="shared" si="110"/>
        <v/>
      </c>
    </row>
    <row r="2370" spans="1:6" x14ac:dyDescent="0.25">
      <c r="A2370" t="s">
        <v>199</v>
      </c>
      <c r="B2370" s="1">
        <v>46041</v>
      </c>
      <c r="C2370">
        <v>45</v>
      </c>
      <c r="D2370" t="str">
        <f t="shared" ref="D2370:D2433" si="111">IF(E2370 &lt; 5, "", AVERAGEIFS(C:C, A:A, A2370, B:B, "&gt;=" &amp; (B2370-35), B:B, "&lt;=" &amp; (B2370-7)))</f>
        <v/>
      </c>
      <c r="E2370">
        <f t="shared" ref="E2370:E2433" si="112">COUNTIFS(A:A, A2370, B:B, "&gt;=" &amp; (B2370-35), B:B, "&lt;=" &amp; (B2370-7))</f>
        <v>2</v>
      </c>
      <c r="F2370" t="str">
        <f t="shared" ref="F2370:F2433" si="113">IF(OR(C2370=0, D2370=""), "", ABS(C2370 - D2370) / C2370)</f>
        <v/>
      </c>
    </row>
    <row r="2371" spans="1:6" x14ac:dyDescent="0.25">
      <c r="A2371" t="s">
        <v>199</v>
      </c>
      <c r="B2371" s="1">
        <v>46048</v>
      </c>
      <c r="C2371">
        <v>49</v>
      </c>
      <c r="D2371" t="str">
        <f t="shared" si="111"/>
        <v/>
      </c>
      <c r="E2371">
        <f t="shared" si="112"/>
        <v>3</v>
      </c>
      <c r="F2371" t="str">
        <f t="shared" si="113"/>
        <v/>
      </c>
    </row>
    <row r="2372" spans="1:6" x14ac:dyDescent="0.25">
      <c r="A2372" t="s">
        <v>199</v>
      </c>
      <c r="B2372" s="1">
        <v>46055</v>
      </c>
      <c r="C2372">
        <v>50</v>
      </c>
      <c r="D2372" t="str">
        <f t="shared" si="111"/>
        <v/>
      </c>
      <c r="E2372">
        <f t="shared" si="112"/>
        <v>4</v>
      </c>
      <c r="F2372" t="str">
        <f t="shared" si="113"/>
        <v/>
      </c>
    </row>
    <row r="2373" spans="1:6" x14ac:dyDescent="0.25">
      <c r="A2373" t="s">
        <v>199</v>
      </c>
      <c r="B2373" s="1">
        <v>46062</v>
      </c>
      <c r="C2373">
        <v>43</v>
      </c>
      <c r="D2373">
        <f t="shared" si="111"/>
        <v>48.8</v>
      </c>
      <c r="E2373">
        <f t="shared" si="112"/>
        <v>5</v>
      </c>
      <c r="F2373">
        <f t="shared" si="113"/>
        <v>0.13488372093023249</v>
      </c>
    </row>
    <row r="2374" spans="1:6" x14ac:dyDescent="0.25">
      <c r="A2374" t="s">
        <v>199</v>
      </c>
      <c r="B2374" s="1">
        <v>46069</v>
      </c>
      <c r="C2374">
        <v>48</v>
      </c>
      <c r="D2374">
        <f t="shared" si="111"/>
        <v>46.6</v>
      </c>
      <c r="E2374">
        <f t="shared" si="112"/>
        <v>5</v>
      </c>
      <c r="F2374">
        <f t="shared" si="113"/>
        <v>2.9166666666666636E-2</v>
      </c>
    </row>
    <row r="2375" spans="1:6" x14ac:dyDescent="0.25">
      <c r="A2375" t="s">
        <v>199</v>
      </c>
      <c r="B2375" s="1">
        <v>46076</v>
      </c>
      <c r="C2375">
        <v>60</v>
      </c>
      <c r="D2375">
        <f t="shared" si="111"/>
        <v>47</v>
      </c>
      <c r="E2375">
        <f t="shared" si="112"/>
        <v>5</v>
      </c>
      <c r="F2375">
        <f t="shared" si="113"/>
        <v>0.21666666666666667</v>
      </c>
    </row>
    <row r="2376" spans="1:6" x14ac:dyDescent="0.25">
      <c r="A2376" t="s">
        <v>199</v>
      </c>
      <c r="B2376" s="1">
        <v>46083</v>
      </c>
      <c r="C2376">
        <v>35</v>
      </c>
      <c r="D2376">
        <f t="shared" si="111"/>
        <v>50</v>
      </c>
      <c r="E2376">
        <f t="shared" si="112"/>
        <v>5</v>
      </c>
      <c r="F2376">
        <f t="shared" si="113"/>
        <v>0.42857142857142855</v>
      </c>
    </row>
    <row r="2377" spans="1:6" x14ac:dyDescent="0.25">
      <c r="A2377" t="s">
        <v>199</v>
      </c>
      <c r="B2377" s="1">
        <v>46090</v>
      </c>
      <c r="C2377">
        <v>38</v>
      </c>
      <c r="D2377">
        <f t="shared" si="111"/>
        <v>47.2</v>
      </c>
      <c r="E2377">
        <f t="shared" si="112"/>
        <v>5</v>
      </c>
      <c r="F2377">
        <f t="shared" si="113"/>
        <v>0.24210526315789482</v>
      </c>
    </row>
    <row r="2378" spans="1:6" x14ac:dyDescent="0.25">
      <c r="A2378" t="s">
        <v>199</v>
      </c>
      <c r="B2378" s="1">
        <v>46097</v>
      </c>
      <c r="C2378">
        <v>41</v>
      </c>
      <c r="D2378">
        <f t="shared" si="111"/>
        <v>44.8</v>
      </c>
      <c r="E2378">
        <f t="shared" si="112"/>
        <v>5</v>
      </c>
      <c r="F2378">
        <f t="shared" si="113"/>
        <v>9.2682926829268222E-2</v>
      </c>
    </row>
    <row r="2379" spans="1:6" x14ac:dyDescent="0.25">
      <c r="A2379" t="s">
        <v>199</v>
      </c>
      <c r="B2379" s="1">
        <v>46104</v>
      </c>
      <c r="C2379">
        <v>53</v>
      </c>
      <c r="D2379">
        <f t="shared" si="111"/>
        <v>44.4</v>
      </c>
      <c r="E2379">
        <f t="shared" si="112"/>
        <v>5</v>
      </c>
      <c r="F2379">
        <f t="shared" si="113"/>
        <v>0.16226415094339625</v>
      </c>
    </row>
    <row r="2380" spans="1:6" x14ac:dyDescent="0.25">
      <c r="A2380" t="s">
        <v>199</v>
      </c>
      <c r="B2380" s="1">
        <v>46111</v>
      </c>
      <c r="C2380">
        <v>57</v>
      </c>
      <c r="D2380">
        <f t="shared" si="111"/>
        <v>45.4</v>
      </c>
      <c r="E2380">
        <f t="shared" si="112"/>
        <v>5</v>
      </c>
      <c r="F2380">
        <f t="shared" si="113"/>
        <v>0.20350877192982458</v>
      </c>
    </row>
    <row r="2381" spans="1:6" x14ac:dyDescent="0.25">
      <c r="A2381" t="s">
        <v>199</v>
      </c>
      <c r="B2381" s="1">
        <v>46118</v>
      </c>
      <c r="C2381">
        <v>47</v>
      </c>
      <c r="D2381">
        <f t="shared" si="111"/>
        <v>44.8</v>
      </c>
      <c r="E2381">
        <f t="shared" si="112"/>
        <v>5</v>
      </c>
      <c r="F2381">
        <f t="shared" si="113"/>
        <v>4.6808510638297933E-2</v>
      </c>
    </row>
    <row r="2382" spans="1:6" x14ac:dyDescent="0.25">
      <c r="A2382" t="s">
        <v>199</v>
      </c>
      <c r="B2382" s="1">
        <v>46125</v>
      </c>
      <c r="C2382">
        <v>54</v>
      </c>
      <c r="D2382">
        <f t="shared" si="111"/>
        <v>47.2</v>
      </c>
      <c r="E2382">
        <f t="shared" si="112"/>
        <v>5</v>
      </c>
      <c r="F2382">
        <f t="shared" si="113"/>
        <v>0.12592592592592589</v>
      </c>
    </row>
    <row r="2383" spans="1:6" x14ac:dyDescent="0.25">
      <c r="A2383" t="s">
        <v>199</v>
      </c>
      <c r="B2383" s="1">
        <v>46132</v>
      </c>
      <c r="C2383">
        <v>50</v>
      </c>
      <c r="D2383">
        <f t="shared" si="111"/>
        <v>50.4</v>
      </c>
      <c r="E2383">
        <f t="shared" si="112"/>
        <v>5</v>
      </c>
      <c r="F2383">
        <f t="shared" si="113"/>
        <v>7.9999999999999724E-3</v>
      </c>
    </row>
    <row r="2384" spans="1:6" x14ac:dyDescent="0.25">
      <c r="A2384" t="s">
        <v>199</v>
      </c>
      <c r="B2384" s="1">
        <v>46139</v>
      </c>
      <c r="C2384">
        <v>53</v>
      </c>
      <c r="D2384">
        <f t="shared" si="111"/>
        <v>52.2</v>
      </c>
      <c r="E2384">
        <f t="shared" si="112"/>
        <v>5</v>
      </c>
      <c r="F2384">
        <f t="shared" si="113"/>
        <v>1.5094339622641456E-2</v>
      </c>
    </row>
    <row r="2385" spans="1:6" x14ac:dyDescent="0.25">
      <c r="A2385" t="s">
        <v>199</v>
      </c>
      <c r="B2385" s="1">
        <v>46146</v>
      </c>
      <c r="C2385">
        <v>48</v>
      </c>
      <c r="D2385">
        <f t="shared" si="111"/>
        <v>52.2</v>
      </c>
      <c r="E2385">
        <f t="shared" si="112"/>
        <v>5</v>
      </c>
      <c r="F2385">
        <f t="shared" si="113"/>
        <v>8.7500000000000064E-2</v>
      </c>
    </row>
    <row r="2386" spans="1:6" x14ac:dyDescent="0.25">
      <c r="A2386" t="s">
        <v>199</v>
      </c>
      <c r="B2386" s="1">
        <v>46153</v>
      </c>
      <c r="C2386">
        <v>52</v>
      </c>
      <c r="D2386">
        <f t="shared" si="111"/>
        <v>50.4</v>
      </c>
      <c r="E2386">
        <f t="shared" si="112"/>
        <v>5</v>
      </c>
      <c r="F2386">
        <f t="shared" si="113"/>
        <v>3.0769230769230795E-2</v>
      </c>
    </row>
    <row r="2387" spans="1:6" x14ac:dyDescent="0.25">
      <c r="A2387" t="s">
        <v>199</v>
      </c>
      <c r="B2387" s="1">
        <v>46160</v>
      </c>
      <c r="C2387">
        <v>53</v>
      </c>
      <c r="D2387">
        <f t="shared" si="111"/>
        <v>51.4</v>
      </c>
      <c r="E2387">
        <f t="shared" si="112"/>
        <v>5</v>
      </c>
      <c r="F2387">
        <f t="shared" si="113"/>
        <v>3.0188679245283047E-2</v>
      </c>
    </row>
    <row r="2388" spans="1:6" x14ac:dyDescent="0.25">
      <c r="A2388" t="s">
        <v>199</v>
      </c>
      <c r="B2388" s="1">
        <v>46167</v>
      </c>
      <c r="C2388">
        <v>61</v>
      </c>
      <c r="D2388">
        <f t="shared" si="111"/>
        <v>51.2</v>
      </c>
      <c r="E2388">
        <f t="shared" si="112"/>
        <v>5</v>
      </c>
      <c r="F2388">
        <f t="shared" si="113"/>
        <v>0.16065573770491798</v>
      </c>
    </row>
    <row r="2389" spans="1:6" x14ac:dyDescent="0.25">
      <c r="A2389" t="s">
        <v>199</v>
      </c>
      <c r="B2389" s="1">
        <v>46174</v>
      </c>
      <c r="C2389">
        <v>68</v>
      </c>
      <c r="D2389">
        <f t="shared" si="111"/>
        <v>53.4</v>
      </c>
      <c r="E2389">
        <f t="shared" si="112"/>
        <v>5</v>
      </c>
      <c r="F2389">
        <f t="shared" si="113"/>
        <v>0.21470588235294119</v>
      </c>
    </row>
    <row r="2390" spans="1:6" x14ac:dyDescent="0.25">
      <c r="A2390" t="s">
        <v>199</v>
      </c>
      <c r="B2390" s="1">
        <v>46181</v>
      </c>
      <c r="C2390">
        <v>43</v>
      </c>
      <c r="D2390">
        <f t="shared" si="111"/>
        <v>56.4</v>
      </c>
      <c r="E2390">
        <f t="shared" si="112"/>
        <v>5</v>
      </c>
      <c r="F2390">
        <f t="shared" si="113"/>
        <v>0.31162790697674414</v>
      </c>
    </row>
    <row r="2391" spans="1:6" x14ac:dyDescent="0.25">
      <c r="A2391" t="s">
        <v>199</v>
      </c>
      <c r="B2391" s="1">
        <v>46188</v>
      </c>
      <c r="C2391">
        <v>58</v>
      </c>
      <c r="D2391">
        <f t="shared" si="111"/>
        <v>55.4</v>
      </c>
      <c r="E2391">
        <f t="shared" si="112"/>
        <v>5</v>
      </c>
      <c r="F2391">
        <f t="shared" si="113"/>
        <v>4.4827586206896579E-2</v>
      </c>
    </row>
    <row r="2392" spans="1:6" x14ac:dyDescent="0.25">
      <c r="A2392" t="s">
        <v>199</v>
      </c>
      <c r="B2392" s="1">
        <v>46195</v>
      </c>
      <c r="C2392">
        <v>56</v>
      </c>
      <c r="D2392">
        <f t="shared" si="111"/>
        <v>56.6</v>
      </c>
      <c r="E2392">
        <f t="shared" si="112"/>
        <v>5</v>
      </c>
      <c r="F2392">
        <f t="shared" si="113"/>
        <v>1.071428571428574E-2</v>
      </c>
    </row>
    <row r="2393" spans="1:6" x14ac:dyDescent="0.25">
      <c r="A2393" t="s">
        <v>199</v>
      </c>
      <c r="B2393" s="1">
        <v>46202</v>
      </c>
      <c r="C2393">
        <v>62</v>
      </c>
      <c r="D2393">
        <f t="shared" si="111"/>
        <v>57.2</v>
      </c>
      <c r="E2393">
        <f t="shared" si="112"/>
        <v>5</v>
      </c>
      <c r="F2393">
        <f t="shared" si="113"/>
        <v>7.7419354838709625E-2</v>
      </c>
    </row>
    <row r="2394" spans="1:6" x14ac:dyDescent="0.25">
      <c r="A2394" t="s">
        <v>201</v>
      </c>
      <c r="B2394" s="1">
        <v>46027</v>
      </c>
      <c r="C2394">
        <v>26</v>
      </c>
      <c r="D2394" t="str">
        <f t="shared" si="111"/>
        <v/>
      </c>
      <c r="E2394">
        <f t="shared" si="112"/>
        <v>0</v>
      </c>
      <c r="F2394" t="str">
        <f t="shared" si="113"/>
        <v/>
      </c>
    </row>
    <row r="2395" spans="1:6" x14ac:dyDescent="0.25">
      <c r="A2395" t="s">
        <v>201</v>
      </c>
      <c r="B2395" s="1">
        <v>46034</v>
      </c>
      <c r="C2395">
        <v>18</v>
      </c>
      <c r="D2395" t="str">
        <f t="shared" si="111"/>
        <v/>
      </c>
      <c r="E2395">
        <f t="shared" si="112"/>
        <v>1</v>
      </c>
      <c r="F2395" t="str">
        <f t="shared" si="113"/>
        <v/>
      </c>
    </row>
    <row r="2396" spans="1:6" x14ac:dyDescent="0.25">
      <c r="A2396" t="s">
        <v>201</v>
      </c>
      <c r="B2396" s="1">
        <v>46041</v>
      </c>
      <c r="C2396">
        <v>26</v>
      </c>
      <c r="D2396" t="str">
        <f t="shared" si="111"/>
        <v/>
      </c>
      <c r="E2396">
        <f t="shared" si="112"/>
        <v>2</v>
      </c>
      <c r="F2396" t="str">
        <f t="shared" si="113"/>
        <v/>
      </c>
    </row>
    <row r="2397" spans="1:6" x14ac:dyDescent="0.25">
      <c r="A2397" t="s">
        <v>201</v>
      </c>
      <c r="B2397" s="1">
        <v>46048</v>
      </c>
      <c r="C2397">
        <v>26</v>
      </c>
      <c r="D2397" t="str">
        <f t="shared" si="111"/>
        <v/>
      </c>
      <c r="E2397">
        <f t="shared" si="112"/>
        <v>3</v>
      </c>
      <c r="F2397" t="str">
        <f t="shared" si="113"/>
        <v/>
      </c>
    </row>
    <row r="2398" spans="1:6" x14ac:dyDescent="0.25">
      <c r="A2398" t="s">
        <v>201</v>
      </c>
      <c r="B2398" s="1">
        <v>46055</v>
      </c>
      <c r="C2398">
        <v>29</v>
      </c>
      <c r="D2398" t="str">
        <f t="shared" si="111"/>
        <v/>
      </c>
      <c r="E2398">
        <f t="shared" si="112"/>
        <v>4</v>
      </c>
      <c r="F2398" t="str">
        <f t="shared" si="113"/>
        <v/>
      </c>
    </row>
    <row r="2399" spans="1:6" x14ac:dyDescent="0.25">
      <c r="A2399" t="s">
        <v>201</v>
      </c>
      <c r="B2399" s="1">
        <v>46062</v>
      </c>
      <c r="C2399">
        <v>25</v>
      </c>
      <c r="D2399">
        <f t="shared" si="111"/>
        <v>25</v>
      </c>
      <c r="E2399">
        <f t="shared" si="112"/>
        <v>5</v>
      </c>
      <c r="F2399">
        <f t="shared" si="113"/>
        <v>0</v>
      </c>
    </row>
    <row r="2400" spans="1:6" x14ac:dyDescent="0.25">
      <c r="A2400" t="s">
        <v>201</v>
      </c>
      <c r="B2400" s="1">
        <v>46069</v>
      </c>
      <c r="C2400">
        <v>24</v>
      </c>
      <c r="D2400">
        <f t="shared" si="111"/>
        <v>24.8</v>
      </c>
      <c r="E2400">
        <f t="shared" si="112"/>
        <v>5</v>
      </c>
      <c r="F2400">
        <f t="shared" si="113"/>
        <v>3.3333333333333361E-2</v>
      </c>
    </row>
    <row r="2401" spans="1:6" x14ac:dyDescent="0.25">
      <c r="A2401" t="s">
        <v>201</v>
      </c>
      <c r="B2401" s="1">
        <v>46076</v>
      </c>
      <c r="C2401">
        <v>33</v>
      </c>
      <c r="D2401">
        <f t="shared" si="111"/>
        <v>26</v>
      </c>
      <c r="E2401">
        <f t="shared" si="112"/>
        <v>5</v>
      </c>
      <c r="F2401">
        <f t="shared" si="113"/>
        <v>0.21212121212121213</v>
      </c>
    </row>
    <row r="2402" spans="1:6" x14ac:dyDescent="0.25">
      <c r="A2402" t="s">
        <v>201</v>
      </c>
      <c r="B2402" s="1">
        <v>46083</v>
      </c>
      <c r="C2402">
        <v>28</v>
      </c>
      <c r="D2402">
        <f t="shared" si="111"/>
        <v>27.4</v>
      </c>
      <c r="E2402">
        <f t="shared" si="112"/>
        <v>5</v>
      </c>
      <c r="F2402">
        <f t="shared" si="113"/>
        <v>2.1428571428571481E-2</v>
      </c>
    </row>
    <row r="2403" spans="1:6" x14ac:dyDescent="0.25">
      <c r="A2403" t="s">
        <v>201</v>
      </c>
      <c r="B2403" s="1">
        <v>46090</v>
      </c>
      <c r="C2403">
        <v>34</v>
      </c>
      <c r="D2403">
        <f t="shared" si="111"/>
        <v>27.8</v>
      </c>
      <c r="E2403">
        <f t="shared" si="112"/>
        <v>5</v>
      </c>
      <c r="F2403">
        <f t="shared" si="113"/>
        <v>0.18235294117647058</v>
      </c>
    </row>
    <row r="2404" spans="1:6" x14ac:dyDescent="0.25">
      <c r="A2404" t="s">
        <v>201</v>
      </c>
      <c r="B2404" s="1">
        <v>46097</v>
      </c>
      <c r="C2404">
        <v>29</v>
      </c>
      <c r="D2404">
        <f t="shared" si="111"/>
        <v>28.8</v>
      </c>
      <c r="E2404">
        <f t="shared" si="112"/>
        <v>5</v>
      </c>
      <c r="F2404">
        <f t="shared" si="113"/>
        <v>6.8965517241379067E-3</v>
      </c>
    </row>
    <row r="2405" spans="1:6" x14ac:dyDescent="0.25">
      <c r="A2405" t="s">
        <v>201</v>
      </c>
      <c r="B2405" s="1">
        <v>46104</v>
      </c>
      <c r="C2405">
        <v>35</v>
      </c>
      <c r="D2405">
        <f t="shared" si="111"/>
        <v>29.6</v>
      </c>
      <c r="E2405">
        <f t="shared" si="112"/>
        <v>5</v>
      </c>
      <c r="F2405">
        <f t="shared" si="113"/>
        <v>0.15428571428571425</v>
      </c>
    </row>
    <row r="2406" spans="1:6" x14ac:dyDescent="0.25">
      <c r="A2406" t="s">
        <v>201</v>
      </c>
      <c r="B2406" s="1">
        <v>46111</v>
      </c>
      <c r="C2406">
        <v>29</v>
      </c>
      <c r="D2406">
        <f t="shared" si="111"/>
        <v>31.8</v>
      </c>
      <c r="E2406">
        <f t="shared" si="112"/>
        <v>5</v>
      </c>
      <c r="F2406">
        <f t="shared" si="113"/>
        <v>9.6551724137931061E-2</v>
      </c>
    </row>
    <row r="2407" spans="1:6" x14ac:dyDescent="0.25">
      <c r="A2407" t="s">
        <v>201</v>
      </c>
      <c r="B2407" s="1">
        <v>46118</v>
      </c>
      <c r="C2407">
        <v>24</v>
      </c>
      <c r="D2407">
        <f t="shared" si="111"/>
        <v>31</v>
      </c>
      <c r="E2407">
        <f t="shared" si="112"/>
        <v>5</v>
      </c>
      <c r="F2407">
        <f t="shared" si="113"/>
        <v>0.29166666666666669</v>
      </c>
    </row>
    <row r="2408" spans="1:6" x14ac:dyDescent="0.25">
      <c r="A2408" t="s">
        <v>201</v>
      </c>
      <c r="B2408" s="1">
        <v>46125</v>
      </c>
      <c r="C2408">
        <v>41</v>
      </c>
      <c r="D2408">
        <f t="shared" si="111"/>
        <v>30.2</v>
      </c>
      <c r="E2408">
        <f t="shared" si="112"/>
        <v>5</v>
      </c>
      <c r="F2408">
        <f t="shared" si="113"/>
        <v>0.26341463414634148</v>
      </c>
    </row>
    <row r="2409" spans="1:6" x14ac:dyDescent="0.25">
      <c r="A2409" t="s">
        <v>201</v>
      </c>
      <c r="B2409" s="1">
        <v>46132</v>
      </c>
      <c r="C2409">
        <v>29</v>
      </c>
      <c r="D2409">
        <f t="shared" si="111"/>
        <v>31.6</v>
      </c>
      <c r="E2409">
        <f t="shared" si="112"/>
        <v>5</v>
      </c>
      <c r="F2409">
        <f t="shared" si="113"/>
        <v>8.9655172413793158E-2</v>
      </c>
    </row>
    <row r="2410" spans="1:6" x14ac:dyDescent="0.25">
      <c r="A2410" t="s">
        <v>201</v>
      </c>
      <c r="B2410" s="1">
        <v>46139</v>
      </c>
      <c r="C2410">
        <v>40</v>
      </c>
      <c r="D2410">
        <f t="shared" si="111"/>
        <v>31.6</v>
      </c>
      <c r="E2410">
        <f t="shared" si="112"/>
        <v>5</v>
      </c>
      <c r="F2410">
        <f t="shared" si="113"/>
        <v>0.20999999999999996</v>
      </c>
    </row>
    <row r="2411" spans="1:6" x14ac:dyDescent="0.25">
      <c r="A2411" t="s">
        <v>201</v>
      </c>
      <c r="B2411" s="1">
        <v>46146</v>
      </c>
      <c r="C2411">
        <v>36</v>
      </c>
      <c r="D2411">
        <f t="shared" si="111"/>
        <v>32.6</v>
      </c>
      <c r="E2411">
        <f t="shared" si="112"/>
        <v>5</v>
      </c>
      <c r="F2411">
        <f t="shared" si="113"/>
        <v>9.44444444444444E-2</v>
      </c>
    </row>
    <row r="2412" spans="1:6" x14ac:dyDescent="0.25">
      <c r="A2412" t="s">
        <v>201</v>
      </c>
      <c r="B2412" s="1">
        <v>46153</v>
      </c>
      <c r="C2412">
        <v>25</v>
      </c>
      <c r="D2412">
        <f t="shared" si="111"/>
        <v>34</v>
      </c>
      <c r="E2412">
        <f t="shared" si="112"/>
        <v>5</v>
      </c>
      <c r="F2412">
        <f t="shared" si="113"/>
        <v>0.36</v>
      </c>
    </row>
    <row r="2413" spans="1:6" x14ac:dyDescent="0.25">
      <c r="A2413" t="s">
        <v>201</v>
      </c>
      <c r="B2413" s="1">
        <v>46160</v>
      </c>
      <c r="C2413">
        <v>34</v>
      </c>
      <c r="D2413">
        <f t="shared" si="111"/>
        <v>34.200000000000003</v>
      </c>
      <c r="E2413">
        <f t="shared" si="112"/>
        <v>5</v>
      </c>
      <c r="F2413">
        <f t="shared" si="113"/>
        <v>5.8823529411765538E-3</v>
      </c>
    </row>
    <row r="2414" spans="1:6" x14ac:dyDescent="0.25">
      <c r="A2414" t="s">
        <v>201</v>
      </c>
      <c r="B2414" s="1">
        <v>46167</v>
      </c>
      <c r="C2414">
        <v>45</v>
      </c>
      <c r="D2414">
        <f t="shared" si="111"/>
        <v>32.799999999999997</v>
      </c>
      <c r="E2414">
        <f t="shared" si="112"/>
        <v>5</v>
      </c>
      <c r="F2414">
        <f t="shared" si="113"/>
        <v>0.27111111111111119</v>
      </c>
    </row>
    <row r="2415" spans="1:6" x14ac:dyDescent="0.25">
      <c r="A2415" t="s">
        <v>201</v>
      </c>
      <c r="B2415" s="1">
        <v>46174</v>
      </c>
      <c r="C2415">
        <v>36</v>
      </c>
      <c r="D2415">
        <f t="shared" si="111"/>
        <v>36</v>
      </c>
      <c r="E2415">
        <f t="shared" si="112"/>
        <v>5</v>
      </c>
      <c r="F2415">
        <f t="shared" si="113"/>
        <v>0</v>
      </c>
    </row>
    <row r="2416" spans="1:6" x14ac:dyDescent="0.25">
      <c r="A2416" t="s">
        <v>201</v>
      </c>
      <c r="B2416" s="1">
        <v>46181</v>
      </c>
      <c r="C2416">
        <v>37</v>
      </c>
      <c r="D2416">
        <f t="shared" si="111"/>
        <v>35.200000000000003</v>
      </c>
      <c r="E2416">
        <f t="shared" si="112"/>
        <v>5</v>
      </c>
      <c r="F2416">
        <f t="shared" si="113"/>
        <v>4.8648648648648575E-2</v>
      </c>
    </row>
    <row r="2417" spans="1:6" x14ac:dyDescent="0.25">
      <c r="A2417" t="s">
        <v>201</v>
      </c>
      <c r="B2417" s="1">
        <v>46188</v>
      </c>
      <c r="C2417">
        <v>34</v>
      </c>
      <c r="D2417">
        <f t="shared" si="111"/>
        <v>35.4</v>
      </c>
      <c r="E2417">
        <f t="shared" si="112"/>
        <v>5</v>
      </c>
      <c r="F2417">
        <f t="shared" si="113"/>
        <v>4.1176470588235252E-2</v>
      </c>
    </row>
    <row r="2418" spans="1:6" x14ac:dyDescent="0.25">
      <c r="A2418" t="s">
        <v>201</v>
      </c>
      <c r="B2418" s="1">
        <v>46195</v>
      </c>
      <c r="C2418">
        <v>32</v>
      </c>
      <c r="D2418">
        <f t="shared" si="111"/>
        <v>37.200000000000003</v>
      </c>
      <c r="E2418">
        <f t="shared" si="112"/>
        <v>5</v>
      </c>
      <c r="F2418">
        <f t="shared" si="113"/>
        <v>0.16250000000000009</v>
      </c>
    </row>
    <row r="2419" spans="1:6" x14ac:dyDescent="0.25">
      <c r="A2419" t="s">
        <v>201</v>
      </c>
      <c r="B2419" s="1">
        <v>46202</v>
      </c>
      <c r="C2419">
        <v>39</v>
      </c>
      <c r="D2419">
        <f t="shared" si="111"/>
        <v>36.799999999999997</v>
      </c>
      <c r="E2419">
        <f t="shared" si="112"/>
        <v>5</v>
      </c>
      <c r="F2419">
        <f t="shared" si="113"/>
        <v>5.641025641025648E-2</v>
      </c>
    </row>
    <row r="2420" spans="1:6" x14ac:dyDescent="0.25">
      <c r="A2420" t="s">
        <v>203</v>
      </c>
      <c r="B2420" s="1">
        <v>46027</v>
      </c>
      <c r="C2420">
        <v>71</v>
      </c>
      <c r="D2420" t="str">
        <f t="shared" si="111"/>
        <v/>
      </c>
      <c r="E2420">
        <f t="shared" si="112"/>
        <v>0</v>
      </c>
      <c r="F2420" t="str">
        <f t="shared" si="113"/>
        <v/>
      </c>
    </row>
    <row r="2421" spans="1:6" x14ac:dyDescent="0.25">
      <c r="A2421" t="s">
        <v>203</v>
      </c>
      <c r="B2421" s="1">
        <v>46034</v>
      </c>
      <c r="C2421">
        <v>11</v>
      </c>
      <c r="D2421" t="str">
        <f t="shared" si="111"/>
        <v/>
      </c>
      <c r="E2421">
        <f t="shared" si="112"/>
        <v>1</v>
      </c>
      <c r="F2421" t="str">
        <f t="shared" si="113"/>
        <v/>
      </c>
    </row>
    <row r="2422" spans="1:6" x14ac:dyDescent="0.25">
      <c r="A2422" t="s">
        <v>203</v>
      </c>
      <c r="B2422" s="1">
        <v>46041</v>
      </c>
      <c r="C2422">
        <v>119</v>
      </c>
      <c r="D2422" t="str">
        <f t="shared" si="111"/>
        <v/>
      </c>
      <c r="E2422">
        <f t="shared" si="112"/>
        <v>2</v>
      </c>
      <c r="F2422" t="str">
        <f t="shared" si="113"/>
        <v/>
      </c>
    </row>
    <row r="2423" spans="1:6" x14ac:dyDescent="0.25">
      <c r="A2423" t="s">
        <v>203</v>
      </c>
      <c r="B2423" s="1">
        <v>46048</v>
      </c>
      <c r="C2423">
        <v>91</v>
      </c>
      <c r="D2423" t="str">
        <f t="shared" si="111"/>
        <v/>
      </c>
      <c r="E2423">
        <f t="shared" si="112"/>
        <v>3</v>
      </c>
      <c r="F2423" t="str">
        <f t="shared" si="113"/>
        <v/>
      </c>
    </row>
    <row r="2424" spans="1:6" x14ac:dyDescent="0.25">
      <c r="A2424" t="s">
        <v>203</v>
      </c>
      <c r="B2424" s="1">
        <v>46055</v>
      </c>
      <c r="C2424">
        <v>152</v>
      </c>
      <c r="D2424" t="str">
        <f t="shared" si="111"/>
        <v/>
      </c>
      <c r="E2424">
        <f t="shared" si="112"/>
        <v>4</v>
      </c>
      <c r="F2424" t="str">
        <f t="shared" si="113"/>
        <v/>
      </c>
    </row>
    <row r="2425" spans="1:6" x14ac:dyDescent="0.25">
      <c r="A2425" t="s">
        <v>203</v>
      </c>
      <c r="B2425" s="1">
        <v>46062</v>
      </c>
      <c r="C2425">
        <v>165</v>
      </c>
      <c r="D2425">
        <f t="shared" si="111"/>
        <v>88.8</v>
      </c>
      <c r="E2425">
        <f t="shared" si="112"/>
        <v>5</v>
      </c>
      <c r="F2425">
        <f t="shared" si="113"/>
        <v>0.46181818181818185</v>
      </c>
    </row>
    <row r="2426" spans="1:6" x14ac:dyDescent="0.25">
      <c r="A2426" t="s">
        <v>203</v>
      </c>
      <c r="B2426" s="1">
        <v>46069</v>
      </c>
      <c r="C2426">
        <v>105</v>
      </c>
      <c r="D2426">
        <f t="shared" si="111"/>
        <v>107.6</v>
      </c>
      <c r="E2426">
        <f t="shared" si="112"/>
        <v>5</v>
      </c>
      <c r="F2426">
        <f t="shared" si="113"/>
        <v>2.4761904761904707E-2</v>
      </c>
    </row>
    <row r="2427" spans="1:6" x14ac:dyDescent="0.25">
      <c r="A2427" t="s">
        <v>203</v>
      </c>
      <c r="B2427" s="1">
        <v>46076</v>
      </c>
      <c r="C2427">
        <v>73</v>
      </c>
      <c r="D2427">
        <f t="shared" si="111"/>
        <v>126.4</v>
      </c>
      <c r="E2427">
        <f t="shared" si="112"/>
        <v>5</v>
      </c>
      <c r="F2427">
        <f t="shared" si="113"/>
        <v>0.7315068493150686</v>
      </c>
    </row>
    <row r="2428" spans="1:6" x14ac:dyDescent="0.25">
      <c r="A2428" t="s">
        <v>203</v>
      </c>
      <c r="B2428" s="1">
        <v>46083</v>
      </c>
      <c r="C2428">
        <v>41</v>
      </c>
      <c r="D2428">
        <f t="shared" si="111"/>
        <v>117.2</v>
      </c>
      <c r="E2428">
        <f t="shared" si="112"/>
        <v>5</v>
      </c>
      <c r="F2428">
        <f t="shared" si="113"/>
        <v>1.8585365853658538</v>
      </c>
    </row>
    <row r="2429" spans="1:6" x14ac:dyDescent="0.25">
      <c r="A2429" t="s">
        <v>203</v>
      </c>
      <c r="B2429" s="1">
        <v>46090</v>
      </c>
      <c r="C2429">
        <v>61</v>
      </c>
      <c r="D2429">
        <f t="shared" si="111"/>
        <v>107.2</v>
      </c>
      <c r="E2429">
        <f t="shared" si="112"/>
        <v>5</v>
      </c>
      <c r="F2429">
        <f t="shared" si="113"/>
        <v>0.75737704918032789</v>
      </c>
    </row>
    <row r="2430" spans="1:6" x14ac:dyDescent="0.25">
      <c r="A2430" t="s">
        <v>203</v>
      </c>
      <c r="B2430" s="1">
        <v>46097</v>
      </c>
      <c r="C2430">
        <v>131</v>
      </c>
      <c r="D2430">
        <f t="shared" si="111"/>
        <v>89</v>
      </c>
      <c r="E2430">
        <f t="shared" si="112"/>
        <v>5</v>
      </c>
      <c r="F2430">
        <f t="shared" si="113"/>
        <v>0.32061068702290074</v>
      </c>
    </row>
    <row r="2431" spans="1:6" x14ac:dyDescent="0.25">
      <c r="A2431" t="s">
        <v>203</v>
      </c>
      <c r="B2431" s="1">
        <v>46104</v>
      </c>
      <c r="C2431">
        <v>104</v>
      </c>
      <c r="D2431">
        <f t="shared" si="111"/>
        <v>82.2</v>
      </c>
      <c r="E2431">
        <f t="shared" si="112"/>
        <v>5</v>
      </c>
      <c r="F2431">
        <f t="shared" si="113"/>
        <v>0.20961538461538459</v>
      </c>
    </row>
    <row r="2432" spans="1:6" x14ac:dyDescent="0.25">
      <c r="A2432" t="s">
        <v>203</v>
      </c>
      <c r="B2432" s="1">
        <v>46111</v>
      </c>
      <c r="C2432">
        <v>92</v>
      </c>
      <c r="D2432">
        <f t="shared" si="111"/>
        <v>82</v>
      </c>
      <c r="E2432">
        <f t="shared" si="112"/>
        <v>5</v>
      </c>
      <c r="F2432">
        <f t="shared" si="113"/>
        <v>0.10869565217391304</v>
      </c>
    </row>
    <row r="2433" spans="1:6" x14ac:dyDescent="0.25">
      <c r="A2433" t="s">
        <v>203</v>
      </c>
      <c r="B2433" s="1">
        <v>46118</v>
      </c>
      <c r="C2433">
        <v>33</v>
      </c>
      <c r="D2433">
        <f t="shared" si="111"/>
        <v>85.8</v>
      </c>
      <c r="E2433">
        <f t="shared" si="112"/>
        <v>5</v>
      </c>
      <c r="F2433">
        <f t="shared" si="113"/>
        <v>1.5999999999999999</v>
      </c>
    </row>
    <row r="2434" spans="1:6" x14ac:dyDescent="0.25">
      <c r="A2434" t="s">
        <v>203</v>
      </c>
      <c r="B2434" s="1">
        <v>46125</v>
      </c>
      <c r="C2434">
        <v>81</v>
      </c>
      <c r="D2434">
        <f t="shared" ref="D2434:D2497" si="114">IF(E2434 &lt; 5, "", AVERAGEIFS(C:C, A:A, A2434, B:B, "&gt;=" &amp; (B2434-35), B:B, "&lt;=" &amp; (B2434-7)))</f>
        <v>84.2</v>
      </c>
      <c r="E2434">
        <f t="shared" ref="E2434:E2497" si="115">COUNTIFS(A:A, A2434, B:B, "&gt;=" &amp; (B2434-35), B:B, "&lt;=" &amp; (B2434-7))</f>
        <v>5</v>
      </c>
      <c r="F2434">
        <f t="shared" ref="F2434:F2497" si="116">IF(OR(C2434=0, D2434=""), "", ABS(C2434 - D2434) / C2434)</f>
        <v>3.9506172839506207E-2</v>
      </c>
    </row>
    <row r="2435" spans="1:6" x14ac:dyDescent="0.25">
      <c r="A2435" t="s">
        <v>203</v>
      </c>
      <c r="B2435" s="1">
        <v>46132</v>
      </c>
      <c r="C2435">
        <v>166</v>
      </c>
      <c r="D2435">
        <f t="shared" si="114"/>
        <v>88.2</v>
      </c>
      <c r="E2435">
        <f t="shared" si="115"/>
        <v>5</v>
      </c>
      <c r="F2435">
        <f t="shared" si="116"/>
        <v>0.4686746987951807</v>
      </c>
    </row>
    <row r="2436" spans="1:6" x14ac:dyDescent="0.25">
      <c r="A2436" t="s">
        <v>203</v>
      </c>
      <c r="B2436" s="1">
        <v>46139</v>
      </c>
      <c r="C2436">
        <v>84</v>
      </c>
      <c r="D2436">
        <f t="shared" si="114"/>
        <v>95.2</v>
      </c>
      <c r="E2436">
        <f t="shared" si="115"/>
        <v>5</v>
      </c>
      <c r="F2436">
        <f t="shared" si="116"/>
        <v>0.13333333333333336</v>
      </c>
    </row>
    <row r="2437" spans="1:6" x14ac:dyDescent="0.25">
      <c r="A2437" t="s">
        <v>203</v>
      </c>
      <c r="B2437" s="1">
        <v>46146</v>
      </c>
      <c r="C2437">
        <v>150</v>
      </c>
      <c r="D2437">
        <f t="shared" si="114"/>
        <v>91.2</v>
      </c>
      <c r="E2437">
        <f t="shared" si="115"/>
        <v>5</v>
      </c>
      <c r="F2437">
        <f t="shared" si="116"/>
        <v>0.39199999999999996</v>
      </c>
    </row>
    <row r="2438" spans="1:6" x14ac:dyDescent="0.25">
      <c r="A2438" t="s">
        <v>203</v>
      </c>
      <c r="B2438" s="1">
        <v>46153</v>
      </c>
      <c r="C2438">
        <v>0</v>
      </c>
      <c r="D2438">
        <f t="shared" si="114"/>
        <v>102.8</v>
      </c>
      <c r="E2438">
        <f t="shared" si="115"/>
        <v>5</v>
      </c>
      <c r="F2438" t="str">
        <f t="shared" si="116"/>
        <v/>
      </c>
    </row>
    <row r="2439" spans="1:6" x14ac:dyDescent="0.25">
      <c r="A2439" t="s">
        <v>203</v>
      </c>
      <c r="B2439" s="1">
        <v>46160</v>
      </c>
      <c r="C2439">
        <v>156</v>
      </c>
      <c r="D2439">
        <f t="shared" si="114"/>
        <v>96.2</v>
      </c>
      <c r="E2439">
        <f t="shared" si="115"/>
        <v>5</v>
      </c>
      <c r="F2439">
        <f t="shared" si="116"/>
        <v>0.3833333333333333</v>
      </c>
    </row>
    <row r="2440" spans="1:6" x14ac:dyDescent="0.25">
      <c r="A2440" t="s">
        <v>203</v>
      </c>
      <c r="B2440" s="1">
        <v>46167</v>
      </c>
      <c r="C2440">
        <v>56</v>
      </c>
      <c r="D2440">
        <f t="shared" si="114"/>
        <v>111.2</v>
      </c>
      <c r="E2440">
        <f t="shared" si="115"/>
        <v>5</v>
      </c>
      <c r="F2440">
        <f t="shared" si="116"/>
        <v>0.98571428571428577</v>
      </c>
    </row>
    <row r="2441" spans="1:6" x14ac:dyDescent="0.25">
      <c r="A2441" t="s">
        <v>203</v>
      </c>
      <c r="B2441" s="1">
        <v>46174</v>
      </c>
      <c r="C2441">
        <v>41</v>
      </c>
      <c r="D2441">
        <f t="shared" si="114"/>
        <v>89.2</v>
      </c>
      <c r="E2441">
        <f t="shared" si="115"/>
        <v>5</v>
      </c>
      <c r="F2441">
        <f t="shared" si="116"/>
        <v>1.1756097560975611</v>
      </c>
    </row>
    <row r="2442" spans="1:6" x14ac:dyDescent="0.25">
      <c r="A2442" t="s">
        <v>203</v>
      </c>
      <c r="B2442" s="1">
        <v>46181</v>
      </c>
      <c r="C2442">
        <v>85</v>
      </c>
      <c r="D2442">
        <f t="shared" si="114"/>
        <v>80.599999999999994</v>
      </c>
      <c r="E2442">
        <f t="shared" si="115"/>
        <v>5</v>
      </c>
      <c r="F2442">
        <f t="shared" si="116"/>
        <v>5.1764705882353011E-2</v>
      </c>
    </row>
    <row r="2443" spans="1:6" x14ac:dyDescent="0.25">
      <c r="A2443" t="s">
        <v>203</v>
      </c>
      <c r="B2443" s="1">
        <v>46188</v>
      </c>
      <c r="C2443">
        <v>68</v>
      </c>
      <c r="D2443">
        <f t="shared" si="114"/>
        <v>67.599999999999994</v>
      </c>
      <c r="E2443">
        <f t="shared" si="115"/>
        <v>5</v>
      </c>
      <c r="F2443">
        <f t="shared" si="116"/>
        <v>5.8823529411765538E-3</v>
      </c>
    </row>
    <row r="2444" spans="1:6" x14ac:dyDescent="0.25">
      <c r="A2444" t="s">
        <v>203</v>
      </c>
      <c r="B2444" s="1">
        <v>46195</v>
      </c>
      <c r="C2444">
        <v>171</v>
      </c>
      <c r="D2444">
        <f t="shared" si="114"/>
        <v>81.2</v>
      </c>
      <c r="E2444">
        <f t="shared" si="115"/>
        <v>5</v>
      </c>
      <c r="F2444">
        <f t="shared" si="116"/>
        <v>0.52514619883040936</v>
      </c>
    </row>
    <row r="2445" spans="1:6" x14ac:dyDescent="0.25">
      <c r="A2445" t="s">
        <v>203</v>
      </c>
      <c r="B2445" s="1">
        <v>46202</v>
      </c>
      <c r="C2445">
        <v>92</v>
      </c>
      <c r="D2445">
        <f t="shared" si="114"/>
        <v>84.2</v>
      </c>
      <c r="E2445">
        <f t="shared" si="115"/>
        <v>5</v>
      </c>
      <c r="F2445">
        <f t="shared" si="116"/>
        <v>8.4782608695652142E-2</v>
      </c>
    </row>
    <row r="2446" spans="1:6" x14ac:dyDescent="0.25">
      <c r="A2446" t="s">
        <v>205</v>
      </c>
      <c r="B2446" s="1">
        <v>46027</v>
      </c>
      <c r="C2446">
        <v>86</v>
      </c>
      <c r="D2446" t="str">
        <f t="shared" si="114"/>
        <v/>
      </c>
      <c r="E2446">
        <f t="shared" si="115"/>
        <v>0</v>
      </c>
      <c r="F2446" t="str">
        <f t="shared" si="116"/>
        <v/>
      </c>
    </row>
    <row r="2447" spans="1:6" x14ac:dyDescent="0.25">
      <c r="A2447" t="s">
        <v>205</v>
      </c>
      <c r="B2447" s="1">
        <v>46034</v>
      </c>
      <c r="C2447">
        <v>137</v>
      </c>
      <c r="D2447" t="str">
        <f t="shared" si="114"/>
        <v/>
      </c>
      <c r="E2447">
        <f t="shared" si="115"/>
        <v>1</v>
      </c>
      <c r="F2447" t="str">
        <f t="shared" si="116"/>
        <v/>
      </c>
    </row>
    <row r="2448" spans="1:6" x14ac:dyDescent="0.25">
      <c r="A2448" t="s">
        <v>205</v>
      </c>
      <c r="B2448" s="1">
        <v>46041</v>
      </c>
      <c r="C2448">
        <v>100</v>
      </c>
      <c r="D2448" t="str">
        <f t="shared" si="114"/>
        <v/>
      </c>
      <c r="E2448">
        <f t="shared" si="115"/>
        <v>2</v>
      </c>
      <c r="F2448" t="str">
        <f t="shared" si="116"/>
        <v/>
      </c>
    </row>
    <row r="2449" spans="1:6" x14ac:dyDescent="0.25">
      <c r="A2449" t="s">
        <v>205</v>
      </c>
      <c r="B2449" s="1">
        <v>46048</v>
      </c>
      <c r="C2449">
        <v>107</v>
      </c>
      <c r="D2449" t="str">
        <f t="shared" si="114"/>
        <v/>
      </c>
      <c r="E2449">
        <f t="shared" si="115"/>
        <v>3</v>
      </c>
      <c r="F2449" t="str">
        <f t="shared" si="116"/>
        <v/>
      </c>
    </row>
    <row r="2450" spans="1:6" x14ac:dyDescent="0.25">
      <c r="A2450" t="s">
        <v>205</v>
      </c>
      <c r="B2450" s="1">
        <v>46055</v>
      </c>
      <c r="C2450">
        <v>68</v>
      </c>
      <c r="D2450" t="str">
        <f t="shared" si="114"/>
        <v/>
      </c>
      <c r="E2450">
        <f t="shared" si="115"/>
        <v>4</v>
      </c>
      <c r="F2450" t="str">
        <f t="shared" si="116"/>
        <v/>
      </c>
    </row>
    <row r="2451" spans="1:6" x14ac:dyDescent="0.25">
      <c r="A2451" t="s">
        <v>205</v>
      </c>
      <c r="B2451" s="1">
        <v>46062</v>
      </c>
      <c r="C2451">
        <v>102</v>
      </c>
      <c r="D2451">
        <f t="shared" si="114"/>
        <v>99.6</v>
      </c>
      <c r="E2451">
        <f t="shared" si="115"/>
        <v>5</v>
      </c>
      <c r="F2451">
        <f t="shared" si="116"/>
        <v>2.3529411764705938E-2</v>
      </c>
    </row>
    <row r="2452" spans="1:6" x14ac:dyDescent="0.25">
      <c r="A2452" t="s">
        <v>205</v>
      </c>
      <c r="B2452" s="1">
        <v>46069</v>
      </c>
      <c r="C2452">
        <v>122</v>
      </c>
      <c r="D2452">
        <f t="shared" si="114"/>
        <v>102.8</v>
      </c>
      <c r="E2452">
        <f t="shared" si="115"/>
        <v>5</v>
      </c>
      <c r="F2452">
        <f t="shared" si="116"/>
        <v>0.15737704918032788</v>
      </c>
    </row>
    <row r="2453" spans="1:6" x14ac:dyDescent="0.25">
      <c r="A2453" t="s">
        <v>205</v>
      </c>
      <c r="B2453" s="1">
        <v>46076</v>
      </c>
      <c r="C2453">
        <v>146</v>
      </c>
      <c r="D2453">
        <f t="shared" si="114"/>
        <v>99.8</v>
      </c>
      <c r="E2453">
        <f t="shared" si="115"/>
        <v>5</v>
      </c>
      <c r="F2453">
        <f t="shared" si="116"/>
        <v>0.31643835616438359</v>
      </c>
    </row>
    <row r="2454" spans="1:6" x14ac:dyDescent="0.25">
      <c r="A2454" t="s">
        <v>205</v>
      </c>
      <c r="B2454" s="1">
        <v>46083</v>
      </c>
      <c r="C2454">
        <v>130</v>
      </c>
      <c r="D2454">
        <f t="shared" si="114"/>
        <v>109</v>
      </c>
      <c r="E2454">
        <f t="shared" si="115"/>
        <v>5</v>
      </c>
      <c r="F2454">
        <f t="shared" si="116"/>
        <v>0.16153846153846155</v>
      </c>
    </row>
    <row r="2455" spans="1:6" x14ac:dyDescent="0.25">
      <c r="A2455" t="s">
        <v>205</v>
      </c>
      <c r="B2455" s="1">
        <v>46090</v>
      </c>
      <c r="C2455">
        <v>122</v>
      </c>
      <c r="D2455">
        <f t="shared" si="114"/>
        <v>113.6</v>
      </c>
      <c r="E2455">
        <f t="shared" si="115"/>
        <v>5</v>
      </c>
      <c r="F2455">
        <f t="shared" si="116"/>
        <v>6.8852459016393489E-2</v>
      </c>
    </row>
    <row r="2456" spans="1:6" x14ac:dyDescent="0.25">
      <c r="A2456" t="s">
        <v>205</v>
      </c>
      <c r="B2456" s="1">
        <v>46097</v>
      </c>
      <c r="C2456">
        <v>88</v>
      </c>
      <c r="D2456">
        <f t="shared" si="114"/>
        <v>124.4</v>
      </c>
      <c r="E2456">
        <f t="shared" si="115"/>
        <v>5</v>
      </c>
      <c r="F2456">
        <f t="shared" si="116"/>
        <v>0.41363636363636369</v>
      </c>
    </row>
    <row r="2457" spans="1:6" x14ac:dyDescent="0.25">
      <c r="A2457" t="s">
        <v>205</v>
      </c>
      <c r="B2457" s="1">
        <v>46104</v>
      </c>
      <c r="C2457">
        <v>114</v>
      </c>
      <c r="D2457">
        <f t="shared" si="114"/>
        <v>121.6</v>
      </c>
      <c r="E2457">
        <f t="shared" si="115"/>
        <v>5</v>
      </c>
      <c r="F2457">
        <f t="shared" si="116"/>
        <v>6.666666666666661E-2</v>
      </c>
    </row>
    <row r="2458" spans="1:6" x14ac:dyDescent="0.25">
      <c r="A2458" t="s">
        <v>205</v>
      </c>
      <c r="B2458" s="1">
        <v>46111</v>
      </c>
      <c r="C2458">
        <v>141</v>
      </c>
      <c r="D2458">
        <f t="shared" si="114"/>
        <v>120</v>
      </c>
      <c r="E2458">
        <f t="shared" si="115"/>
        <v>5</v>
      </c>
      <c r="F2458">
        <f t="shared" si="116"/>
        <v>0.14893617021276595</v>
      </c>
    </row>
    <row r="2459" spans="1:6" x14ac:dyDescent="0.25">
      <c r="A2459" t="s">
        <v>205</v>
      </c>
      <c r="B2459" s="1">
        <v>46118</v>
      </c>
      <c r="C2459">
        <v>107</v>
      </c>
      <c r="D2459">
        <f t="shared" si="114"/>
        <v>119</v>
      </c>
      <c r="E2459">
        <f t="shared" si="115"/>
        <v>5</v>
      </c>
      <c r="F2459">
        <f t="shared" si="116"/>
        <v>0.11214953271028037</v>
      </c>
    </row>
    <row r="2460" spans="1:6" x14ac:dyDescent="0.25">
      <c r="A2460" t="s">
        <v>205</v>
      </c>
      <c r="B2460" s="1">
        <v>46125</v>
      </c>
      <c r="C2460">
        <v>155</v>
      </c>
      <c r="D2460">
        <f t="shared" si="114"/>
        <v>114.4</v>
      </c>
      <c r="E2460">
        <f t="shared" si="115"/>
        <v>5</v>
      </c>
      <c r="F2460">
        <f t="shared" si="116"/>
        <v>0.26193548387096771</v>
      </c>
    </row>
    <row r="2461" spans="1:6" x14ac:dyDescent="0.25">
      <c r="A2461" t="s">
        <v>205</v>
      </c>
      <c r="B2461" s="1">
        <v>46132</v>
      </c>
      <c r="C2461">
        <v>118</v>
      </c>
      <c r="D2461">
        <f t="shared" si="114"/>
        <v>121</v>
      </c>
      <c r="E2461">
        <f t="shared" si="115"/>
        <v>5</v>
      </c>
      <c r="F2461">
        <f t="shared" si="116"/>
        <v>2.5423728813559324E-2</v>
      </c>
    </row>
    <row r="2462" spans="1:6" x14ac:dyDescent="0.25">
      <c r="A2462" t="s">
        <v>205</v>
      </c>
      <c r="B2462" s="1">
        <v>46139</v>
      </c>
      <c r="C2462">
        <v>106</v>
      </c>
      <c r="D2462">
        <f t="shared" si="114"/>
        <v>127</v>
      </c>
      <c r="E2462">
        <f t="shared" si="115"/>
        <v>5</v>
      </c>
      <c r="F2462">
        <f t="shared" si="116"/>
        <v>0.19811320754716982</v>
      </c>
    </row>
    <row r="2463" spans="1:6" x14ac:dyDescent="0.25">
      <c r="A2463" t="s">
        <v>205</v>
      </c>
      <c r="B2463" s="1">
        <v>46146</v>
      </c>
      <c r="C2463">
        <v>150</v>
      </c>
      <c r="D2463">
        <f t="shared" si="114"/>
        <v>125.4</v>
      </c>
      <c r="E2463">
        <f t="shared" si="115"/>
        <v>5</v>
      </c>
      <c r="F2463">
        <f t="shared" si="116"/>
        <v>0.16399999999999995</v>
      </c>
    </row>
    <row r="2464" spans="1:6" x14ac:dyDescent="0.25">
      <c r="A2464" t="s">
        <v>205</v>
      </c>
      <c r="B2464" s="1">
        <v>46153</v>
      </c>
      <c r="C2464">
        <v>122</v>
      </c>
      <c r="D2464">
        <f t="shared" si="114"/>
        <v>127.2</v>
      </c>
      <c r="E2464">
        <f t="shared" si="115"/>
        <v>5</v>
      </c>
      <c r="F2464">
        <f t="shared" si="116"/>
        <v>4.2622950819672156E-2</v>
      </c>
    </row>
    <row r="2465" spans="1:6" x14ac:dyDescent="0.25">
      <c r="A2465" t="s">
        <v>205</v>
      </c>
      <c r="B2465" s="1">
        <v>46160</v>
      </c>
      <c r="C2465">
        <v>170</v>
      </c>
      <c r="D2465">
        <f t="shared" si="114"/>
        <v>130.19999999999999</v>
      </c>
      <c r="E2465">
        <f t="shared" si="115"/>
        <v>5</v>
      </c>
      <c r="F2465">
        <f t="shared" si="116"/>
        <v>0.2341176470588236</v>
      </c>
    </row>
    <row r="2466" spans="1:6" x14ac:dyDescent="0.25">
      <c r="A2466" t="s">
        <v>205</v>
      </c>
      <c r="B2466" s="1">
        <v>46167</v>
      </c>
      <c r="C2466">
        <v>104</v>
      </c>
      <c r="D2466">
        <f t="shared" si="114"/>
        <v>133.19999999999999</v>
      </c>
      <c r="E2466">
        <f t="shared" si="115"/>
        <v>5</v>
      </c>
      <c r="F2466">
        <f t="shared" si="116"/>
        <v>0.28076923076923066</v>
      </c>
    </row>
    <row r="2467" spans="1:6" x14ac:dyDescent="0.25">
      <c r="A2467" t="s">
        <v>205</v>
      </c>
      <c r="B2467" s="1">
        <v>46174</v>
      </c>
      <c r="C2467">
        <v>136</v>
      </c>
      <c r="D2467">
        <f t="shared" si="114"/>
        <v>130.4</v>
      </c>
      <c r="E2467">
        <f t="shared" si="115"/>
        <v>5</v>
      </c>
      <c r="F2467">
        <f t="shared" si="116"/>
        <v>4.1176470588235252E-2</v>
      </c>
    </row>
    <row r="2468" spans="1:6" x14ac:dyDescent="0.25">
      <c r="A2468" t="s">
        <v>205</v>
      </c>
      <c r="B2468" s="1">
        <v>46181</v>
      </c>
      <c r="C2468">
        <v>151</v>
      </c>
      <c r="D2468">
        <f t="shared" si="114"/>
        <v>136.4</v>
      </c>
      <c r="E2468">
        <f t="shared" si="115"/>
        <v>5</v>
      </c>
      <c r="F2468">
        <f t="shared" si="116"/>
        <v>9.6688741721854266E-2</v>
      </c>
    </row>
    <row r="2469" spans="1:6" x14ac:dyDescent="0.25">
      <c r="A2469" t="s">
        <v>205</v>
      </c>
      <c r="B2469" s="1">
        <v>46188</v>
      </c>
      <c r="C2469">
        <v>126</v>
      </c>
      <c r="D2469">
        <f t="shared" si="114"/>
        <v>136.6</v>
      </c>
      <c r="E2469">
        <f t="shared" si="115"/>
        <v>5</v>
      </c>
      <c r="F2469">
        <f t="shared" si="116"/>
        <v>8.4126984126984078E-2</v>
      </c>
    </row>
    <row r="2470" spans="1:6" x14ac:dyDescent="0.25">
      <c r="A2470" t="s">
        <v>205</v>
      </c>
      <c r="B2470" s="1">
        <v>46195</v>
      </c>
      <c r="C2470">
        <v>129</v>
      </c>
      <c r="D2470">
        <f t="shared" si="114"/>
        <v>137.4</v>
      </c>
      <c r="E2470">
        <f t="shared" si="115"/>
        <v>5</v>
      </c>
      <c r="F2470">
        <f t="shared" si="116"/>
        <v>6.5116279069767483E-2</v>
      </c>
    </row>
    <row r="2471" spans="1:6" x14ac:dyDescent="0.25">
      <c r="A2471" t="s">
        <v>205</v>
      </c>
      <c r="B2471" s="1">
        <v>46202</v>
      </c>
      <c r="C2471">
        <v>121</v>
      </c>
      <c r="D2471">
        <f t="shared" si="114"/>
        <v>129.19999999999999</v>
      </c>
      <c r="E2471">
        <f t="shared" si="115"/>
        <v>5</v>
      </c>
      <c r="F2471">
        <f t="shared" si="116"/>
        <v>6.7768595041322224E-2</v>
      </c>
    </row>
    <row r="2472" spans="1:6" x14ac:dyDescent="0.25">
      <c r="A2472" t="s">
        <v>207</v>
      </c>
      <c r="B2472" s="1">
        <v>46027</v>
      </c>
      <c r="C2472">
        <v>60</v>
      </c>
      <c r="D2472" t="str">
        <f t="shared" si="114"/>
        <v/>
      </c>
      <c r="E2472">
        <f t="shared" si="115"/>
        <v>0</v>
      </c>
      <c r="F2472" t="str">
        <f t="shared" si="116"/>
        <v/>
      </c>
    </row>
    <row r="2473" spans="1:6" x14ac:dyDescent="0.25">
      <c r="A2473" t="s">
        <v>207</v>
      </c>
      <c r="B2473" s="1">
        <v>46034</v>
      </c>
      <c r="C2473">
        <v>54</v>
      </c>
      <c r="D2473" t="str">
        <f t="shared" si="114"/>
        <v/>
      </c>
      <c r="E2473">
        <f t="shared" si="115"/>
        <v>1</v>
      </c>
      <c r="F2473" t="str">
        <f t="shared" si="116"/>
        <v/>
      </c>
    </row>
    <row r="2474" spans="1:6" x14ac:dyDescent="0.25">
      <c r="A2474" t="s">
        <v>207</v>
      </c>
      <c r="B2474" s="1">
        <v>46041</v>
      </c>
      <c r="C2474">
        <v>61</v>
      </c>
      <c r="D2474" t="str">
        <f t="shared" si="114"/>
        <v/>
      </c>
      <c r="E2474">
        <f t="shared" si="115"/>
        <v>2</v>
      </c>
      <c r="F2474" t="str">
        <f t="shared" si="116"/>
        <v/>
      </c>
    </row>
    <row r="2475" spans="1:6" x14ac:dyDescent="0.25">
      <c r="A2475" t="s">
        <v>207</v>
      </c>
      <c r="B2475" s="1">
        <v>46048</v>
      </c>
      <c r="C2475">
        <v>72</v>
      </c>
      <c r="D2475" t="str">
        <f t="shared" si="114"/>
        <v/>
      </c>
      <c r="E2475">
        <f t="shared" si="115"/>
        <v>3</v>
      </c>
      <c r="F2475" t="str">
        <f t="shared" si="116"/>
        <v/>
      </c>
    </row>
    <row r="2476" spans="1:6" x14ac:dyDescent="0.25">
      <c r="A2476" t="s">
        <v>207</v>
      </c>
      <c r="B2476" s="1">
        <v>46055</v>
      </c>
      <c r="C2476">
        <v>45</v>
      </c>
      <c r="D2476" t="str">
        <f t="shared" si="114"/>
        <v/>
      </c>
      <c r="E2476">
        <f t="shared" si="115"/>
        <v>4</v>
      </c>
      <c r="F2476" t="str">
        <f t="shared" si="116"/>
        <v/>
      </c>
    </row>
    <row r="2477" spans="1:6" x14ac:dyDescent="0.25">
      <c r="A2477" t="s">
        <v>207</v>
      </c>
      <c r="B2477" s="1">
        <v>46062</v>
      </c>
      <c r="C2477">
        <v>63</v>
      </c>
      <c r="D2477">
        <f t="shared" si="114"/>
        <v>58.4</v>
      </c>
      <c r="E2477">
        <f t="shared" si="115"/>
        <v>5</v>
      </c>
      <c r="F2477">
        <f t="shared" si="116"/>
        <v>7.3015873015873034E-2</v>
      </c>
    </row>
    <row r="2478" spans="1:6" x14ac:dyDescent="0.25">
      <c r="A2478" t="s">
        <v>207</v>
      </c>
      <c r="B2478" s="1">
        <v>46069</v>
      </c>
      <c r="C2478">
        <v>52</v>
      </c>
      <c r="D2478">
        <f t="shared" si="114"/>
        <v>59</v>
      </c>
      <c r="E2478">
        <f t="shared" si="115"/>
        <v>5</v>
      </c>
      <c r="F2478">
        <f t="shared" si="116"/>
        <v>0.13461538461538461</v>
      </c>
    </row>
    <row r="2479" spans="1:6" x14ac:dyDescent="0.25">
      <c r="A2479" t="s">
        <v>207</v>
      </c>
      <c r="B2479" s="1">
        <v>46076</v>
      </c>
      <c r="C2479">
        <v>51</v>
      </c>
      <c r="D2479">
        <f t="shared" si="114"/>
        <v>58.6</v>
      </c>
      <c r="E2479">
        <f t="shared" si="115"/>
        <v>5</v>
      </c>
      <c r="F2479">
        <f t="shared" si="116"/>
        <v>0.14901960784313728</v>
      </c>
    </row>
    <row r="2480" spans="1:6" x14ac:dyDescent="0.25">
      <c r="A2480" t="s">
        <v>207</v>
      </c>
      <c r="B2480" s="1">
        <v>46083</v>
      </c>
      <c r="C2480">
        <v>59</v>
      </c>
      <c r="D2480">
        <f t="shared" si="114"/>
        <v>56.6</v>
      </c>
      <c r="E2480">
        <f t="shared" si="115"/>
        <v>5</v>
      </c>
      <c r="F2480">
        <f t="shared" si="116"/>
        <v>4.0677966101694892E-2</v>
      </c>
    </row>
    <row r="2481" spans="1:6" x14ac:dyDescent="0.25">
      <c r="A2481" t="s">
        <v>207</v>
      </c>
      <c r="B2481" s="1">
        <v>46090</v>
      </c>
      <c r="C2481">
        <v>65</v>
      </c>
      <c r="D2481">
        <f t="shared" si="114"/>
        <v>54</v>
      </c>
      <c r="E2481">
        <f t="shared" si="115"/>
        <v>5</v>
      </c>
      <c r="F2481">
        <f t="shared" si="116"/>
        <v>0.16923076923076924</v>
      </c>
    </row>
    <row r="2482" spans="1:6" x14ac:dyDescent="0.25">
      <c r="A2482" t="s">
        <v>207</v>
      </c>
      <c r="B2482" s="1">
        <v>46097</v>
      </c>
      <c r="C2482">
        <v>63</v>
      </c>
      <c r="D2482">
        <f t="shared" si="114"/>
        <v>58</v>
      </c>
      <c r="E2482">
        <f t="shared" si="115"/>
        <v>5</v>
      </c>
      <c r="F2482">
        <f t="shared" si="116"/>
        <v>7.9365079365079361E-2</v>
      </c>
    </row>
    <row r="2483" spans="1:6" x14ac:dyDescent="0.25">
      <c r="A2483" t="s">
        <v>207</v>
      </c>
      <c r="B2483" s="1">
        <v>46104</v>
      </c>
      <c r="C2483">
        <v>55</v>
      </c>
      <c r="D2483">
        <f t="shared" si="114"/>
        <v>58</v>
      </c>
      <c r="E2483">
        <f t="shared" si="115"/>
        <v>5</v>
      </c>
      <c r="F2483">
        <f t="shared" si="116"/>
        <v>5.4545454545454543E-2</v>
      </c>
    </row>
    <row r="2484" spans="1:6" x14ac:dyDescent="0.25">
      <c r="A2484" t="s">
        <v>207</v>
      </c>
      <c r="B2484" s="1">
        <v>46111</v>
      </c>
      <c r="C2484">
        <v>54</v>
      </c>
      <c r="D2484">
        <f t="shared" si="114"/>
        <v>58.6</v>
      </c>
      <c r="E2484">
        <f t="shared" si="115"/>
        <v>5</v>
      </c>
      <c r="F2484">
        <f t="shared" si="116"/>
        <v>8.5185185185185211E-2</v>
      </c>
    </row>
    <row r="2485" spans="1:6" x14ac:dyDescent="0.25">
      <c r="A2485" t="s">
        <v>207</v>
      </c>
      <c r="B2485" s="1">
        <v>46118</v>
      </c>
      <c r="C2485">
        <v>61</v>
      </c>
      <c r="D2485">
        <f t="shared" si="114"/>
        <v>59.2</v>
      </c>
      <c r="E2485">
        <f t="shared" si="115"/>
        <v>5</v>
      </c>
      <c r="F2485">
        <f t="shared" si="116"/>
        <v>2.9508196721311428E-2</v>
      </c>
    </row>
    <row r="2486" spans="1:6" x14ac:dyDescent="0.25">
      <c r="A2486" t="s">
        <v>207</v>
      </c>
      <c r="B2486" s="1">
        <v>46125</v>
      </c>
      <c r="C2486">
        <v>65</v>
      </c>
      <c r="D2486">
        <f t="shared" si="114"/>
        <v>59.6</v>
      </c>
      <c r="E2486">
        <f t="shared" si="115"/>
        <v>5</v>
      </c>
      <c r="F2486">
        <f t="shared" si="116"/>
        <v>8.3076923076923048E-2</v>
      </c>
    </row>
    <row r="2487" spans="1:6" x14ac:dyDescent="0.25">
      <c r="A2487" t="s">
        <v>207</v>
      </c>
      <c r="B2487" s="1">
        <v>46132</v>
      </c>
      <c r="C2487">
        <v>61</v>
      </c>
      <c r="D2487">
        <f t="shared" si="114"/>
        <v>59.6</v>
      </c>
      <c r="E2487">
        <f t="shared" si="115"/>
        <v>5</v>
      </c>
      <c r="F2487">
        <f t="shared" si="116"/>
        <v>2.2950819672131126E-2</v>
      </c>
    </row>
    <row r="2488" spans="1:6" x14ac:dyDescent="0.25">
      <c r="A2488" t="s">
        <v>207</v>
      </c>
      <c r="B2488" s="1">
        <v>46139</v>
      </c>
      <c r="C2488">
        <v>57</v>
      </c>
      <c r="D2488">
        <f t="shared" si="114"/>
        <v>59.2</v>
      </c>
      <c r="E2488">
        <f t="shared" si="115"/>
        <v>5</v>
      </c>
      <c r="F2488">
        <f t="shared" si="116"/>
        <v>3.8596491228070226E-2</v>
      </c>
    </row>
    <row r="2489" spans="1:6" x14ac:dyDescent="0.25">
      <c r="A2489" t="s">
        <v>207</v>
      </c>
      <c r="B2489" s="1">
        <v>46146</v>
      </c>
      <c r="C2489">
        <v>79</v>
      </c>
      <c r="D2489">
        <f t="shared" si="114"/>
        <v>59.6</v>
      </c>
      <c r="E2489">
        <f t="shared" si="115"/>
        <v>5</v>
      </c>
      <c r="F2489">
        <f t="shared" si="116"/>
        <v>0.24556962025316453</v>
      </c>
    </row>
    <row r="2490" spans="1:6" x14ac:dyDescent="0.25">
      <c r="A2490" t="s">
        <v>207</v>
      </c>
      <c r="B2490" s="1">
        <v>46153</v>
      </c>
      <c r="C2490">
        <v>63</v>
      </c>
      <c r="D2490">
        <f t="shared" si="114"/>
        <v>64.599999999999994</v>
      </c>
      <c r="E2490">
        <f t="shared" si="115"/>
        <v>5</v>
      </c>
      <c r="F2490">
        <f t="shared" si="116"/>
        <v>2.5396825396825307E-2</v>
      </c>
    </row>
    <row r="2491" spans="1:6" x14ac:dyDescent="0.25">
      <c r="A2491" t="s">
        <v>207</v>
      </c>
      <c r="B2491" s="1">
        <v>46160</v>
      </c>
      <c r="C2491">
        <v>68</v>
      </c>
      <c r="D2491">
        <f t="shared" si="114"/>
        <v>65</v>
      </c>
      <c r="E2491">
        <f t="shared" si="115"/>
        <v>5</v>
      </c>
      <c r="F2491">
        <f t="shared" si="116"/>
        <v>4.4117647058823532E-2</v>
      </c>
    </row>
    <row r="2492" spans="1:6" x14ac:dyDescent="0.25">
      <c r="A2492" t="s">
        <v>207</v>
      </c>
      <c r="B2492" s="1">
        <v>46167</v>
      </c>
      <c r="C2492">
        <v>66</v>
      </c>
      <c r="D2492">
        <f t="shared" si="114"/>
        <v>65.599999999999994</v>
      </c>
      <c r="E2492">
        <f t="shared" si="115"/>
        <v>5</v>
      </c>
      <c r="F2492">
        <f t="shared" si="116"/>
        <v>6.0606060606061465E-3</v>
      </c>
    </row>
    <row r="2493" spans="1:6" x14ac:dyDescent="0.25">
      <c r="A2493" t="s">
        <v>207</v>
      </c>
      <c r="B2493" s="1">
        <v>46174</v>
      </c>
      <c r="C2493">
        <v>67</v>
      </c>
      <c r="D2493">
        <f t="shared" si="114"/>
        <v>66.599999999999994</v>
      </c>
      <c r="E2493">
        <f t="shared" si="115"/>
        <v>5</v>
      </c>
      <c r="F2493">
        <f t="shared" si="116"/>
        <v>5.9701492537314283E-3</v>
      </c>
    </row>
    <row r="2494" spans="1:6" x14ac:dyDescent="0.25">
      <c r="A2494" t="s">
        <v>207</v>
      </c>
      <c r="B2494" s="1">
        <v>46181</v>
      </c>
      <c r="C2494">
        <v>72</v>
      </c>
      <c r="D2494">
        <f t="shared" si="114"/>
        <v>68.599999999999994</v>
      </c>
      <c r="E2494">
        <f t="shared" si="115"/>
        <v>5</v>
      </c>
      <c r="F2494">
        <f t="shared" si="116"/>
        <v>4.7222222222222304E-2</v>
      </c>
    </row>
    <row r="2495" spans="1:6" x14ac:dyDescent="0.25">
      <c r="A2495" t="s">
        <v>207</v>
      </c>
      <c r="B2495" s="1">
        <v>46188</v>
      </c>
      <c r="C2495">
        <v>70</v>
      </c>
      <c r="D2495">
        <f t="shared" si="114"/>
        <v>67.2</v>
      </c>
      <c r="E2495">
        <f t="shared" si="115"/>
        <v>5</v>
      </c>
      <c r="F2495">
        <f t="shared" si="116"/>
        <v>3.9999999999999959E-2</v>
      </c>
    </row>
    <row r="2496" spans="1:6" x14ac:dyDescent="0.25">
      <c r="A2496" t="s">
        <v>207</v>
      </c>
      <c r="B2496" s="1">
        <v>46195</v>
      </c>
      <c r="C2496">
        <v>77</v>
      </c>
      <c r="D2496">
        <f t="shared" si="114"/>
        <v>68.599999999999994</v>
      </c>
      <c r="E2496">
        <f t="shared" si="115"/>
        <v>5</v>
      </c>
      <c r="F2496">
        <f t="shared" si="116"/>
        <v>0.10909090909090917</v>
      </c>
    </row>
    <row r="2497" spans="1:6" x14ac:dyDescent="0.25">
      <c r="A2497" t="s">
        <v>207</v>
      </c>
      <c r="B2497" s="1">
        <v>46202</v>
      </c>
      <c r="C2497">
        <v>66</v>
      </c>
      <c r="D2497">
        <f t="shared" si="114"/>
        <v>70.400000000000006</v>
      </c>
      <c r="E2497">
        <f t="shared" si="115"/>
        <v>5</v>
      </c>
      <c r="F2497">
        <f t="shared" si="116"/>
        <v>6.6666666666666749E-2</v>
      </c>
    </row>
    <row r="2498" spans="1:6" x14ac:dyDescent="0.25">
      <c r="A2498" t="s">
        <v>209</v>
      </c>
      <c r="B2498" s="1">
        <v>46027</v>
      </c>
      <c r="C2498">
        <v>44</v>
      </c>
      <c r="D2498" t="str">
        <f t="shared" ref="D2498:D2561" si="117">IF(E2498 &lt; 5, "", AVERAGEIFS(C:C, A:A, A2498, B:B, "&gt;=" &amp; (B2498-35), B:B, "&lt;=" &amp; (B2498-7)))</f>
        <v/>
      </c>
      <c r="E2498">
        <f t="shared" ref="E2498:E2561" si="118">COUNTIFS(A:A, A2498, B:B, "&gt;=" &amp; (B2498-35), B:B, "&lt;=" &amp; (B2498-7))</f>
        <v>0</v>
      </c>
      <c r="F2498" t="str">
        <f t="shared" ref="F2498:F2561" si="119">IF(OR(C2498=0, D2498=""), "", ABS(C2498 - D2498) / C2498)</f>
        <v/>
      </c>
    </row>
    <row r="2499" spans="1:6" x14ac:dyDescent="0.25">
      <c r="A2499" t="s">
        <v>209</v>
      </c>
      <c r="B2499" s="1">
        <v>46034</v>
      </c>
      <c r="C2499">
        <v>81</v>
      </c>
      <c r="D2499" t="str">
        <f t="shared" si="117"/>
        <v/>
      </c>
      <c r="E2499">
        <f t="shared" si="118"/>
        <v>1</v>
      </c>
      <c r="F2499" t="str">
        <f t="shared" si="119"/>
        <v/>
      </c>
    </row>
    <row r="2500" spans="1:6" x14ac:dyDescent="0.25">
      <c r="A2500" t="s">
        <v>209</v>
      </c>
      <c r="B2500" s="1">
        <v>46041</v>
      </c>
      <c r="C2500">
        <v>76</v>
      </c>
      <c r="D2500" t="str">
        <f t="shared" si="117"/>
        <v/>
      </c>
      <c r="E2500">
        <f t="shared" si="118"/>
        <v>2</v>
      </c>
      <c r="F2500" t="str">
        <f t="shared" si="119"/>
        <v/>
      </c>
    </row>
    <row r="2501" spans="1:6" x14ac:dyDescent="0.25">
      <c r="A2501" t="s">
        <v>209</v>
      </c>
      <c r="B2501" s="1">
        <v>46048</v>
      </c>
      <c r="C2501">
        <v>50</v>
      </c>
      <c r="D2501" t="str">
        <f t="shared" si="117"/>
        <v/>
      </c>
      <c r="E2501">
        <f t="shared" si="118"/>
        <v>3</v>
      </c>
      <c r="F2501" t="str">
        <f t="shared" si="119"/>
        <v/>
      </c>
    </row>
    <row r="2502" spans="1:6" x14ac:dyDescent="0.25">
      <c r="A2502" t="s">
        <v>209</v>
      </c>
      <c r="B2502" s="1">
        <v>46055</v>
      </c>
      <c r="C2502">
        <v>73</v>
      </c>
      <c r="D2502" t="str">
        <f t="shared" si="117"/>
        <v/>
      </c>
      <c r="E2502">
        <f t="shared" si="118"/>
        <v>4</v>
      </c>
      <c r="F2502" t="str">
        <f t="shared" si="119"/>
        <v/>
      </c>
    </row>
    <row r="2503" spans="1:6" x14ac:dyDescent="0.25">
      <c r="A2503" t="s">
        <v>209</v>
      </c>
      <c r="B2503" s="1">
        <v>46062</v>
      </c>
      <c r="C2503">
        <v>71</v>
      </c>
      <c r="D2503">
        <f t="shared" si="117"/>
        <v>64.8</v>
      </c>
      <c r="E2503">
        <f t="shared" si="118"/>
        <v>5</v>
      </c>
      <c r="F2503">
        <f t="shared" si="119"/>
        <v>8.7323943661971867E-2</v>
      </c>
    </row>
    <row r="2504" spans="1:6" x14ac:dyDescent="0.25">
      <c r="A2504" t="s">
        <v>209</v>
      </c>
      <c r="B2504" s="1">
        <v>46069</v>
      </c>
      <c r="C2504">
        <v>73</v>
      </c>
      <c r="D2504">
        <f t="shared" si="117"/>
        <v>70.2</v>
      </c>
      <c r="E2504">
        <f t="shared" si="118"/>
        <v>5</v>
      </c>
      <c r="F2504">
        <f t="shared" si="119"/>
        <v>3.8356164383561604E-2</v>
      </c>
    </row>
    <row r="2505" spans="1:6" x14ac:dyDescent="0.25">
      <c r="A2505" t="s">
        <v>209</v>
      </c>
      <c r="B2505" s="1">
        <v>46076</v>
      </c>
      <c r="C2505">
        <v>50</v>
      </c>
      <c r="D2505">
        <f t="shared" si="117"/>
        <v>68.599999999999994</v>
      </c>
      <c r="E2505">
        <f t="shared" si="118"/>
        <v>5</v>
      </c>
      <c r="F2505">
        <f t="shared" si="119"/>
        <v>0.37199999999999989</v>
      </c>
    </row>
    <row r="2506" spans="1:6" x14ac:dyDescent="0.25">
      <c r="A2506" t="s">
        <v>209</v>
      </c>
      <c r="B2506" s="1">
        <v>46083</v>
      </c>
      <c r="C2506">
        <v>61</v>
      </c>
      <c r="D2506">
        <f t="shared" si="117"/>
        <v>63.4</v>
      </c>
      <c r="E2506">
        <f t="shared" si="118"/>
        <v>5</v>
      </c>
      <c r="F2506">
        <f t="shared" si="119"/>
        <v>3.9344262295081943E-2</v>
      </c>
    </row>
    <row r="2507" spans="1:6" x14ac:dyDescent="0.25">
      <c r="A2507" t="s">
        <v>209</v>
      </c>
      <c r="B2507" s="1">
        <v>46090</v>
      </c>
      <c r="C2507">
        <v>47</v>
      </c>
      <c r="D2507">
        <f t="shared" si="117"/>
        <v>65.599999999999994</v>
      </c>
      <c r="E2507">
        <f t="shared" si="118"/>
        <v>5</v>
      </c>
      <c r="F2507">
        <f t="shared" si="119"/>
        <v>0.39574468085106373</v>
      </c>
    </row>
    <row r="2508" spans="1:6" x14ac:dyDescent="0.25">
      <c r="A2508" t="s">
        <v>209</v>
      </c>
      <c r="B2508" s="1">
        <v>46097</v>
      </c>
      <c r="C2508">
        <v>71</v>
      </c>
      <c r="D2508">
        <f t="shared" si="117"/>
        <v>60.4</v>
      </c>
      <c r="E2508">
        <f t="shared" si="118"/>
        <v>5</v>
      </c>
      <c r="F2508">
        <f t="shared" si="119"/>
        <v>0.14929577464788735</v>
      </c>
    </row>
    <row r="2509" spans="1:6" x14ac:dyDescent="0.25">
      <c r="A2509" t="s">
        <v>209</v>
      </c>
      <c r="B2509" s="1">
        <v>46104</v>
      </c>
      <c r="C2509">
        <v>74</v>
      </c>
      <c r="D2509">
        <f t="shared" si="117"/>
        <v>60.4</v>
      </c>
      <c r="E2509">
        <f t="shared" si="118"/>
        <v>5</v>
      </c>
      <c r="F2509">
        <f t="shared" si="119"/>
        <v>0.18378378378378379</v>
      </c>
    </row>
    <row r="2510" spans="1:6" x14ac:dyDescent="0.25">
      <c r="A2510" t="s">
        <v>209</v>
      </c>
      <c r="B2510" s="1">
        <v>46111</v>
      </c>
      <c r="C2510">
        <v>67</v>
      </c>
      <c r="D2510">
        <f t="shared" si="117"/>
        <v>60.6</v>
      </c>
      <c r="E2510">
        <f t="shared" si="118"/>
        <v>5</v>
      </c>
      <c r="F2510">
        <f t="shared" si="119"/>
        <v>9.5522388059701466E-2</v>
      </c>
    </row>
    <row r="2511" spans="1:6" x14ac:dyDescent="0.25">
      <c r="A2511" t="s">
        <v>209</v>
      </c>
      <c r="B2511" s="1">
        <v>46118</v>
      </c>
      <c r="C2511">
        <v>56</v>
      </c>
      <c r="D2511">
        <f t="shared" si="117"/>
        <v>64</v>
      </c>
      <c r="E2511">
        <f t="shared" si="118"/>
        <v>5</v>
      </c>
      <c r="F2511">
        <f t="shared" si="119"/>
        <v>0.14285714285714285</v>
      </c>
    </row>
    <row r="2512" spans="1:6" x14ac:dyDescent="0.25">
      <c r="A2512" t="s">
        <v>209</v>
      </c>
      <c r="B2512" s="1">
        <v>46125</v>
      </c>
      <c r="C2512">
        <v>78</v>
      </c>
      <c r="D2512">
        <f t="shared" si="117"/>
        <v>63</v>
      </c>
      <c r="E2512">
        <f t="shared" si="118"/>
        <v>5</v>
      </c>
      <c r="F2512">
        <f t="shared" si="119"/>
        <v>0.19230769230769232</v>
      </c>
    </row>
    <row r="2513" spans="1:6" x14ac:dyDescent="0.25">
      <c r="A2513" t="s">
        <v>209</v>
      </c>
      <c r="B2513" s="1">
        <v>46132</v>
      </c>
      <c r="C2513">
        <v>78</v>
      </c>
      <c r="D2513">
        <f t="shared" si="117"/>
        <v>69.2</v>
      </c>
      <c r="E2513">
        <f t="shared" si="118"/>
        <v>5</v>
      </c>
      <c r="F2513">
        <f t="shared" si="119"/>
        <v>0.11282051282051278</v>
      </c>
    </row>
    <row r="2514" spans="1:6" x14ac:dyDescent="0.25">
      <c r="A2514" t="s">
        <v>209</v>
      </c>
      <c r="B2514" s="1">
        <v>46139</v>
      </c>
      <c r="C2514">
        <v>82</v>
      </c>
      <c r="D2514">
        <f t="shared" si="117"/>
        <v>70.599999999999994</v>
      </c>
      <c r="E2514">
        <f t="shared" si="118"/>
        <v>5</v>
      </c>
      <c r="F2514">
        <f t="shared" si="119"/>
        <v>0.13902439024390251</v>
      </c>
    </row>
    <row r="2515" spans="1:6" x14ac:dyDescent="0.25">
      <c r="A2515" t="s">
        <v>209</v>
      </c>
      <c r="B2515" s="1">
        <v>46146</v>
      </c>
      <c r="C2515">
        <v>60</v>
      </c>
      <c r="D2515">
        <f t="shared" si="117"/>
        <v>72.2</v>
      </c>
      <c r="E2515">
        <f t="shared" si="118"/>
        <v>5</v>
      </c>
      <c r="F2515">
        <f t="shared" si="119"/>
        <v>0.20333333333333339</v>
      </c>
    </row>
    <row r="2516" spans="1:6" x14ac:dyDescent="0.25">
      <c r="A2516" t="s">
        <v>209</v>
      </c>
      <c r="B2516" s="1">
        <v>46153</v>
      </c>
      <c r="C2516">
        <v>79</v>
      </c>
      <c r="D2516">
        <f t="shared" si="117"/>
        <v>70.8</v>
      </c>
      <c r="E2516">
        <f t="shared" si="118"/>
        <v>5</v>
      </c>
      <c r="F2516">
        <f t="shared" si="119"/>
        <v>0.10379746835443042</v>
      </c>
    </row>
    <row r="2517" spans="1:6" x14ac:dyDescent="0.25">
      <c r="A2517" t="s">
        <v>209</v>
      </c>
      <c r="B2517" s="1">
        <v>46160</v>
      </c>
      <c r="C2517">
        <v>68</v>
      </c>
      <c r="D2517">
        <f t="shared" si="117"/>
        <v>75.400000000000006</v>
      </c>
      <c r="E2517">
        <f t="shared" si="118"/>
        <v>5</v>
      </c>
      <c r="F2517">
        <f t="shared" si="119"/>
        <v>0.10882352941176479</v>
      </c>
    </row>
    <row r="2518" spans="1:6" x14ac:dyDescent="0.25">
      <c r="A2518" t="s">
        <v>209</v>
      </c>
      <c r="B2518" s="1">
        <v>46167</v>
      </c>
      <c r="C2518">
        <v>68</v>
      </c>
      <c r="D2518">
        <f t="shared" si="117"/>
        <v>73.400000000000006</v>
      </c>
      <c r="E2518">
        <f t="shared" si="118"/>
        <v>5</v>
      </c>
      <c r="F2518">
        <f t="shared" si="119"/>
        <v>7.9411764705882432E-2</v>
      </c>
    </row>
    <row r="2519" spans="1:6" x14ac:dyDescent="0.25">
      <c r="A2519" t="s">
        <v>209</v>
      </c>
      <c r="B2519" s="1">
        <v>46174</v>
      </c>
      <c r="C2519">
        <v>77</v>
      </c>
      <c r="D2519">
        <f t="shared" si="117"/>
        <v>71.400000000000006</v>
      </c>
      <c r="E2519">
        <f t="shared" si="118"/>
        <v>5</v>
      </c>
      <c r="F2519">
        <f t="shared" si="119"/>
        <v>7.2727272727272654E-2</v>
      </c>
    </row>
    <row r="2520" spans="1:6" x14ac:dyDescent="0.25">
      <c r="A2520" t="s">
        <v>209</v>
      </c>
      <c r="B2520" s="1">
        <v>46181</v>
      </c>
      <c r="C2520">
        <v>87</v>
      </c>
      <c r="D2520">
        <f t="shared" si="117"/>
        <v>70.400000000000006</v>
      </c>
      <c r="E2520">
        <f t="shared" si="118"/>
        <v>5</v>
      </c>
      <c r="F2520">
        <f t="shared" si="119"/>
        <v>0.19080459770114935</v>
      </c>
    </row>
    <row r="2521" spans="1:6" x14ac:dyDescent="0.25">
      <c r="A2521" t="s">
        <v>209</v>
      </c>
      <c r="B2521" s="1">
        <v>46188</v>
      </c>
      <c r="C2521">
        <v>68</v>
      </c>
      <c r="D2521">
        <f t="shared" si="117"/>
        <v>75.8</v>
      </c>
      <c r="E2521">
        <f t="shared" si="118"/>
        <v>5</v>
      </c>
      <c r="F2521">
        <f t="shared" si="119"/>
        <v>0.11470588235294113</v>
      </c>
    </row>
    <row r="2522" spans="1:6" x14ac:dyDescent="0.25">
      <c r="A2522" t="s">
        <v>209</v>
      </c>
      <c r="B2522" s="1">
        <v>46195</v>
      </c>
      <c r="C2522">
        <v>89</v>
      </c>
      <c r="D2522">
        <f t="shared" si="117"/>
        <v>73.599999999999994</v>
      </c>
      <c r="E2522">
        <f t="shared" si="118"/>
        <v>5</v>
      </c>
      <c r="F2522">
        <f t="shared" si="119"/>
        <v>0.17303370786516861</v>
      </c>
    </row>
    <row r="2523" spans="1:6" x14ac:dyDescent="0.25">
      <c r="A2523" t="s">
        <v>209</v>
      </c>
      <c r="B2523" s="1">
        <v>46202</v>
      </c>
      <c r="C2523">
        <v>92</v>
      </c>
      <c r="D2523">
        <f t="shared" si="117"/>
        <v>77.8</v>
      </c>
      <c r="E2523">
        <f t="shared" si="118"/>
        <v>5</v>
      </c>
      <c r="F2523">
        <f t="shared" si="119"/>
        <v>0.15434782608695655</v>
      </c>
    </row>
    <row r="2524" spans="1:6" x14ac:dyDescent="0.25">
      <c r="A2524" t="s">
        <v>211</v>
      </c>
      <c r="B2524" s="1">
        <v>46027</v>
      </c>
      <c r="C2524">
        <v>72</v>
      </c>
      <c r="D2524" t="str">
        <f t="shared" si="117"/>
        <v/>
      </c>
      <c r="E2524">
        <f t="shared" si="118"/>
        <v>0</v>
      </c>
      <c r="F2524" t="str">
        <f t="shared" si="119"/>
        <v/>
      </c>
    </row>
    <row r="2525" spans="1:6" x14ac:dyDescent="0.25">
      <c r="A2525" t="s">
        <v>211</v>
      </c>
      <c r="B2525" s="1">
        <v>46034</v>
      </c>
      <c r="C2525">
        <v>65</v>
      </c>
      <c r="D2525" t="str">
        <f t="shared" si="117"/>
        <v/>
      </c>
      <c r="E2525">
        <f t="shared" si="118"/>
        <v>1</v>
      </c>
      <c r="F2525" t="str">
        <f t="shared" si="119"/>
        <v/>
      </c>
    </row>
    <row r="2526" spans="1:6" x14ac:dyDescent="0.25">
      <c r="A2526" t="s">
        <v>211</v>
      </c>
      <c r="B2526" s="1">
        <v>46041</v>
      </c>
      <c r="C2526">
        <v>67</v>
      </c>
      <c r="D2526" t="str">
        <f t="shared" si="117"/>
        <v/>
      </c>
      <c r="E2526">
        <f t="shared" si="118"/>
        <v>2</v>
      </c>
      <c r="F2526" t="str">
        <f t="shared" si="119"/>
        <v/>
      </c>
    </row>
    <row r="2527" spans="1:6" x14ac:dyDescent="0.25">
      <c r="A2527" t="s">
        <v>211</v>
      </c>
      <c r="B2527" s="1">
        <v>46048</v>
      </c>
      <c r="C2527">
        <v>73</v>
      </c>
      <c r="D2527" t="str">
        <f t="shared" si="117"/>
        <v/>
      </c>
      <c r="E2527">
        <f t="shared" si="118"/>
        <v>3</v>
      </c>
      <c r="F2527" t="str">
        <f t="shared" si="119"/>
        <v/>
      </c>
    </row>
    <row r="2528" spans="1:6" x14ac:dyDescent="0.25">
      <c r="A2528" t="s">
        <v>211</v>
      </c>
      <c r="B2528" s="1">
        <v>46055</v>
      </c>
      <c r="C2528">
        <v>60</v>
      </c>
      <c r="D2528" t="str">
        <f t="shared" si="117"/>
        <v/>
      </c>
      <c r="E2528">
        <f t="shared" si="118"/>
        <v>4</v>
      </c>
      <c r="F2528" t="str">
        <f t="shared" si="119"/>
        <v/>
      </c>
    </row>
    <row r="2529" spans="1:6" x14ac:dyDescent="0.25">
      <c r="A2529" t="s">
        <v>211</v>
      </c>
      <c r="B2529" s="1">
        <v>46062</v>
      </c>
      <c r="C2529">
        <v>78</v>
      </c>
      <c r="D2529">
        <f t="shared" si="117"/>
        <v>67.400000000000006</v>
      </c>
      <c r="E2529">
        <f t="shared" si="118"/>
        <v>5</v>
      </c>
      <c r="F2529">
        <f t="shared" si="119"/>
        <v>0.13589743589743583</v>
      </c>
    </row>
    <row r="2530" spans="1:6" x14ac:dyDescent="0.25">
      <c r="A2530" t="s">
        <v>211</v>
      </c>
      <c r="B2530" s="1">
        <v>46069</v>
      </c>
      <c r="C2530">
        <v>82</v>
      </c>
      <c r="D2530">
        <f t="shared" si="117"/>
        <v>68.599999999999994</v>
      </c>
      <c r="E2530">
        <f t="shared" si="118"/>
        <v>5</v>
      </c>
      <c r="F2530">
        <f t="shared" si="119"/>
        <v>0.16341463414634153</v>
      </c>
    </row>
    <row r="2531" spans="1:6" x14ac:dyDescent="0.25">
      <c r="A2531" t="s">
        <v>211</v>
      </c>
      <c r="B2531" s="1">
        <v>46076</v>
      </c>
      <c r="C2531">
        <v>61</v>
      </c>
      <c r="D2531">
        <f t="shared" si="117"/>
        <v>72</v>
      </c>
      <c r="E2531">
        <f t="shared" si="118"/>
        <v>5</v>
      </c>
      <c r="F2531">
        <f t="shared" si="119"/>
        <v>0.18032786885245902</v>
      </c>
    </row>
    <row r="2532" spans="1:6" x14ac:dyDescent="0.25">
      <c r="A2532" t="s">
        <v>211</v>
      </c>
      <c r="B2532" s="1">
        <v>46083</v>
      </c>
      <c r="C2532">
        <v>65</v>
      </c>
      <c r="D2532">
        <f t="shared" si="117"/>
        <v>70.8</v>
      </c>
      <c r="E2532">
        <f t="shared" si="118"/>
        <v>5</v>
      </c>
      <c r="F2532">
        <f t="shared" si="119"/>
        <v>8.9230769230769183E-2</v>
      </c>
    </row>
    <row r="2533" spans="1:6" x14ac:dyDescent="0.25">
      <c r="A2533" t="s">
        <v>211</v>
      </c>
      <c r="B2533" s="1">
        <v>46090</v>
      </c>
      <c r="C2533">
        <v>70</v>
      </c>
      <c r="D2533">
        <f t="shared" si="117"/>
        <v>69.2</v>
      </c>
      <c r="E2533">
        <f t="shared" si="118"/>
        <v>5</v>
      </c>
      <c r="F2533">
        <f t="shared" si="119"/>
        <v>1.1428571428571389E-2</v>
      </c>
    </row>
    <row r="2534" spans="1:6" x14ac:dyDescent="0.25">
      <c r="A2534" t="s">
        <v>211</v>
      </c>
      <c r="B2534" s="1">
        <v>46097</v>
      </c>
      <c r="C2534">
        <v>68</v>
      </c>
      <c r="D2534">
        <f t="shared" si="117"/>
        <v>71.2</v>
      </c>
      <c r="E2534">
        <f t="shared" si="118"/>
        <v>5</v>
      </c>
      <c r="F2534">
        <f t="shared" si="119"/>
        <v>4.7058823529411806E-2</v>
      </c>
    </row>
    <row r="2535" spans="1:6" x14ac:dyDescent="0.25">
      <c r="A2535" t="s">
        <v>211</v>
      </c>
      <c r="B2535" s="1">
        <v>46104</v>
      </c>
      <c r="C2535">
        <v>73</v>
      </c>
      <c r="D2535">
        <f t="shared" si="117"/>
        <v>69.2</v>
      </c>
      <c r="E2535">
        <f t="shared" si="118"/>
        <v>5</v>
      </c>
      <c r="F2535">
        <f t="shared" si="119"/>
        <v>5.2054794520547905E-2</v>
      </c>
    </row>
    <row r="2536" spans="1:6" x14ac:dyDescent="0.25">
      <c r="A2536" t="s">
        <v>211</v>
      </c>
      <c r="B2536" s="1">
        <v>46111</v>
      </c>
      <c r="C2536">
        <v>88</v>
      </c>
      <c r="D2536">
        <f t="shared" si="117"/>
        <v>67.400000000000006</v>
      </c>
      <c r="E2536">
        <f t="shared" si="118"/>
        <v>5</v>
      </c>
      <c r="F2536">
        <f t="shared" si="119"/>
        <v>0.23409090909090902</v>
      </c>
    </row>
    <row r="2537" spans="1:6" x14ac:dyDescent="0.25">
      <c r="A2537" t="s">
        <v>211</v>
      </c>
      <c r="B2537" s="1">
        <v>46118</v>
      </c>
      <c r="C2537">
        <v>63</v>
      </c>
      <c r="D2537">
        <f t="shared" si="117"/>
        <v>72.8</v>
      </c>
      <c r="E2537">
        <f t="shared" si="118"/>
        <v>5</v>
      </c>
      <c r="F2537">
        <f t="shared" si="119"/>
        <v>0.1555555555555555</v>
      </c>
    </row>
    <row r="2538" spans="1:6" x14ac:dyDescent="0.25">
      <c r="A2538" t="s">
        <v>211</v>
      </c>
      <c r="B2538" s="1">
        <v>46125</v>
      </c>
      <c r="C2538">
        <v>83</v>
      </c>
      <c r="D2538">
        <f t="shared" si="117"/>
        <v>72.400000000000006</v>
      </c>
      <c r="E2538">
        <f t="shared" si="118"/>
        <v>5</v>
      </c>
      <c r="F2538">
        <f t="shared" si="119"/>
        <v>0.12771084337349392</v>
      </c>
    </row>
    <row r="2539" spans="1:6" x14ac:dyDescent="0.25">
      <c r="A2539" t="s">
        <v>211</v>
      </c>
      <c r="B2539" s="1">
        <v>46132</v>
      </c>
      <c r="C2539">
        <v>75</v>
      </c>
      <c r="D2539">
        <f t="shared" si="117"/>
        <v>75</v>
      </c>
      <c r="E2539">
        <f t="shared" si="118"/>
        <v>5</v>
      </c>
      <c r="F2539">
        <f t="shared" si="119"/>
        <v>0</v>
      </c>
    </row>
    <row r="2540" spans="1:6" x14ac:dyDescent="0.25">
      <c r="A2540" t="s">
        <v>211</v>
      </c>
      <c r="B2540" s="1">
        <v>46139</v>
      </c>
      <c r="C2540">
        <v>73</v>
      </c>
      <c r="D2540">
        <f t="shared" si="117"/>
        <v>76.400000000000006</v>
      </c>
      <c r="E2540">
        <f t="shared" si="118"/>
        <v>5</v>
      </c>
      <c r="F2540">
        <f t="shared" si="119"/>
        <v>4.6575342465753504E-2</v>
      </c>
    </row>
    <row r="2541" spans="1:6" x14ac:dyDescent="0.25">
      <c r="A2541" t="s">
        <v>211</v>
      </c>
      <c r="B2541" s="1">
        <v>46146</v>
      </c>
      <c r="C2541">
        <v>66</v>
      </c>
      <c r="D2541">
        <f t="shared" si="117"/>
        <v>76.400000000000006</v>
      </c>
      <c r="E2541">
        <f t="shared" si="118"/>
        <v>5</v>
      </c>
      <c r="F2541">
        <f t="shared" si="119"/>
        <v>0.15757575757575767</v>
      </c>
    </row>
    <row r="2542" spans="1:6" x14ac:dyDescent="0.25">
      <c r="A2542" t="s">
        <v>211</v>
      </c>
      <c r="B2542" s="1">
        <v>46153</v>
      </c>
      <c r="C2542">
        <v>60</v>
      </c>
      <c r="D2542">
        <f t="shared" si="117"/>
        <v>72</v>
      </c>
      <c r="E2542">
        <f t="shared" si="118"/>
        <v>5</v>
      </c>
      <c r="F2542">
        <f t="shared" si="119"/>
        <v>0.2</v>
      </c>
    </row>
    <row r="2543" spans="1:6" x14ac:dyDescent="0.25">
      <c r="A2543" t="s">
        <v>211</v>
      </c>
      <c r="B2543" s="1">
        <v>46160</v>
      </c>
      <c r="C2543">
        <v>84</v>
      </c>
      <c r="D2543">
        <f t="shared" si="117"/>
        <v>71.400000000000006</v>
      </c>
      <c r="E2543">
        <f t="shared" si="118"/>
        <v>5</v>
      </c>
      <c r="F2543">
        <f t="shared" si="119"/>
        <v>0.14999999999999994</v>
      </c>
    </row>
    <row r="2544" spans="1:6" x14ac:dyDescent="0.25">
      <c r="A2544" t="s">
        <v>211</v>
      </c>
      <c r="B2544" s="1">
        <v>46167</v>
      </c>
      <c r="C2544">
        <v>99</v>
      </c>
      <c r="D2544">
        <f t="shared" si="117"/>
        <v>71.599999999999994</v>
      </c>
      <c r="E2544">
        <f t="shared" si="118"/>
        <v>5</v>
      </c>
      <c r="F2544">
        <f t="shared" si="119"/>
        <v>0.27676767676767683</v>
      </c>
    </row>
    <row r="2545" spans="1:6" x14ac:dyDescent="0.25">
      <c r="A2545" t="s">
        <v>211</v>
      </c>
      <c r="B2545" s="1">
        <v>46174</v>
      </c>
      <c r="C2545">
        <v>75</v>
      </c>
      <c r="D2545">
        <f t="shared" si="117"/>
        <v>76.400000000000006</v>
      </c>
      <c r="E2545">
        <f t="shared" si="118"/>
        <v>5</v>
      </c>
      <c r="F2545">
        <f t="shared" si="119"/>
        <v>1.8666666666666741E-2</v>
      </c>
    </row>
    <row r="2546" spans="1:6" x14ac:dyDescent="0.25">
      <c r="A2546" t="s">
        <v>211</v>
      </c>
      <c r="B2546" s="1">
        <v>46181</v>
      </c>
      <c r="C2546">
        <v>94</v>
      </c>
      <c r="D2546">
        <f t="shared" si="117"/>
        <v>76.8</v>
      </c>
      <c r="E2546">
        <f t="shared" si="118"/>
        <v>5</v>
      </c>
      <c r="F2546">
        <f t="shared" si="119"/>
        <v>0.18297872340425536</v>
      </c>
    </row>
    <row r="2547" spans="1:6" x14ac:dyDescent="0.25">
      <c r="A2547" t="s">
        <v>211</v>
      </c>
      <c r="B2547" s="1">
        <v>46188</v>
      </c>
      <c r="C2547">
        <v>74</v>
      </c>
      <c r="D2547">
        <f t="shared" si="117"/>
        <v>82.4</v>
      </c>
      <c r="E2547">
        <f t="shared" si="118"/>
        <v>5</v>
      </c>
      <c r="F2547">
        <f t="shared" si="119"/>
        <v>0.11351351351351359</v>
      </c>
    </row>
    <row r="2548" spans="1:6" x14ac:dyDescent="0.25">
      <c r="A2548" t="s">
        <v>211</v>
      </c>
      <c r="B2548" s="1">
        <v>46195</v>
      </c>
      <c r="C2548">
        <v>93</v>
      </c>
      <c r="D2548">
        <f t="shared" si="117"/>
        <v>85.2</v>
      </c>
      <c r="E2548">
        <f t="shared" si="118"/>
        <v>5</v>
      </c>
      <c r="F2548">
        <f t="shared" si="119"/>
        <v>8.3870967741935448E-2</v>
      </c>
    </row>
    <row r="2549" spans="1:6" x14ac:dyDescent="0.25">
      <c r="A2549" t="s">
        <v>211</v>
      </c>
      <c r="B2549" s="1">
        <v>46202</v>
      </c>
      <c r="C2549">
        <v>86</v>
      </c>
      <c r="D2549">
        <f t="shared" si="117"/>
        <v>87</v>
      </c>
      <c r="E2549">
        <f t="shared" si="118"/>
        <v>5</v>
      </c>
      <c r="F2549">
        <f t="shared" si="119"/>
        <v>1.1627906976744186E-2</v>
      </c>
    </row>
    <row r="2550" spans="1:6" x14ac:dyDescent="0.25">
      <c r="A2550" t="s">
        <v>213</v>
      </c>
      <c r="B2550" s="1">
        <v>46027</v>
      </c>
      <c r="C2550">
        <v>74</v>
      </c>
      <c r="D2550" t="str">
        <f t="shared" si="117"/>
        <v/>
      </c>
      <c r="E2550">
        <f t="shared" si="118"/>
        <v>0</v>
      </c>
      <c r="F2550" t="str">
        <f t="shared" si="119"/>
        <v/>
      </c>
    </row>
    <row r="2551" spans="1:6" x14ac:dyDescent="0.25">
      <c r="A2551" t="s">
        <v>213</v>
      </c>
      <c r="B2551" s="1">
        <v>46034</v>
      </c>
      <c r="C2551">
        <v>134</v>
      </c>
      <c r="D2551" t="str">
        <f t="shared" si="117"/>
        <v/>
      </c>
      <c r="E2551">
        <f t="shared" si="118"/>
        <v>1</v>
      </c>
      <c r="F2551" t="str">
        <f t="shared" si="119"/>
        <v/>
      </c>
    </row>
    <row r="2552" spans="1:6" x14ac:dyDescent="0.25">
      <c r="A2552" t="s">
        <v>213</v>
      </c>
      <c r="B2552" s="1">
        <v>46041</v>
      </c>
      <c r="C2552">
        <v>100</v>
      </c>
      <c r="D2552" t="str">
        <f t="shared" si="117"/>
        <v/>
      </c>
      <c r="E2552">
        <f t="shared" si="118"/>
        <v>2</v>
      </c>
      <c r="F2552" t="str">
        <f t="shared" si="119"/>
        <v/>
      </c>
    </row>
    <row r="2553" spans="1:6" x14ac:dyDescent="0.25">
      <c r="A2553" t="s">
        <v>213</v>
      </c>
      <c r="B2553" s="1">
        <v>46048</v>
      </c>
      <c r="C2553">
        <v>77</v>
      </c>
      <c r="D2553" t="str">
        <f t="shared" si="117"/>
        <v/>
      </c>
      <c r="E2553">
        <f t="shared" si="118"/>
        <v>3</v>
      </c>
      <c r="F2553" t="str">
        <f t="shared" si="119"/>
        <v/>
      </c>
    </row>
    <row r="2554" spans="1:6" x14ac:dyDescent="0.25">
      <c r="A2554" t="s">
        <v>213</v>
      </c>
      <c r="B2554" s="1">
        <v>46055</v>
      </c>
      <c r="C2554">
        <v>92</v>
      </c>
      <c r="D2554" t="str">
        <f t="shared" si="117"/>
        <v/>
      </c>
      <c r="E2554">
        <f t="shared" si="118"/>
        <v>4</v>
      </c>
      <c r="F2554" t="str">
        <f t="shared" si="119"/>
        <v/>
      </c>
    </row>
    <row r="2555" spans="1:6" x14ac:dyDescent="0.25">
      <c r="A2555" t="s">
        <v>213</v>
      </c>
      <c r="B2555" s="1">
        <v>46062</v>
      </c>
      <c r="C2555">
        <v>98</v>
      </c>
      <c r="D2555">
        <f t="shared" si="117"/>
        <v>95.4</v>
      </c>
      <c r="E2555">
        <f t="shared" si="118"/>
        <v>5</v>
      </c>
      <c r="F2555">
        <f t="shared" si="119"/>
        <v>2.6530612244897903E-2</v>
      </c>
    </row>
    <row r="2556" spans="1:6" x14ac:dyDescent="0.25">
      <c r="A2556" t="s">
        <v>213</v>
      </c>
      <c r="B2556" s="1">
        <v>46069</v>
      </c>
      <c r="C2556">
        <v>81</v>
      </c>
      <c r="D2556">
        <f t="shared" si="117"/>
        <v>100.2</v>
      </c>
      <c r="E2556">
        <f t="shared" si="118"/>
        <v>5</v>
      </c>
      <c r="F2556">
        <f t="shared" si="119"/>
        <v>0.23703703703703707</v>
      </c>
    </row>
    <row r="2557" spans="1:6" x14ac:dyDescent="0.25">
      <c r="A2557" t="s">
        <v>213</v>
      </c>
      <c r="B2557" s="1">
        <v>46076</v>
      </c>
      <c r="C2557">
        <v>89</v>
      </c>
      <c r="D2557">
        <f t="shared" si="117"/>
        <v>89.6</v>
      </c>
      <c r="E2557">
        <f t="shared" si="118"/>
        <v>5</v>
      </c>
      <c r="F2557">
        <f t="shared" si="119"/>
        <v>6.7415730337078011E-3</v>
      </c>
    </row>
    <row r="2558" spans="1:6" x14ac:dyDescent="0.25">
      <c r="A2558" t="s">
        <v>213</v>
      </c>
      <c r="B2558" s="1">
        <v>46083</v>
      </c>
      <c r="C2558">
        <v>110</v>
      </c>
      <c r="D2558">
        <f t="shared" si="117"/>
        <v>87.4</v>
      </c>
      <c r="E2558">
        <f t="shared" si="118"/>
        <v>5</v>
      </c>
      <c r="F2558">
        <f t="shared" si="119"/>
        <v>0.20545454545454539</v>
      </c>
    </row>
    <row r="2559" spans="1:6" x14ac:dyDescent="0.25">
      <c r="A2559" t="s">
        <v>213</v>
      </c>
      <c r="B2559" s="1">
        <v>46090</v>
      </c>
      <c r="C2559">
        <v>135</v>
      </c>
      <c r="D2559">
        <f t="shared" si="117"/>
        <v>94</v>
      </c>
      <c r="E2559">
        <f t="shared" si="118"/>
        <v>5</v>
      </c>
      <c r="F2559">
        <f t="shared" si="119"/>
        <v>0.3037037037037037</v>
      </c>
    </row>
    <row r="2560" spans="1:6" x14ac:dyDescent="0.25">
      <c r="A2560" t="s">
        <v>213</v>
      </c>
      <c r="B2560" s="1">
        <v>46097</v>
      </c>
      <c r="C2560">
        <v>82</v>
      </c>
      <c r="D2560">
        <f t="shared" si="117"/>
        <v>102.6</v>
      </c>
      <c r="E2560">
        <f t="shared" si="118"/>
        <v>5</v>
      </c>
      <c r="F2560">
        <f t="shared" si="119"/>
        <v>0.2512195121951219</v>
      </c>
    </row>
    <row r="2561" spans="1:6" x14ac:dyDescent="0.25">
      <c r="A2561" t="s">
        <v>213</v>
      </c>
      <c r="B2561" s="1">
        <v>46104</v>
      </c>
      <c r="C2561">
        <v>103</v>
      </c>
      <c r="D2561">
        <f t="shared" si="117"/>
        <v>99.4</v>
      </c>
      <c r="E2561">
        <f t="shared" si="118"/>
        <v>5</v>
      </c>
      <c r="F2561">
        <f t="shared" si="119"/>
        <v>3.4951456310679557E-2</v>
      </c>
    </row>
    <row r="2562" spans="1:6" x14ac:dyDescent="0.25">
      <c r="A2562" t="s">
        <v>213</v>
      </c>
      <c r="B2562" s="1">
        <v>46111</v>
      </c>
      <c r="C2562">
        <v>126</v>
      </c>
      <c r="D2562">
        <f t="shared" ref="D2562:D2625" si="120">IF(E2562 &lt; 5, "", AVERAGEIFS(C:C, A:A, A2562, B:B, "&gt;=" &amp; (B2562-35), B:B, "&lt;=" &amp; (B2562-7)))</f>
        <v>103.8</v>
      </c>
      <c r="E2562">
        <f t="shared" ref="E2562:E2625" si="121">COUNTIFS(A:A, A2562, B:B, "&gt;=" &amp; (B2562-35), B:B, "&lt;=" &amp; (B2562-7))</f>
        <v>5</v>
      </c>
      <c r="F2562">
        <f t="shared" ref="F2562:F2625" si="122">IF(OR(C2562=0, D2562=""), "", ABS(C2562 - D2562) / C2562)</f>
        <v>0.1761904761904762</v>
      </c>
    </row>
    <row r="2563" spans="1:6" x14ac:dyDescent="0.25">
      <c r="A2563" t="s">
        <v>213</v>
      </c>
      <c r="B2563" s="1">
        <v>46118</v>
      </c>
      <c r="C2563">
        <v>125</v>
      </c>
      <c r="D2563">
        <f t="shared" si="120"/>
        <v>111.2</v>
      </c>
      <c r="E2563">
        <f t="shared" si="121"/>
        <v>5</v>
      </c>
      <c r="F2563">
        <f t="shared" si="122"/>
        <v>0.11039999999999997</v>
      </c>
    </row>
    <row r="2564" spans="1:6" x14ac:dyDescent="0.25">
      <c r="A2564" t="s">
        <v>213</v>
      </c>
      <c r="B2564" s="1">
        <v>46125</v>
      </c>
      <c r="C2564">
        <v>115</v>
      </c>
      <c r="D2564">
        <f t="shared" si="120"/>
        <v>114.2</v>
      </c>
      <c r="E2564">
        <f t="shared" si="121"/>
        <v>5</v>
      </c>
      <c r="F2564">
        <f t="shared" si="122"/>
        <v>6.9565217391304099E-3</v>
      </c>
    </row>
    <row r="2565" spans="1:6" x14ac:dyDescent="0.25">
      <c r="A2565" t="s">
        <v>213</v>
      </c>
      <c r="B2565" s="1">
        <v>46132</v>
      </c>
      <c r="C2565">
        <v>125</v>
      </c>
      <c r="D2565">
        <f t="shared" si="120"/>
        <v>110.2</v>
      </c>
      <c r="E2565">
        <f t="shared" si="121"/>
        <v>5</v>
      </c>
      <c r="F2565">
        <f t="shared" si="122"/>
        <v>0.11839999999999998</v>
      </c>
    </row>
    <row r="2566" spans="1:6" x14ac:dyDescent="0.25">
      <c r="A2566" t="s">
        <v>213</v>
      </c>
      <c r="B2566" s="1">
        <v>46139</v>
      </c>
      <c r="C2566">
        <v>141</v>
      </c>
      <c r="D2566">
        <f t="shared" si="120"/>
        <v>118.8</v>
      </c>
      <c r="E2566">
        <f t="shared" si="121"/>
        <v>5</v>
      </c>
      <c r="F2566">
        <f t="shared" si="122"/>
        <v>0.15744680851063833</v>
      </c>
    </row>
    <row r="2567" spans="1:6" x14ac:dyDescent="0.25">
      <c r="A2567" t="s">
        <v>213</v>
      </c>
      <c r="B2567" s="1">
        <v>46146</v>
      </c>
      <c r="C2567">
        <v>125</v>
      </c>
      <c r="D2567">
        <f t="shared" si="120"/>
        <v>126.4</v>
      </c>
      <c r="E2567">
        <f t="shared" si="121"/>
        <v>5</v>
      </c>
      <c r="F2567">
        <f t="shared" si="122"/>
        <v>1.1200000000000045E-2</v>
      </c>
    </row>
    <row r="2568" spans="1:6" x14ac:dyDescent="0.25">
      <c r="A2568" t="s">
        <v>213</v>
      </c>
      <c r="B2568" s="1">
        <v>46153</v>
      </c>
      <c r="C2568">
        <v>99</v>
      </c>
      <c r="D2568">
        <f t="shared" si="120"/>
        <v>126.2</v>
      </c>
      <c r="E2568">
        <f t="shared" si="121"/>
        <v>5</v>
      </c>
      <c r="F2568">
        <f t="shared" si="122"/>
        <v>0.2747474747474748</v>
      </c>
    </row>
    <row r="2569" spans="1:6" x14ac:dyDescent="0.25">
      <c r="A2569" t="s">
        <v>213</v>
      </c>
      <c r="B2569" s="1">
        <v>46160</v>
      </c>
      <c r="C2569">
        <v>141</v>
      </c>
      <c r="D2569">
        <f t="shared" si="120"/>
        <v>121</v>
      </c>
      <c r="E2569">
        <f t="shared" si="121"/>
        <v>5</v>
      </c>
      <c r="F2569">
        <f t="shared" si="122"/>
        <v>0.14184397163120568</v>
      </c>
    </row>
    <row r="2570" spans="1:6" x14ac:dyDescent="0.25">
      <c r="A2570" t="s">
        <v>213</v>
      </c>
      <c r="B2570" s="1">
        <v>46167</v>
      </c>
      <c r="C2570">
        <v>112</v>
      </c>
      <c r="D2570">
        <f t="shared" si="120"/>
        <v>126.2</v>
      </c>
      <c r="E2570">
        <f t="shared" si="121"/>
        <v>5</v>
      </c>
      <c r="F2570">
        <f t="shared" si="122"/>
        <v>0.12678571428571431</v>
      </c>
    </row>
    <row r="2571" spans="1:6" x14ac:dyDescent="0.25">
      <c r="A2571" t="s">
        <v>213</v>
      </c>
      <c r="B2571" s="1">
        <v>46174</v>
      </c>
      <c r="C2571">
        <v>142</v>
      </c>
      <c r="D2571">
        <f t="shared" si="120"/>
        <v>123.6</v>
      </c>
      <c r="E2571">
        <f t="shared" si="121"/>
        <v>5</v>
      </c>
      <c r="F2571">
        <f t="shared" si="122"/>
        <v>0.12957746478873244</v>
      </c>
    </row>
    <row r="2572" spans="1:6" x14ac:dyDescent="0.25">
      <c r="A2572" t="s">
        <v>213</v>
      </c>
      <c r="B2572" s="1">
        <v>46181</v>
      </c>
      <c r="C2572">
        <v>162</v>
      </c>
      <c r="D2572">
        <f t="shared" si="120"/>
        <v>123.8</v>
      </c>
      <c r="E2572">
        <f t="shared" si="121"/>
        <v>5</v>
      </c>
      <c r="F2572">
        <f t="shared" si="122"/>
        <v>0.23580246913580249</v>
      </c>
    </row>
    <row r="2573" spans="1:6" x14ac:dyDescent="0.25">
      <c r="A2573" t="s">
        <v>213</v>
      </c>
      <c r="B2573" s="1">
        <v>46188</v>
      </c>
      <c r="C2573">
        <v>134</v>
      </c>
      <c r="D2573">
        <f t="shared" si="120"/>
        <v>131.19999999999999</v>
      </c>
      <c r="E2573">
        <f t="shared" si="121"/>
        <v>5</v>
      </c>
      <c r="F2573">
        <f t="shared" si="122"/>
        <v>2.0895522388059785E-2</v>
      </c>
    </row>
    <row r="2574" spans="1:6" x14ac:dyDescent="0.25">
      <c r="A2574" t="s">
        <v>213</v>
      </c>
      <c r="B2574" s="1">
        <v>46195</v>
      </c>
      <c r="C2574">
        <v>135</v>
      </c>
      <c r="D2574">
        <f t="shared" si="120"/>
        <v>138.19999999999999</v>
      </c>
      <c r="E2574">
        <f t="shared" si="121"/>
        <v>5</v>
      </c>
      <c r="F2574">
        <f t="shared" si="122"/>
        <v>2.3703703703703619E-2</v>
      </c>
    </row>
    <row r="2575" spans="1:6" x14ac:dyDescent="0.25">
      <c r="A2575" t="s">
        <v>213</v>
      </c>
      <c r="B2575" s="1">
        <v>46202</v>
      </c>
      <c r="C2575">
        <v>138</v>
      </c>
      <c r="D2575">
        <f t="shared" si="120"/>
        <v>137</v>
      </c>
      <c r="E2575">
        <f t="shared" si="121"/>
        <v>5</v>
      </c>
      <c r="F2575">
        <f t="shared" si="122"/>
        <v>7.246376811594203E-3</v>
      </c>
    </row>
    <row r="2576" spans="1:6" x14ac:dyDescent="0.25">
      <c r="A2576" t="s">
        <v>215</v>
      </c>
      <c r="B2576" s="1">
        <v>46027</v>
      </c>
      <c r="C2576">
        <v>91</v>
      </c>
      <c r="D2576" t="str">
        <f t="shared" si="120"/>
        <v/>
      </c>
      <c r="E2576">
        <f t="shared" si="121"/>
        <v>0</v>
      </c>
      <c r="F2576" t="str">
        <f t="shared" si="122"/>
        <v/>
      </c>
    </row>
    <row r="2577" spans="1:6" x14ac:dyDescent="0.25">
      <c r="A2577" t="s">
        <v>215</v>
      </c>
      <c r="B2577" s="1">
        <v>46034</v>
      </c>
      <c r="C2577">
        <v>91</v>
      </c>
      <c r="D2577" t="str">
        <f t="shared" si="120"/>
        <v/>
      </c>
      <c r="E2577">
        <f t="shared" si="121"/>
        <v>1</v>
      </c>
      <c r="F2577" t="str">
        <f t="shared" si="122"/>
        <v/>
      </c>
    </row>
    <row r="2578" spans="1:6" x14ac:dyDescent="0.25">
      <c r="A2578" t="s">
        <v>215</v>
      </c>
      <c r="B2578" s="1">
        <v>46041</v>
      </c>
      <c r="C2578">
        <v>76</v>
      </c>
      <c r="D2578" t="str">
        <f t="shared" si="120"/>
        <v/>
      </c>
      <c r="E2578">
        <f t="shared" si="121"/>
        <v>2</v>
      </c>
      <c r="F2578" t="str">
        <f t="shared" si="122"/>
        <v/>
      </c>
    </row>
    <row r="2579" spans="1:6" x14ac:dyDescent="0.25">
      <c r="A2579" t="s">
        <v>215</v>
      </c>
      <c r="B2579" s="1">
        <v>46048</v>
      </c>
      <c r="C2579">
        <v>76</v>
      </c>
      <c r="D2579" t="str">
        <f t="shared" si="120"/>
        <v/>
      </c>
      <c r="E2579">
        <f t="shared" si="121"/>
        <v>3</v>
      </c>
      <c r="F2579" t="str">
        <f t="shared" si="122"/>
        <v/>
      </c>
    </row>
    <row r="2580" spans="1:6" x14ac:dyDescent="0.25">
      <c r="A2580" t="s">
        <v>215</v>
      </c>
      <c r="B2580" s="1">
        <v>46055</v>
      </c>
      <c r="C2580">
        <v>78</v>
      </c>
      <c r="D2580" t="str">
        <f t="shared" si="120"/>
        <v/>
      </c>
      <c r="E2580">
        <f t="shared" si="121"/>
        <v>4</v>
      </c>
      <c r="F2580" t="str">
        <f t="shared" si="122"/>
        <v/>
      </c>
    </row>
    <row r="2581" spans="1:6" x14ac:dyDescent="0.25">
      <c r="A2581" t="s">
        <v>215</v>
      </c>
      <c r="B2581" s="1">
        <v>46062</v>
      </c>
      <c r="C2581">
        <v>105</v>
      </c>
      <c r="D2581">
        <f t="shared" si="120"/>
        <v>82.4</v>
      </c>
      <c r="E2581">
        <f t="shared" si="121"/>
        <v>5</v>
      </c>
      <c r="F2581">
        <f t="shared" si="122"/>
        <v>0.21523809523809517</v>
      </c>
    </row>
    <row r="2582" spans="1:6" x14ac:dyDescent="0.25">
      <c r="A2582" t="s">
        <v>215</v>
      </c>
      <c r="B2582" s="1">
        <v>46069</v>
      </c>
      <c r="C2582">
        <v>95</v>
      </c>
      <c r="D2582">
        <f t="shared" si="120"/>
        <v>85.2</v>
      </c>
      <c r="E2582">
        <f t="shared" si="121"/>
        <v>5</v>
      </c>
      <c r="F2582">
        <f t="shared" si="122"/>
        <v>0.10315789473684207</v>
      </c>
    </row>
    <row r="2583" spans="1:6" x14ac:dyDescent="0.25">
      <c r="A2583" t="s">
        <v>215</v>
      </c>
      <c r="B2583" s="1">
        <v>46076</v>
      </c>
      <c r="C2583">
        <v>117</v>
      </c>
      <c r="D2583">
        <f t="shared" si="120"/>
        <v>86</v>
      </c>
      <c r="E2583">
        <f t="shared" si="121"/>
        <v>5</v>
      </c>
      <c r="F2583">
        <f t="shared" si="122"/>
        <v>0.26495726495726496</v>
      </c>
    </row>
    <row r="2584" spans="1:6" x14ac:dyDescent="0.25">
      <c r="A2584" t="s">
        <v>215</v>
      </c>
      <c r="B2584" s="1">
        <v>46083</v>
      </c>
      <c r="C2584">
        <v>99</v>
      </c>
      <c r="D2584">
        <f t="shared" si="120"/>
        <v>94.2</v>
      </c>
      <c r="E2584">
        <f t="shared" si="121"/>
        <v>5</v>
      </c>
      <c r="F2584">
        <f t="shared" si="122"/>
        <v>4.8484848484848457E-2</v>
      </c>
    </row>
    <row r="2585" spans="1:6" x14ac:dyDescent="0.25">
      <c r="A2585" t="s">
        <v>215</v>
      </c>
      <c r="B2585" s="1">
        <v>46090</v>
      </c>
      <c r="C2585">
        <v>121</v>
      </c>
      <c r="D2585">
        <f t="shared" si="120"/>
        <v>98.8</v>
      </c>
      <c r="E2585">
        <f t="shared" si="121"/>
        <v>5</v>
      </c>
      <c r="F2585">
        <f t="shared" si="122"/>
        <v>0.1834710743801653</v>
      </c>
    </row>
    <row r="2586" spans="1:6" x14ac:dyDescent="0.25">
      <c r="A2586" t="s">
        <v>215</v>
      </c>
      <c r="B2586" s="1">
        <v>46097</v>
      </c>
      <c r="C2586">
        <v>101</v>
      </c>
      <c r="D2586">
        <f t="shared" si="120"/>
        <v>107.4</v>
      </c>
      <c r="E2586">
        <f t="shared" si="121"/>
        <v>5</v>
      </c>
      <c r="F2586">
        <f t="shared" si="122"/>
        <v>6.3366336633663423E-2</v>
      </c>
    </row>
    <row r="2587" spans="1:6" x14ac:dyDescent="0.25">
      <c r="A2587" t="s">
        <v>215</v>
      </c>
      <c r="B2587" s="1">
        <v>46104</v>
      </c>
      <c r="C2587">
        <v>78</v>
      </c>
      <c r="D2587">
        <f t="shared" si="120"/>
        <v>106.6</v>
      </c>
      <c r="E2587">
        <f t="shared" si="121"/>
        <v>5</v>
      </c>
      <c r="F2587">
        <f t="shared" si="122"/>
        <v>0.36666666666666659</v>
      </c>
    </row>
    <row r="2588" spans="1:6" x14ac:dyDescent="0.25">
      <c r="A2588" t="s">
        <v>215</v>
      </c>
      <c r="B2588" s="1">
        <v>46111</v>
      </c>
      <c r="C2588">
        <v>122</v>
      </c>
      <c r="D2588">
        <f t="shared" si="120"/>
        <v>103.2</v>
      </c>
      <c r="E2588">
        <f t="shared" si="121"/>
        <v>5</v>
      </c>
      <c r="F2588">
        <f t="shared" si="122"/>
        <v>0.15409836065573768</v>
      </c>
    </row>
    <row r="2589" spans="1:6" x14ac:dyDescent="0.25">
      <c r="A2589" t="s">
        <v>215</v>
      </c>
      <c r="B2589" s="1">
        <v>46118</v>
      </c>
      <c r="C2589">
        <v>102</v>
      </c>
      <c r="D2589">
        <f t="shared" si="120"/>
        <v>104.2</v>
      </c>
      <c r="E2589">
        <f t="shared" si="121"/>
        <v>5</v>
      </c>
      <c r="F2589">
        <f t="shared" si="122"/>
        <v>2.156862745098042E-2</v>
      </c>
    </row>
    <row r="2590" spans="1:6" x14ac:dyDescent="0.25">
      <c r="A2590" t="s">
        <v>215</v>
      </c>
      <c r="B2590" s="1">
        <v>46125</v>
      </c>
      <c r="C2590">
        <v>116</v>
      </c>
      <c r="D2590">
        <f t="shared" si="120"/>
        <v>104.8</v>
      </c>
      <c r="E2590">
        <f t="shared" si="121"/>
        <v>5</v>
      </c>
      <c r="F2590">
        <f t="shared" si="122"/>
        <v>9.6551724137931061E-2</v>
      </c>
    </row>
    <row r="2591" spans="1:6" x14ac:dyDescent="0.25">
      <c r="A2591" t="s">
        <v>215</v>
      </c>
      <c r="B2591" s="1">
        <v>46132</v>
      </c>
      <c r="C2591">
        <v>103</v>
      </c>
      <c r="D2591">
        <f t="shared" si="120"/>
        <v>103.8</v>
      </c>
      <c r="E2591">
        <f t="shared" si="121"/>
        <v>5</v>
      </c>
      <c r="F2591">
        <f t="shared" si="122"/>
        <v>7.7669902912621087E-3</v>
      </c>
    </row>
    <row r="2592" spans="1:6" x14ac:dyDescent="0.25">
      <c r="A2592" t="s">
        <v>215</v>
      </c>
      <c r="B2592" s="1">
        <v>46139</v>
      </c>
      <c r="C2592">
        <v>96</v>
      </c>
      <c r="D2592">
        <f t="shared" si="120"/>
        <v>104.2</v>
      </c>
      <c r="E2592">
        <f t="shared" si="121"/>
        <v>5</v>
      </c>
      <c r="F2592">
        <f t="shared" si="122"/>
        <v>8.5416666666666696E-2</v>
      </c>
    </row>
    <row r="2593" spans="1:6" x14ac:dyDescent="0.25">
      <c r="A2593" t="s">
        <v>215</v>
      </c>
      <c r="B2593" s="1">
        <v>46146</v>
      </c>
      <c r="C2593">
        <v>104</v>
      </c>
      <c r="D2593">
        <f t="shared" si="120"/>
        <v>107.8</v>
      </c>
      <c r="E2593">
        <f t="shared" si="121"/>
        <v>5</v>
      </c>
      <c r="F2593">
        <f t="shared" si="122"/>
        <v>3.6538461538461513E-2</v>
      </c>
    </row>
    <row r="2594" spans="1:6" x14ac:dyDescent="0.25">
      <c r="A2594" t="s">
        <v>215</v>
      </c>
      <c r="B2594" s="1">
        <v>46153</v>
      </c>
      <c r="C2594">
        <v>87</v>
      </c>
      <c r="D2594">
        <f t="shared" si="120"/>
        <v>104.2</v>
      </c>
      <c r="E2594">
        <f t="shared" si="121"/>
        <v>5</v>
      </c>
      <c r="F2594">
        <f t="shared" si="122"/>
        <v>0.19770114942528738</v>
      </c>
    </row>
    <row r="2595" spans="1:6" x14ac:dyDescent="0.25">
      <c r="A2595" t="s">
        <v>215</v>
      </c>
      <c r="B2595" s="1">
        <v>46160</v>
      </c>
      <c r="C2595">
        <v>87</v>
      </c>
      <c r="D2595">
        <f t="shared" si="120"/>
        <v>101.2</v>
      </c>
      <c r="E2595">
        <f t="shared" si="121"/>
        <v>5</v>
      </c>
      <c r="F2595">
        <f t="shared" si="122"/>
        <v>0.16321839080459774</v>
      </c>
    </row>
    <row r="2596" spans="1:6" x14ac:dyDescent="0.25">
      <c r="A2596" t="s">
        <v>215</v>
      </c>
      <c r="B2596" s="1">
        <v>46167</v>
      </c>
      <c r="C2596">
        <v>92</v>
      </c>
      <c r="D2596">
        <f t="shared" si="120"/>
        <v>95.4</v>
      </c>
      <c r="E2596">
        <f t="shared" si="121"/>
        <v>5</v>
      </c>
      <c r="F2596">
        <f t="shared" si="122"/>
        <v>3.6956521739130499E-2</v>
      </c>
    </row>
    <row r="2597" spans="1:6" x14ac:dyDescent="0.25">
      <c r="A2597" t="s">
        <v>215</v>
      </c>
      <c r="B2597" s="1">
        <v>46174</v>
      </c>
      <c r="C2597">
        <v>99</v>
      </c>
      <c r="D2597">
        <f t="shared" si="120"/>
        <v>93.2</v>
      </c>
      <c r="E2597">
        <f t="shared" si="121"/>
        <v>5</v>
      </c>
      <c r="F2597">
        <f t="shared" si="122"/>
        <v>5.8585858585858554E-2</v>
      </c>
    </row>
    <row r="2598" spans="1:6" x14ac:dyDescent="0.25">
      <c r="A2598" t="s">
        <v>215</v>
      </c>
      <c r="B2598" s="1">
        <v>46181</v>
      </c>
      <c r="C2598">
        <v>88</v>
      </c>
      <c r="D2598">
        <f t="shared" si="120"/>
        <v>93.8</v>
      </c>
      <c r="E2598">
        <f t="shared" si="121"/>
        <v>5</v>
      </c>
      <c r="F2598">
        <f t="shared" si="122"/>
        <v>6.5909090909090876E-2</v>
      </c>
    </row>
    <row r="2599" spans="1:6" x14ac:dyDescent="0.25">
      <c r="A2599" t="s">
        <v>215</v>
      </c>
      <c r="B2599" s="1">
        <v>46188</v>
      </c>
      <c r="C2599">
        <v>107</v>
      </c>
      <c r="D2599">
        <f t="shared" si="120"/>
        <v>90.6</v>
      </c>
      <c r="E2599">
        <f t="shared" si="121"/>
        <v>5</v>
      </c>
      <c r="F2599">
        <f t="shared" si="122"/>
        <v>0.15327102803738324</v>
      </c>
    </row>
    <row r="2600" spans="1:6" x14ac:dyDescent="0.25">
      <c r="A2600" t="s">
        <v>215</v>
      </c>
      <c r="B2600" s="1">
        <v>46195</v>
      </c>
      <c r="C2600">
        <v>114</v>
      </c>
      <c r="D2600">
        <f t="shared" si="120"/>
        <v>94.6</v>
      </c>
      <c r="E2600">
        <f t="shared" si="121"/>
        <v>5</v>
      </c>
      <c r="F2600">
        <f t="shared" si="122"/>
        <v>0.17017543859649129</v>
      </c>
    </row>
    <row r="2601" spans="1:6" x14ac:dyDescent="0.25">
      <c r="A2601" t="s">
        <v>215</v>
      </c>
      <c r="B2601" s="1">
        <v>46202</v>
      </c>
      <c r="C2601">
        <v>141</v>
      </c>
      <c r="D2601">
        <f t="shared" si="120"/>
        <v>100</v>
      </c>
      <c r="E2601">
        <f t="shared" si="121"/>
        <v>5</v>
      </c>
      <c r="F2601">
        <f t="shared" si="122"/>
        <v>0.29078014184397161</v>
      </c>
    </row>
    <row r="2602" spans="1:6" x14ac:dyDescent="0.25">
      <c r="A2602" t="s">
        <v>217</v>
      </c>
      <c r="B2602" s="1">
        <v>46027</v>
      </c>
      <c r="C2602">
        <v>25</v>
      </c>
      <c r="D2602" t="str">
        <f t="shared" si="120"/>
        <v/>
      </c>
      <c r="E2602">
        <f t="shared" si="121"/>
        <v>0</v>
      </c>
      <c r="F2602" t="str">
        <f t="shared" si="122"/>
        <v/>
      </c>
    </row>
    <row r="2603" spans="1:6" x14ac:dyDescent="0.25">
      <c r="A2603" t="s">
        <v>217</v>
      </c>
      <c r="B2603" s="1">
        <v>46034</v>
      </c>
      <c r="C2603">
        <v>21</v>
      </c>
      <c r="D2603" t="str">
        <f t="shared" si="120"/>
        <v/>
      </c>
      <c r="E2603">
        <f t="shared" si="121"/>
        <v>1</v>
      </c>
      <c r="F2603" t="str">
        <f t="shared" si="122"/>
        <v/>
      </c>
    </row>
    <row r="2604" spans="1:6" x14ac:dyDescent="0.25">
      <c r="A2604" t="s">
        <v>217</v>
      </c>
      <c r="B2604" s="1">
        <v>46041</v>
      </c>
      <c r="C2604">
        <v>24</v>
      </c>
      <c r="D2604" t="str">
        <f t="shared" si="120"/>
        <v/>
      </c>
      <c r="E2604">
        <f t="shared" si="121"/>
        <v>2</v>
      </c>
      <c r="F2604" t="str">
        <f t="shared" si="122"/>
        <v/>
      </c>
    </row>
    <row r="2605" spans="1:6" x14ac:dyDescent="0.25">
      <c r="A2605" t="s">
        <v>217</v>
      </c>
      <c r="B2605" s="1">
        <v>46048</v>
      </c>
      <c r="C2605">
        <v>23</v>
      </c>
      <c r="D2605" t="str">
        <f t="shared" si="120"/>
        <v/>
      </c>
      <c r="E2605">
        <f t="shared" si="121"/>
        <v>3</v>
      </c>
      <c r="F2605" t="str">
        <f t="shared" si="122"/>
        <v/>
      </c>
    </row>
    <row r="2606" spans="1:6" x14ac:dyDescent="0.25">
      <c r="A2606" t="s">
        <v>217</v>
      </c>
      <c r="B2606" s="1">
        <v>46055</v>
      </c>
      <c r="C2606">
        <v>21</v>
      </c>
      <c r="D2606" t="str">
        <f t="shared" si="120"/>
        <v/>
      </c>
      <c r="E2606">
        <f t="shared" si="121"/>
        <v>4</v>
      </c>
      <c r="F2606" t="str">
        <f t="shared" si="122"/>
        <v/>
      </c>
    </row>
    <row r="2607" spans="1:6" x14ac:dyDescent="0.25">
      <c r="A2607" t="s">
        <v>217</v>
      </c>
      <c r="B2607" s="1">
        <v>46062</v>
      </c>
      <c r="C2607">
        <v>24</v>
      </c>
      <c r="D2607">
        <f t="shared" si="120"/>
        <v>22.8</v>
      </c>
      <c r="E2607">
        <f t="shared" si="121"/>
        <v>5</v>
      </c>
      <c r="F2607">
        <f t="shared" si="122"/>
        <v>4.9999999999999968E-2</v>
      </c>
    </row>
    <row r="2608" spans="1:6" x14ac:dyDescent="0.25">
      <c r="A2608" t="s">
        <v>217</v>
      </c>
      <c r="B2608" s="1">
        <v>46069</v>
      </c>
      <c r="C2608">
        <v>18</v>
      </c>
      <c r="D2608">
        <f t="shared" si="120"/>
        <v>22.6</v>
      </c>
      <c r="E2608">
        <f t="shared" si="121"/>
        <v>5</v>
      </c>
      <c r="F2608">
        <f t="shared" si="122"/>
        <v>0.25555555555555565</v>
      </c>
    </row>
    <row r="2609" spans="1:6" x14ac:dyDescent="0.25">
      <c r="A2609" t="s">
        <v>217</v>
      </c>
      <c r="B2609" s="1">
        <v>46076</v>
      </c>
      <c r="C2609">
        <v>26</v>
      </c>
      <c r="D2609">
        <f t="shared" si="120"/>
        <v>22</v>
      </c>
      <c r="E2609">
        <f t="shared" si="121"/>
        <v>5</v>
      </c>
      <c r="F2609">
        <f t="shared" si="122"/>
        <v>0.15384615384615385</v>
      </c>
    </row>
    <row r="2610" spans="1:6" x14ac:dyDescent="0.25">
      <c r="A2610" t="s">
        <v>217</v>
      </c>
      <c r="B2610" s="1">
        <v>46083</v>
      </c>
      <c r="C2610">
        <v>23</v>
      </c>
      <c r="D2610">
        <f t="shared" si="120"/>
        <v>22.4</v>
      </c>
      <c r="E2610">
        <f t="shared" si="121"/>
        <v>5</v>
      </c>
      <c r="F2610">
        <f t="shared" si="122"/>
        <v>2.6086956521739191E-2</v>
      </c>
    </row>
    <row r="2611" spans="1:6" x14ac:dyDescent="0.25">
      <c r="A2611" t="s">
        <v>217</v>
      </c>
      <c r="B2611" s="1">
        <v>46090</v>
      </c>
      <c r="C2611">
        <v>21</v>
      </c>
      <c r="D2611">
        <f t="shared" si="120"/>
        <v>22.4</v>
      </c>
      <c r="E2611">
        <f t="shared" si="121"/>
        <v>5</v>
      </c>
      <c r="F2611">
        <f t="shared" si="122"/>
        <v>6.6666666666666596E-2</v>
      </c>
    </row>
    <row r="2612" spans="1:6" x14ac:dyDescent="0.25">
      <c r="A2612" t="s">
        <v>217</v>
      </c>
      <c r="B2612" s="1">
        <v>46097</v>
      </c>
      <c r="C2612">
        <v>24</v>
      </c>
      <c r="D2612">
        <f t="shared" si="120"/>
        <v>22.4</v>
      </c>
      <c r="E2612">
        <f t="shared" si="121"/>
        <v>5</v>
      </c>
      <c r="F2612">
        <f t="shared" si="122"/>
        <v>6.6666666666666721E-2</v>
      </c>
    </row>
    <row r="2613" spans="1:6" x14ac:dyDescent="0.25">
      <c r="A2613" t="s">
        <v>217</v>
      </c>
      <c r="B2613" s="1">
        <v>46104</v>
      </c>
      <c r="C2613">
        <v>27</v>
      </c>
      <c r="D2613">
        <f t="shared" si="120"/>
        <v>22.4</v>
      </c>
      <c r="E2613">
        <f t="shared" si="121"/>
        <v>5</v>
      </c>
      <c r="F2613">
        <f t="shared" si="122"/>
        <v>0.17037037037037042</v>
      </c>
    </row>
    <row r="2614" spans="1:6" x14ac:dyDescent="0.25">
      <c r="A2614" t="s">
        <v>217</v>
      </c>
      <c r="B2614" s="1">
        <v>46111</v>
      </c>
      <c r="C2614">
        <v>23</v>
      </c>
      <c r="D2614">
        <f t="shared" si="120"/>
        <v>24.2</v>
      </c>
      <c r="E2614">
        <f t="shared" si="121"/>
        <v>5</v>
      </c>
      <c r="F2614">
        <f t="shared" si="122"/>
        <v>5.217391304347823E-2</v>
      </c>
    </row>
    <row r="2615" spans="1:6" x14ac:dyDescent="0.25">
      <c r="A2615" t="s">
        <v>217</v>
      </c>
      <c r="B2615" s="1">
        <v>46118</v>
      </c>
      <c r="C2615">
        <v>28</v>
      </c>
      <c r="D2615">
        <f t="shared" si="120"/>
        <v>23.6</v>
      </c>
      <c r="E2615">
        <f t="shared" si="121"/>
        <v>5</v>
      </c>
      <c r="F2615">
        <f t="shared" si="122"/>
        <v>0.15714285714285708</v>
      </c>
    </row>
    <row r="2616" spans="1:6" x14ac:dyDescent="0.25">
      <c r="A2616" t="s">
        <v>217</v>
      </c>
      <c r="B2616" s="1">
        <v>46125</v>
      </c>
      <c r="C2616">
        <v>28</v>
      </c>
      <c r="D2616">
        <f t="shared" si="120"/>
        <v>24.6</v>
      </c>
      <c r="E2616">
        <f t="shared" si="121"/>
        <v>5</v>
      </c>
      <c r="F2616">
        <f t="shared" si="122"/>
        <v>0.12142857142857137</v>
      </c>
    </row>
    <row r="2617" spans="1:6" x14ac:dyDescent="0.25">
      <c r="A2617" t="s">
        <v>217</v>
      </c>
      <c r="B2617" s="1">
        <v>46132</v>
      </c>
      <c r="C2617">
        <v>32</v>
      </c>
      <c r="D2617">
        <f t="shared" si="120"/>
        <v>26</v>
      </c>
      <c r="E2617">
        <f t="shared" si="121"/>
        <v>5</v>
      </c>
      <c r="F2617">
        <f t="shared" si="122"/>
        <v>0.1875</v>
      </c>
    </row>
    <row r="2618" spans="1:6" x14ac:dyDescent="0.25">
      <c r="A2618" t="s">
        <v>217</v>
      </c>
      <c r="B2618" s="1">
        <v>46139</v>
      </c>
      <c r="C2618">
        <v>23</v>
      </c>
      <c r="D2618">
        <f t="shared" si="120"/>
        <v>27.6</v>
      </c>
      <c r="E2618">
        <f t="shared" si="121"/>
        <v>5</v>
      </c>
      <c r="F2618">
        <f t="shared" si="122"/>
        <v>0.20000000000000007</v>
      </c>
    </row>
    <row r="2619" spans="1:6" x14ac:dyDescent="0.25">
      <c r="A2619" t="s">
        <v>217</v>
      </c>
      <c r="B2619" s="1">
        <v>46146</v>
      </c>
      <c r="C2619">
        <v>27</v>
      </c>
      <c r="D2619">
        <f t="shared" si="120"/>
        <v>26.8</v>
      </c>
      <c r="E2619">
        <f t="shared" si="121"/>
        <v>5</v>
      </c>
      <c r="F2619">
        <f t="shared" si="122"/>
        <v>7.4074074074073808E-3</v>
      </c>
    </row>
    <row r="2620" spans="1:6" x14ac:dyDescent="0.25">
      <c r="A2620" t="s">
        <v>217</v>
      </c>
      <c r="B2620" s="1">
        <v>46153</v>
      </c>
      <c r="C2620">
        <v>29</v>
      </c>
      <c r="D2620">
        <f t="shared" si="120"/>
        <v>27.6</v>
      </c>
      <c r="E2620">
        <f t="shared" si="121"/>
        <v>5</v>
      </c>
      <c r="F2620">
        <f t="shared" si="122"/>
        <v>4.8275862068965468E-2</v>
      </c>
    </row>
    <row r="2621" spans="1:6" x14ac:dyDescent="0.25">
      <c r="A2621" t="s">
        <v>217</v>
      </c>
      <c r="B2621" s="1">
        <v>46160</v>
      </c>
      <c r="C2621">
        <v>33</v>
      </c>
      <c r="D2621">
        <f t="shared" si="120"/>
        <v>27.8</v>
      </c>
      <c r="E2621">
        <f t="shared" si="121"/>
        <v>5</v>
      </c>
      <c r="F2621">
        <f t="shared" si="122"/>
        <v>0.15757575757575756</v>
      </c>
    </row>
    <row r="2622" spans="1:6" x14ac:dyDescent="0.25">
      <c r="A2622" t="s">
        <v>217</v>
      </c>
      <c r="B2622" s="1">
        <v>46167</v>
      </c>
      <c r="C2622">
        <v>29</v>
      </c>
      <c r="D2622">
        <f t="shared" si="120"/>
        <v>28.8</v>
      </c>
      <c r="E2622">
        <f t="shared" si="121"/>
        <v>5</v>
      </c>
      <c r="F2622">
        <f t="shared" si="122"/>
        <v>6.8965517241379067E-3</v>
      </c>
    </row>
    <row r="2623" spans="1:6" x14ac:dyDescent="0.25">
      <c r="A2623" t="s">
        <v>217</v>
      </c>
      <c r="B2623" s="1">
        <v>46174</v>
      </c>
      <c r="C2623">
        <v>31</v>
      </c>
      <c r="D2623">
        <f t="shared" si="120"/>
        <v>28.2</v>
      </c>
      <c r="E2623">
        <f t="shared" si="121"/>
        <v>5</v>
      </c>
      <c r="F2623">
        <f t="shared" si="122"/>
        <v>9.0322580645161313E-2</v>
      </c>
    </row>
    <row r="2624" spans="1:6" x14ac:dyDescent="0.25">
      <c r="A2624" t="s">
        <v>217</v>
      </c>
      <c r="B2624" s="1">
        <v>46181</v>
      </c>
      <c r="C2624">
        <v>23</v>
      </c>
      <c r="D2624">
        <f t="shared" si="120"/>
        <v>29.8</v>
      </c>
      <c r="E2624">
        <f t="shared" si="121"/>
        <v>5</v>
      </c>
      <c r="F2624">
        <f t="shared" si="122"/>
        <v>0.29565217391304349</v>
      </c>
    </row>
    <row r="2625" spans="1:6" x14ac:dyDescent="0.25">
      <c r="A2625" t="s">
        <v>217</v>
      </c>
      <c r="B2625" s="1">
        <v>46188</v>
      </c>
      <c r="C2625">
        <v>27</v>
      </c>
      <c r="D2625">
        <f t="shared" si="120"/>
        <v>29</v>
      </c>
      <c r="E2625">
        <f t="shared" si="121"/>
        <v>5</v>
      </c>
      <c r="F2625">
        <f t="shared" si="122"/>
        <v>7.407407407407407E-2</v>
      </c>
    </row>
    <row r="2626" spans="1:6" x14ac:dyDescent="0.25">
      <c r="A2626" t="s">
        <v>217</v>
      </c>
      <c r="B2626" s="1">
        <v>46195</v>
      </c>
      <c r="C2626">
        <v>35</v>
      </c>
      <c r="D2626">
        <f t="shared" ref="D2626:D2689" si="123">IF(E2626 &lt; 5, "", AVERAGEIFS(C:C, A:A, A2626, B:B, "&gt;=" &amp; (B2626-35), B:B, "&lt;=" &amp; (B2626-7)))</f>
        <v>28.6</v>
      </c>
      <c r="E2626">
        <f t="shared" ref="E2626:E2689" si="124">COUNTIFS(A:A, A2626, B:B, "&gt;=" &amp; (B2626-35), B:B, "&lt;=" &amp; (B2626-7))</f>
        <v>5</v>
      </c>
      <c r="F2626">
        <f t="shared" ref="F2626:F2689" si="125">IF(OR(C2626=0, D2626=""), "", ABS(C2626 - D2626) / C2626)</f>
        <v>0.18285714285714283</v>
      </c>
    </row>
    <row r="2627" spans="1:6" x14ac:dyDescent="0.25">
      <c r="A2627" t="s">
        <v>217</v>
      </c>
      <c r="B2627" s="1">
        <v>46202</v>
      </c>
      <c r="C2627">
        <v>28</v>
      </c>
      <c r="D2627">
        <f t="shared" si="123"/>
        <v>29</v>
      </c>
      <c r="E2627">
        <f t="shared" si="124"/>
        <v>5</v>
      </c>
      <c r="F2627">
        <f t="shared" si="125"/>
        <v>3.5714285714285712E-2</v>
      </c>
    </row>
    <row r="2628" spans="1:6" x14ac:dyDescent="0.25">
      <c r="A2628" t="s">
        <v>219</v>
      </c>
      <c r="B2628" s="1">
        <v>46027</v>
      </c>
      <c r="C2628">
        <v>15</v>
      </c>
      <c r="D2628" t="str">
        <f t="shared" si="123"/>
        <v/>
      </c>
      <c r="E2628">
        <f t="shared" si="124"/>
        <v>0</v>
      </c>
      <c r="F2628" t="str">
        <f t="shared" si="125"/>
        <v/>
      </c>
    </row>
    <row r="2629" spans="1:6" x14ac:dyDescent="0.25">
      <c r="A2629" t="s">
        <v>219</v>
      </c>
      <c r="B2629" s="1">
        <v>46034</v>
      </c>
      <c r="C2629">
        <v>3</v>
      </c>
      <c r="D2629" t="str">
        <f t="shared" si="123"/>
        <v/>
      </c>
      <c r="E2629">
        <f t="shared" si="124"/>
        <v>1</v>
      </c>
      <c r="F2629" t="str">
        <f t="shared" si="125"/>
        <v/>
      </c>
    </row>
    <row r="2630" spans="1:6" x14ac:dyDescent="0.25">
      <c r="A2630" t="s">
        <v>219</v>
      </c>
      <c r="B2630" s="1">
        <v>46041</v>
      </c>
      <c r="C2630">
        <v>23</v>
      </c>
      <c r="D2630" t="str">
        <f t="shared" si="123"/>
        <v/>
      </c>
      <c r="E2630">
        <f t="shared" si="124"/>
        <v>2</v>
      </c>
      <c r="F2630" t="str">
        <f t="shared" si="125"/>
        <v/>
      </c>
    </row>
    <row r="2631" spans="1:6" x14ac:dyDescent="0.25">
      <c r="A2631" t="s">
        <v>219</v>
      </c>
      <c r="B2631" s="1">
        <v>46048</v>
      </c>
      <c r="C2631">
        <v>20</v>
      </c>
      <c r="D2631" t="str">
        <f t="shared" si="123"/>
        <v/>
      </c>
      <c r="E2631">
        <f t="shared" si="124"/>
        <v>3</v>
      </c>
      <c r="F2631" t="str">
        <f t="shared" si="125"/>
        <v/>
      </c>
    </row>
    <row r="2632" spans="1:6" x14ac:dyDescent="0.25">
      <c r="A2632" t="s">
        <v>219</v>
      </c>
      <c r="B2632" s="1">
        <v>46055</v>
      </c>
      <c r="C2632">
        <v>36</v>
      </c>
      <c r="D2632" t="str">
        <f t="shared" si="123"/>
        <v/>
      </c>
      <c r="E2632">
        <f t="shared" si="124"/>
        <v>4</v>
      </c>
      <c r="F2632" t="str">
        <f t="shared" si="125"/>
        <v/>
      </c>
    </row>
    <row r="2633" spans="1:6" x14ac:dyDescent="0.25">
      <c r="A2633" t="s">
        <v>219</v>
      </c>
      <c r="B2633" s="1">
        <v>46062</v>
      </c>
      <c r="C2633">
        <v>20</v>
      </c>
      <c r="D2633">
        <f t="shared" si="123"/>
        <v>19.399999999999999</v>
      </c>
      <c r="E2633">
        <f t="shared" si="124"/>
        <v>5</v>
      </c>
      <c r="F2633">
        <f t="shared" si="125"/>
        <v>3.0000000000000072E-2</v>
      </c>
    </row>
    <row r="2634" spans="1:6" x14ac:dyDescent="0.25">
      <c r="A2634" t="s">
        <v>219</v>
      </c>
      <c r="B2634" s="1">
        <v>46069</v>
      </c>
      <c r="C2634">
        <v>16</v>
      </c>
      <c r="D2634">
        <f t="shared" si="123"/>
        <v>20.399999999999999</v>
      </c>
      <c r="E2634">
        <f t="shared" si="124"/>
        <v>5</v>
      </c>
      <c r="F2634">
        <f t="shared" si="125"/>
        <v>0.27499999999999991</v>
      </c>
    </row>
    <row r="2635" spans="1:6" x14ac:dyDescent="0.25">
      <c r="A2635" t="s">
        <v>219</v>
      </c>
      <c r="B2635" s="1">
        <v>46076</v>
      </c>
      <c r="C2635">
        <v>6</v>
      </c>
      <c r="D2635">
        <f t="shared" si="123"/>
        <v>23</v>
      </c>
      <c r="E2635">
        <f t="shared" si="124"/>
        <v>5</v>
      </c>
      <c r="F2635">
        <f t="shared" si="125"/>
        <v>2.8333333333333335</v>
      </c>
    </row>
    <row r="2636" spans="1:6" x14ac:dyDescent="0.25">
      <c r="A2636" t="s">
        <v>219</v>
      </c>
      <c r="B2636" s="1">
        <v>46083</v>
      </c>
      <c r="C2636">
        <v>18</v>
      </c>
      <c r="D2636">
        <f t="shared" si="123"/>
        <v>19.600000000000001</v>
      </c>
      <c r="E2636">
        <f t="shared" si="124"/>
        <v>5</v>
      </c>
      <c r="F2636">
        <f t="shared" si="125"/>
        <v>8.8888888888888962E-2</v>
      </c>
    </row>
    <row r="2637" spans="1:6" x14ac:dyDescent="0.25">
      <c r="A2637" t="s">
        <v>219</v>
      </c>
      <c r="B2637" s="1">
        <v>46090</v>
      </c>
      <c r="C2637">
        <v>28</v>
      </c>
      <c r="D2637">
        <f t="shared" si="123"/>
        <v>19.2</v>
      </c>
      <c r="E2637">
        <f t="shared" si="124"/>
        <v>5</v>
      </c>
      <c r="F2637">
        <f t="shared" si="125"/>
        <v>0.31428571428571433</v>
      </c>
    </row>
    <row r="2638" spans="1:6" x14ac:dyDescent="0.25">
      <c r="A2638" t="s">
        <v>219</v>
      </c>
      <c r="B2638" s="1">
        <v>46097</v>
      </c>
      <c r="C2638">
        <v>26</v>
      </c>
      <c r="D2638">
        <f t="shared" si="123"/>
        <v>17.600000000000001</v>
      </c>
      <c r="E2638">
        <f t="shared" si="124"/>
        <v>5</v>
      </c>
      <c r="F2638">
        <f t="shared" si="125"/>
        <v>0.32307692307692304</v>
      </c>
    </row>
    <row r="2639" spans="1:6" x14ac:dyDescent="0.25">
      <c r="A2639" t="s">
        <v>219</v>
      </c>
      <c r="B2639" s="1">
        <v>46104</v>
      </c>
      <c r="C2639">
        <v>31</v>
      </c>
      <c r="D2639">
        <f t="shared" si="123"/>
        <v>18.8</v>
      </c>
      <c r="E2639">
        <f t="shared" si="124"/>
        <v>5</v>
      </c>
      <c r="F2639">
        <f t="shared" si="125"/>
        <v>0.39354838709677414</v>
      </c>
    </row>
    <row r="2640" spans="1:6" x14ac:dyDescent="0.25">
      <c r="A2640" t="s">
        <v>219</v>
      </c>
      <c r="B2640" s="1">
        <v>46111</v>
      </c>
      <c r="C2640">
        <v>27</v>
      </c>
      <c r="D2640">
        <f t="shared" si="123"/>
        <v>21.8</v>
      </c>
      <c r="E2640">
        <f t="shared" si="124"/>
        <v>5</v>
      </c>
      <c r="F2640">
        <f t="shared" si="125"/>
        <v>0.19259259259259257</v>
      </c>
    </row>
    <row r="2641" spans="1:6" x14ac:dyDescent="0.25">
      <c r="A2641" t="s">
        <v>219</v>
      </c>
      <c r="B2641" s="1">
        <v>46118</v>
      </c>
      <c r="C2641">
        <v>20</v>
      </c>
      <c r="D2641">
        <f t="shared" si="123"/>
        <v>26</v>
      </c>
      <c r="E2641">
        <f t="shared" si="124"/>
        <v>5</v>
      </c>
      <c r="F2641">
        <f t="shared" si="125"/>
        <v>0.3</v>
      </c>
    </row>
    <row r="2642" spans="1:6" x14ac:dyDescent="0.25">
      <c r="A2642" t="s">
        <v>219</v>
      </c>
      <c r="B2642" s="1">
        <v>46125</v>
      </c>
      <c r="C2642">
        <v>26</v>
      </c>
      <c r="D2642">
        <f t="shared" si="123"/>
        <v>26.4</v>
      </c>
      <c r="E2642">
        <f t="shared" si="124"/>
        <v>5</v>
      </c>
      <c r="F2642">
        <f t="shared" si="125"/>
        <v>1.538461538461533E-2</v>
      </c>
    </row>
    <row r="2643" spans="1:6" x14ac:dyDescent="0.25">
      <c r="A2643" t="s">
        <v>219</v>
      </c>
      <c r="B2643" s="1">
        <v>46132</v>
      </c>
      <c r="C2643">
        <v>22</v>
      </c>
      <c r="D2643">
        <f t="shared" si="123"/>
        <v>26</v>
      </c>
      <c r="E2643">
        <f t="shared" si="124"/>
        <v>5</v>
      </c>
      <c r="F2643">
        <f t="shared" si="125"/>
        <v>0.18181818181818182</v>
      </c>
    </row>
    <row r="2644" spans="1:6" x14ac:dyDescent="0.25">
      <c r="A2644" t="s">
        <v>219</v>
      </c>
      <c r="B2644" s="1">
        <v>46139</v>
      </c>
      <c r="C2644">
        <v>9</v>
      </c>
      <c r="D2644">
        <f t="shared" si="123"/>
        <v>25.2</v>
      </c>
      <c r="E2644">
        <f t="shared" si="124"/>
        <v>5</v>
      </c>
      <c r="F2644">
        <f t="shared" si="125"/>
        <v>1.7999999999999998</v>
      </c>
    </row>
    <row r="2645" spans="1:6" x14ac:dyDescent="0.25">
      <c r="A2645" t="s">
        <v>219</v>
      </c>
      <c r="B2645" s="1">
        <v>46146</v>
      </c>
      <c r="C2645">
        <v>36</v>
      </c>
      <c r="D2645">
        <f t="shared" si="123"/>
        <v>20.8</v>
      </c>
      <c r="E2645">
        <f t="shared" si="124"/>
        <v>5</v>
      </c>
      <c r="F2645">
        <f t="shared" si="125"/>
        <v>0.42222222222222222</v>
      </c>
    </row>
    <row r="2646" spans="1:6" x14ac:dyDescent="0.25">
      <c r="A2646" t="s">
        <v>219</v>
      </c>
      <c r="B2646" s="1">
        <v>46153</v>
      </c>
      <c r="C2646">
        <v>24</v>
      </c>
      <c r="D2646">
        <f t="shared" si="123"/>
        <v>22.6</v>
      </c>
      <c r="E2646">
        <f t="shared" si="124"/>
        <v>5</v>
      </c>
      <c r="F2646">
        <f t="shared" si="125"/>
        <v>5.8333333333333272E-2</v>
      </c>
    </row>
    <row r="2647" spans="1:6" x14ac:dyDescent="0.25">
      <c r="A2647" t="s">
        <v>219</v>
      </c>
      <c r="B2647" s="1">
        <v>46160</v>
      </c>
      <c r="C2647">
        <v>12</v>
      </c>
      <c r="D2647">
        <f t="shared" si="123"/>
        <v>23.4</v>
      </c>
      <c r="E2647">
        <f t="shared" si="124"/>
        <v>5</v>
      </c>
      <c r="F2647">
        <f t="shared" si="125"/>
        <v>0.94999999999999984</v>
      </c>
    </row>
    <row r="2648" spans="1:6" x14ac:dyDescent="0.25">
      <c r="A2648" t="s">
        <v>219</v>
      </c>
      <c r="B2648" s="1">
        <v>46167</v>
      </c>
      <c r="C2648">
        <v>25</v>
      </c>
      <c r="D2648">
        <f t="shared" si="123"/>
        <v>20.6</v>
      </c>
      <c r="E2648">
        <f t="shared" si="124"/>
        <v>5</v>
      </c>
      <c r="F2648">
        <f t="shared" si="125"/>
        <v>0.17599999999999993</v>
      </c>
    </row>
    <row r="2649" spans="1:6" x14ac:dyDescent="0.25">
      <c r="A2649" t="s">
        <v>219</v>
      </c>
      <c r="B2649" s="1">
        <v>46174</v>
      </c>
      <c r="C2649">
        <v>24</v>
      </c>
      <c r="D2649">
        <f t="shared" si="123"/>
        <v>21.2</v>
      </c>
      <c r="E2649">
        <f t="shared" si="124"/>
        <v>5</v>
      </c>
      <c r="F2649">
        <f t="shared" si="125"/>
        <v>0.1166666666666667</v>
      </c>
    </row>
    <row r="2650" spans="1:6" x14ac:dyDescent="0.25">
      <c r="A2650" t="s">
        <v>219</v>
      </c>
      <c r="B2650" s="1">
        <v>46181</v>
      </c>
      <c r="C2650">
        <v>31</v>
      </c>
      <c r="D2650">
        <f t="shared" si="123"/>
        <v>24.2</v>
      </c>
      <c r="E2650">
        <f t="shared" si="124"/>
        <v>5</v>
      </c>
      <c r="F2650">
        <f t="shared" si="125"/>
        <v>0.21935483870967745</v>
      </c>
    </row>
    <row r="2651" spans="1:6" x14ac:dyDescent="0.25">
      <c r="A2651" t="s">
        <v>219</v>
      </c>
      <c r="B2651" s="1">
        <v>46188</v>
      </c>
      <c r="C2651">
        <v>35</v>
      </c>
      <c r="D2651">
        <f t="shared" si="123"/>
        <v>23.2</v>
      </c>
      <c r="E2651">
        <f t="shared" si="124"/>
        <v>5</v>
      </c>
      <c r="F2651">
        <f t="shared" si="125"/>
        <v>0.33714285714285719</v>
      </c>
    </row>
    <row r="2652" spans="1:6" x14ac:dyDescent="0.25">
      <c r="A2652" t="s">
        <v>219</v>
      </c>
      <c r="B2652" s="1">
        <v>46195</v>
      </c>
      <c r="C2652">
        <v>0</v>
      </c>
      <c r="D2652">
        <f t="shared" si="123"/>
        <v>25.4</v>
      </c>
      <c r="E2652">
        <f t="shared" si="124"/>
        <v>5</v>
      </c>
      <c r="F2652" t="str">
        <f t="shared" si="125"/>
        <v/>
      </c>
    </row>
    <row r="2653" spans="1:6" x14ac:dyDescent="0.25">
      <c r="A2653" t="s">
        <v>219</v>
      </c>
      <c r="B2653" s="1">
        <v>46202</v>
      </c>
      <c r="C2653">
        <v>28</v>
      </c>
      <c r="D2653">
        <f t="shared" si="123"/>
        <v>23</v>
      </c>
      <c r="E2653">
        <f t="shared" si="124"/>
        <v>5</v>
      </c>
      <c r="F2653">
        <f t="shared" si="125"/>
        <v>0.17857142857142858</v>
      </c>
    </row>
    <row r="2654" spans="1:6" x14ac:dyDescent="0.25">
      <c r="A2654" t="s">
        <v>221</v>
      </c>
      <c r="B2654" s="1">
        <v>46027</v>
      </c>
      <c r="C2654">
        <v>39</v>
      </c>
      <c r="D2654" t="str">
        <f t="shared" si="123"/>
        <v/>
      </c>
      <c r="E2654">
        <f t="shared" si="124"/>
        <v>0</v>
      </c>
      <c r="F2654" t="str">
        <f t="shared" si="125"/>
        <v/>
      </c>
    </row>
    <row r="2655" spans="1:6" x14ac:dyDescent="0.25">
      <c r="A2655" t="s">
        <v>221</v>
      </c>
      <c r="B2655" s="1">
        <v>46034</v>
      </c>
      <c r="C2655">
        <v>62</v>
      </c>
      <c r="D2655" t="str">
        <f t="shared" si="123"/>
        <v/>
      </c>
      <c r="E2655">
        <f t="shared" si="124"/>
        <v>1</v>
      </c>
      <c r="F2655" t="str">
        <f t="shared" si="125"/>
        <v/>
      </c>
    </row>
    <row r="2656" spans="1:6" x14ac:dyDescent="0.25">
      <c r="A2656" t="s">
        <v>221</v>
      </c>
      <c r="B2656" s="1">
        <v>46041</v>
      </c>
      <c r="C2656">
        <v>63</v>
      </c>
      <c r="D2656" t="str">
        <f t="shared" si="123"/>
        <v/>
      </c>
      <c r="E2656">
        <f t="shared" si="124"/>
        <v>2</v>
      </c>
      <c r="F2656" t="str">
        <f t="shared" si="125"/>
        <v/>
      </c>
    </row>
    <row r="2657" spans="1:6" x14ac:dyDescent="0.25">
      <c r="A2657" t="s">
        <v>221</v>
      </c>
      <c r="B2657" s="1">
        <v>46048</v>
      </c>
      <c r="C2657">
        <v>64</v>
      </c>
      <c r="D2657" t="str">
        <f t="shared" si="123"/>
        <v/>
      </c>
      <c r="E2657">
        <f t="shared" si="124"/>
        <v>3</v>
      </c>
      <c r="F2657" t="str">
        <f t="shared" si="125"/>
        <v/>
      </c>
    </row>
    <row r="2658" spans="1:6" x14ac:dyDescent="0.25">
      <c r="A2658" t="s">
        <v>221</v>
      </c>
      <c r="B2658" s="1">
        <v>46055</v>
      </c>
      <c r="C2658">
        <v>50</v>
      </c>
      <c r="D2658" t="str">
        <f t="shared" si="123"/>
        <v/>
      </c>
      <c r="E2658">
        <f t="shared" si="124"/>
        <v>4</v>
      </c>
      <c r="F2658" t="str">
        <f t="shared" si="125"/>
        <v/>
      </c>
    </row>
    <row r="2659" spans="1:6" x14ac:dyDescent="0.25">
      <c r="A2659" t="s">
        <v>221</v>
      </c>
      <c r="B2659" s="1">
        <v>46062</v>
      </c>
      <c r="C2659">
        <v>57</v>
      </c>
      <c r="D2659">
        <f t="shared" si="123"/>
        <v>55.6</v>
      </c>
      <c r="E2659">
        <f t="shared" si="124"/>
        <v>5</v>
      </c>
      <c r="F2659">
        <f t="shared" si="125"/>
        <v>2.4561403508771906E-2</v>
      </c>
    </row>
    <row r="2660" spans="1:6" x14ac:dyDescent="0.25">
      <c r="A2660" t="s">
        <v>221</v>
      </c>
      <c r="B2660" s="1">
        <v>46069</v>
      </c>
      <c r="C2660">
        <v>65</v>
      </c>
      <c r="D2660">
        <f t="shared" si="123"/>
        <v>59.2</v>
      </c>
      <c r="E2660">
        <f t="shared" si="124"/>
        <v>5</v>
      </c>
      <c r="F2660">
        <f t="shared" si="125"/>
        <v>8.9230769230769183E-2</v>
      </c>
    </row>
    <row r="2661" spans="1:6" x14ac:dyDescent="0.25">
      <c r="A2661" t="s">
        <v>221</v>
      </c>
      <c r="B2661" s="1">
        <v>46076</v>
      </c>
      <c r="C2661">
        <v>71</v>
      </c>
      <c r="D2661">
        <f t="shared" si="123"/>
        <v>59.8</v>
      </c>
      <c r="E2661">
        <f t="shared" si="124"/>
        <v>5</v>
      </c>
      <c r="F2661">
        <f t="shared" si="125"/>
        <v>0.15774647887323948</v>
      </c>
    </row>
    <row r="2662" spans="1:6" x14ac:dyDescent="0.25">
      <c r="A2662" t="s">
        <v>221</v>
      </c>
      <c r="B2662" s="1">
        <v>46083</v>
      </c>
      <c r="C2662">
        <v>86</v>
      </c>
      <c r="D2662">
        <f t="shared" si="123"/>
        <v>61.4</v>
      </c>
      <c r="E2662">
        <f t="shared" si="124"/>
        <v>5</v>
      </c>
      <c r="F2662">
        <f t="shared" si="125"/>
        <v>0.28604651162790701</v>
      </c>
    </row>
    <row r="2663" spans="1:6" x14ac:dyDescent="0.25">
      <c r="A2663" t="s">
        <v>221</v>
      </c>
      <c r="B2663" s="1">
        <v>46090</v>
      </c>
      <c r="C2663">
        <v>68</v>
      </c>
      <c r="D2663">
        <f t="shared" si="123"/>
        <v>65.8</v>
      </c>
      <c r="E2663">
        <f t="shared" si="124"/>
        <v>5</v>
      </c>
      <c r="F2663">
        <f t="shared" si="125"/>
        <v>3.2352941176470633E-2</v>
      </c>
    </row>
    <row r="2664" spans="1:6" x14ac:dyDescent="0.25">
      <c r="A2664" t="s">
        <v>221</v>
      </c>
      <c r="B2664" s="1">
        <v>46097</v>
      </c>
      <c r="C2664">
        <v>60</v>
      </c>
      <c r="D2664">
        <f t="shared" si="123"/>
        <v>69.400000000000006</v>
      </c>
      <c r="E2664">
        <f t="shared" si="124"/>
        <v>5</v>
      </c>
      <c r="F2664">
        <f t="shared" si="125"/>
        <v>0.15666666666666676</v>
      </c>
    </row>
    <row r="2665" spans="1:6" x14ac:dyDescent="0.25">
      <c r="A2665" t="s">
        <v>221</v>
      </c>
      <c r="B2665" s="1">
        <v>46104</v>
      </c>
      <c r="C2665">
        <v>43</v>
      </c>
      <c r="D2665">
        <f t="shared" si="123"/>
        <v>70</v>
      </c>
      <c r="E2665">
        <f t="shared" si="124"/>
        <v>5</v>
      </c>
      <c r="F2665">
        <f t="shared" si="125"/>
        <v>0.62790697674418605</v>
      </c>
    </row>
    <row r="2666" spans="1:6" x14ac:dyDescent="0.25">
      <c r="A2666" t="s">
        <v>221</v>
      </c>
      <c r="B2666" s="1">
        <v>46111</v>
      </c>
      <c r="C2666">
        <v>78</v>
      </c>
      <c r="D2666">
        <f t="shared" si="123"/>
        <v>65.599999999999994</v>
      </c>
      <c r="E2666">
        <f t="shared" si="124"/>
        <v>5</v>
      </c>
      <c r="F2666">
        <f t="shared" si="125"/>
        <v>0.15897435897435905</v>
      </c>
    </row>
    <row r="2667" spans="1:6" x14ac:dyDescent="0.25">
      <c r="A2667" t="s">
        <v>221</v>
      </c>
      <c r="B2667" s="1">
        <v>46118</v>
      </c>
      <c r="C2667">
        <v>67</v>
      </c>
      <c r="D2667">
        <f t="shared" si="123"/>
        <v>67</v>
      </c>
      <c r="E2667">
        <f t="shared" si="124"/>
        <v>5</v>
      </c>
      <c r="F2667">
        <f t="shared" si="125"/>
        <v>0</v>
      </c>
    </row>
    <row r="2668" spans="1:6" x14ac:dyDescent="0.25">
      <c r="A2668" t="s">
        <v>221</v>
      </c>
      <c r="B2668" s="1">
        <v>46125</v>
      </c>
      <c r="C2668">
        <v>68</v>
      </c>
      <c r="D2668">
        <f t="shared" si="123"/>
        <v>63.2</v>
      </c>
      <c r="E2668">
        <f t="shared" si="124"/>
        <v>5</v>
      </c>
      <c r="F2668">
        <f t="shared" si="125"/>
        <v>7.0588235294117604E-2</v>
      </c>
    </row>
    <row r="2669" spans="1:6" x14ac:dyDescent="0.25">
      <c r="A2669" t="s">
        <v>221</v>
      </c>
      <c r="B2669" s="1">
        <v>46132</v>
      </c>
      <c r="C2669">
        <v>60</v>
      </c>
      <c r="D2669">
        <f t="shared" si="123"/>
        <v>63.2</v>
      </c>
      <c r="E2669">
        <f t="shared" si="124"/>
        <v>5</v>
      </c>
      <c r="F2669">
        <f t="shared" si="125"/>
        <v>5.3333333333333378E-2</v>
      </c>
    </row>
    <row r="2670" spans="1:6" x14ac:dyDescent="0.25">
      <c r="A2670" t="s">
        <v>221</v>
      </c>
      <c r="B2670" s="1">
        <v>46139</v>
      </c>
      <c r="C2670">
        <v>78</v>
      </c>
      <c r="D2670">
        <f t="shared" si="123"/>
        <v>63.2</v>
      </c>
      <c r="E2670">
        <f t="shared" si="124"/>
        <v>5</v>
      </c>
      <c r="F2670">
        <f t="shared" si="125"/>
        <v>0.18974358974358971</v>
      </c>
    </row>
    <row r="2671" spans="1:6" x14ac:dyDescent="0.25">
      <c r="A2671" t="s">
        <v>221</v>
      </c>
      <c r="B2671" s="1">
        <v>46146</v>
      </c>
      <c r="C2671">
        <v>53</v>
      </c>
      <c r="D2671">
        <f t="shared" si="123"/>
        <v>70.2</v>
      </c>
      <c r="E2671">
        <f t="shared" si="124"/>
        <v>5</v>
      </c>
      <c r="F2671">
        <f t="shared" si="125"/>
        <v>0.32452830188679249</v>
      </c>
    </row>
    <row r="2672" spans="1:6" x14ac:dyDescent="0.25">
      <c r="A2672" t="s">
        <v>221</v>
      </c>
      <c r="B2672" s="1">
        <v>46153</v>
      </c>
      <c r="C2672">
        <v>73</v>
      </c>
      <c r="D2672">
        <f t="shared" si="123"/>
        <v>65.2</v>
      </c>
      <c r="E2672">
        <f t="shared" si="124"/>
        <v>5</v>
      </c>
      <c r="F2672">
        <f t="shared" si="125"/>
        <v>0.10684931506849311</v>
      </c>
    </row>
    <row r="2673" spans="1:6" x14ac:dyDescent="0.25">
      <c r="A2673" t="s">
        <v>221</v>
      </c>
      <c r="B2673" s="1">
        <v>46160</v>
      </c>
      <c r="C2673">
        <v>74</v>
      </c>
      <c r="D2673">
        <f t="shared" si="123"/>
        <v>66.400000000000006</v>
      </c>
      <c r="E2673">
        <f t="shared" si="124"/>
        <v>5</v>
      </c>
      <c r="F2673">
        <f t="shared" si="125"/>
        <v>0.10270270270270263</v>
      </c>
    </row>
    <row r="2674" spans="1:6" x14ac:dyDescent="0.25">
      <c r="A2674" t="s">
        <v>221</v>
      </c>
      <c r="B2674" s="1">
        <v>46167</v>
      </c>
      <c r="C2674">
        <v>77</v>
      </c>
      <c r="D2674">
        <f t="shared" si="123"/>
        <v>67.599999999999994</v>
      </c>
      <c r="E2674">
        <f t="shared" si="124"/>
        <v>5</v>
      </c>
      <c r="F2674">
        <f t="shared" si="125"/>
        <v>0.12207792207792215</v>
      </c>
    </row>
    <row r="2675" spans="1:6" x14ac:dyDescent="0.25">
      <c r="A2675" t="s">
        <v>221</v>
      </c>
      <c r="B2675" s="1">
        <v>46174</v>
      </c>
      <c r="C2675">
        <v>88</v>
      </c>
      <c r="D2675">
        <f t="shared" si="123"/>
        <v>71</v>
      </c>
      <c r="E2675">
        <f t="shared" si="124"/>
        <v>5</v>
      </c>
      <c r="F2675">
        <f t="shared" si="125"/>
        <v>0.19318181818181818</v>
      </c>
    </row>
    <row r="2676" spans="1:6" x14ac:dyDescent="0.25">
      <c r="A2676" t="s">
        <v>221</v>
      </c>
      <c r="B2676" s="1">
        <v>46181</v>
      </c>
      <c r="C2676">
        <v>74</v>
      </c>
      <c r="D2676">
        <f t="shared" si="123"/>
        <v>73</v>
      </c>
      <c r="E2676">
        <f t="shared" si="124"/>
        <v>5</v>
      </c>
      <c r="F2676">
        <f t="shared" si="125"/>
        <v>1.3513513513513514E-2</v>
      </c>
    </row>
    <row r="2677" spans="1:6" x14ac:dyDescent="0.25">
      <c r="A2677" t="s">
        <v>221</v>
      </c>
      <c r="B2677" s="1">
        <v>46188</v>
      </c>
      <c r="C2677">
        <v>77</v>
      </c>
      <c r="D2677">
        <f t="shared" si="123"/>
        <v>77.2</v>
      </c>
      <c r="E2677">
        <f t="shared" si="124"/>
        <v>5</v>
      </c>
      <c r="F2677">
        <f t="shared" si="125"/>
        <v>2.5974025974026343E-3</v>
      </c>
    </row>
    <row r="2678" spans="1:6" x14ac:dyDescent="0.25">
      <c r="A2678" t="s">
        <v>221</v>
      </c>
      <c r="B2678" s="1">
        <v>46195</v>
      </c>
      <c r="C2678">
        <v>85</v>
      </c>
      <c r="D2678">
        <f t="shared" si="123"/>
        <v>78</v>
      </c>
      <c r="E2678">
        <f t="shared" si="124"/>
        <v>5</v>
      </c>
      <c r="F2678">
        <f t="shared" si="125"/>
        <v>8.2352941176470587E-2</v>
      </c>
    </row>
    <row r="2679" spans="1:6" x14ac:dyDescent="0.25">
      <c r="A2679" t="s">
        <v>221</v>
      </c>
      <c r="B2679" s="1">
        <v>46202</v>
      </c>
      <c r="C2679">
        <v>62</v>
      </c>
      <c r="D2679">
        <f t="shared" si="123"/>
        <v>80.2</v>
      </c>
      <c r="E2679">
        <f t="shared" si="124"/>
        <v>5</v>
      </c>
      <c r="F2679">
        <f t="shared" si="125"/>
        <v>0.29354838709677422</v>
      </c>
    </row>
    <row r="2680" spans="1:6" x14ac:dyDescent="0.25">
      <c r="A2680" t="s">
        <v>223</v>
      </c>
      <c r="B2680" s="1">
        <v>46027</v>
      </c>
      <c r="C2680">
        <v>79</v>
      </c>
      <c r="D2680" t="str">
        <f t="shared" si="123"/>
        <v/>
      </c>
      <c r="E2680">
        <f t="shared" si="124"/>
        <v>0</v>
      </c>
      <c r="F2680" t="str">
        <f t="shared" si="125"/>
        <v/>
      </c>
    </row>
    <row r="2681" spans="1:6" x14ac:dyDescent="0.25">
      <c r="A2681" t="s">
        <v>223</v>
      </c>
      <c r="B2681" s="1">
        <v>46034</v>
      </c>
      <c r="C2681">
        <v>91</v>
      </c>
      <c r="D2681" t="str">
        <f t="shared" si="123"/>
        <v/>
      </c>
      <c r="E2681">
        <f t="shared" si="124"/>
        <v>1</v>
      </c>
      <c r="F2681" t="str">
        <f t="shared" si="125"/>
        <v/>
      </c>
    </row>
    <row r="2682" spans="1:6" x14ac:dyDescent="0.25">
      <c r="A2682" t="s">
        <v>223</v>
      </c>
      <c r="B2682" s="1">
        <v>46041</v>
      </c>
      <c r="C2682">
        <v>98</v>
      </c>
      <c r="D2682" t="str">
        <f t="shared" si="123"/>
        <v/>
      </c>
      <c r="E2682">
        <f t="shared" si="124"/>
        <v>2</v>
      </c>
      <c r="F2682" t="str">
        <f t="shared" si="125"/>
        <v/>
      </c>
    </row>
    <row r="2683" spans="1:6" x14ac:dyDescent="0.25">
      <c r="A2683" t="s">
        <v>223</v>
      </c>
      <c r="B2683" s="1">
        <v>46048</v>
      </c>
      <c r="C2683">
        <v>64</v>
      </c>
      <c r="D2683" t="str">
        <f t="shared" si="123"/>
        <v/>
      </c>
      <c r="E2683">
        <f t="shared" si="124"/>
        <v>3</v>
      </c>
      <c r="F2683" t="str">
        <f t="shared" si="125"/>
        <v/>
      </c>
    </row>
    <row r="2684" spans="1:6" x14ac:dyDescent="0.25">
      <c r="A2684" t="s">
        <v>223</v>
      </c>
      <c r="B2684" s="1">
        <v>46055</v>
      </c>
      <c r="C2684">
        <v>69</v>
      </c>
      <c r="D2684" t="str">
        <f t="shared" si="123"/>
        <v/>
      </c>
      <c r="E2684">
        <f t="shared" si="124"/>
        <v>4</v>
      </c>
      <c r="F2684" t="str">
        <f t="shared" si="125"/>
        <v/>
      </c>
    </row>
    <row r="2685" spans="1:6" x14ac:dyDescent="0.25">
      <c r="A2685" t="s">
        <v>223</v>
      </c>
      <c r="B2685" s="1">
        <v>46062</v>
      </c>
      <c r="C2685">
        <v>93</v>
      </c>
      <c r="D2685">
        <f t="shared" si="123"/>
        <v>80.2</v>
      </c>
      <c r="E2685">
        <f t="shared" si="124"/>
        <v>5</v>
      </c>
      <c r="F2685">
        <f t="shared" si="125"/>
        <v>0.13763440860215051</v>
      </c>
    </row>
    <row r="2686" spans="1:6" x14ac:dyDescent="0.25">
      <c r="A2686" t="s">
        <v>223</v>
      </c>
      <c r="B2686" s="1">
        <v>46069</v>
      </c>
      <c r="C2686">
        <v>59</v>
      </c>
      <c r="D2686">
        <f t="shared" si="123"/>
        <v>83</v>
      </c>
      <c r="E2686">
        <f t="shared" si="124"/>
        <v>5</v>
      </c>
      <c r="F2686">
        <f t="shared" si="125"/>
        <v>0.40677966101694918</v>
      </c>
    </row>
    <row r="2687" spans="1:6" x14ac:dyDescent="0.25">
      <c r="A2687" t="s">
        <v>223</v>
      </c>
      <c r="B2687" s="1">
        <v>46076</v>
      </c>
      <c r="C2687">
        <v>86</v>
      </c>
      <c r="D2687">
        <f t="shared" si="123"/>
        <v>76.599999999999994</v>
      </c>
      <c r="E2687">
        <f t="shared" si="124"/>
        <v>5</v>
      </c>
      <c r="F2687">
        <f t="shared" si="125"/>
        <v>0.10930232558139541</v>
      </c>
    </row>
    <row r="2688" spans="1:6" x14ac:dyDescent="0.25">
      <c r="A2688" t="s">
        <v>223</v>
      </c>
      <c r="B2688" s="1">
        <v>46083</v>
      </c>
      <c r="C2688">
        <v>83</v>
      </c>
      <c r="D2688">
        <f t="shared" si="123"/>
        <v>74.2</v>
      </c>
      <c r="E2688">
        <f t="shared" si="124"/>
        <v>5</v>
      </c>
      <c r="F2688">
        <f t="shared" si="125"/>
        <v>0.10602409638554214</v>
      </c>
    </row>
    <row r="2689" spans="1:6" x14ac:dyDescent="0.25">
      <c r="A2689" t="s">
        <v>223</v>
      </c>
      <c r="B2689" s="1">
        <v>46090</v>
      </c>
      <c r="C2689">
        <v>82</v>
      </c>
      <c r="D2689">
        <f t="shared" si="123"/>
        <v>78</v>
      </c>
      <c r="E2689">
        <f t="shared" si="124"/>
        <v>5</v>
      </c>
      <c r="F2689">
        <f t="shared" si="125"/>
        <v>4.878048780487805E-2</v>
      </c>
    </row>
    <row r="2690" spans="1:6" x14ac:dyDescent="0.25">
      <c r="A2690" t="s">
        <v>223</v>
      </c>
      <c r="B2690" s="1">
        <v>46097</v>
      </c>
      <c r="C2690">
        <v>87</v>
      </c>
      <c r="D2690">
        <f t="shared" ref="D2690:D2753" si="126">IF(E2690 &lt; 5, "", AVERAGEIFS(C:C, A:A, A2690, B:B, "&gt;=" &amp; (B2690-35), B:B, "&lt;=" &amp; (B2690-7)))</f>
        <v>80.599999999999994</v>
      </c>
      <c r="E2690">
        <f t="shared" ref="E2690:E2753" si="127">COUNTIFS(A:A, A2690, B:B, "&gt;=" &amp; (B2690-35), B:B, "&lt;=" &amp; (B2690-7))</f>
        <v>5</v>
      </c>
      <c r="F2690">
        <f t="shared" ref="F2690:F2753" si="128">IF(OR(C2690=0, D2690=""), "", ABS(C2690 - D2690) / C2690)</f>
        <v>7.3563218390804666E-2</v>
      </c>
    </row>
    <row r="2691" spans="1:6" x14ac:dyDescent="0.25">
      <c r="A2691" t="s">
        <v>223</v>
      </c>
      <c r="B2691" s="1">
        <v>46104</v>
      </c>
      <c r="C2691">
        <v>96</v>
      </c>
      <c r="D2691">
        <f t="shared" si="126"/>
        <v>79.400000000000006</v>
      </c>
      <c r="E2691">
        <f t="shared" si="127"/>
        <v>5</v>
      </c>
      <c r="F2691">
        <f t="shared" si="128"/>
        <v>0.17291666666666661</v>
      </c>
    </row>
    <row r="2692" spans="1:6" x14ac:dyDescent="0.25">
      <c r="A2692" t="s">
        <v>223</v>
      </c>
      <c r="B2692" s="1">
        <v>46111</v>
      </c>
      <c r="C2692">
        <v>90</v>
      </c>
      <c r="D2692">
        <f t="shared" si="126"/>
        <v>86.8</v>
      </c>
      <c r="E2692">
        <f t="shared" si="127"/>
        <v>5</v>
      </c>
      <c r="F2692">
        <f t="shared" si="128"/>
        <v>3.555555555555559E-2</v>
      </c>
    </row>
    <row r="2693" spans="1:6" x14ac:dyDescent="0.25">
      <c r="A2693" t="s">
        <v>223</v>
      </c>
      <c r="B2693" s="1">
        <v>46118</v>
      </c>
      <c r="C2693">
        <v>83</v>
      </c>
      <c r="D2693">
        <f t="shared" si="126"/>
        <v>87.6</v>
      </c>
      <c r="E2693">
        <f t="shared" si="127"/>
        <v>5</v>
      </c>
      <c r="F2693">
        <f t="shared" si="128"/>
        <v>5.5421686746987886E-2</v>
      </c>
    </row>
    <row r="2694" spans="1:6" x14ac:dyDescent="0.25">
      <c r="A2694" t="s">
        <v>223</v>
      </c>
      <c r="B2694" s="1">
        <v>46125</v>
      </c>
      <c r="C2694">
        <v>110</v>
      </c>
      <c r="D2694">
        <f t="shared" si="126"/>
        <v>87.6</v>
      </c>
      <c r="E2694">
        <f t="shared" si="127"/>
        <v>5</v>
      </c>
      <c r="F2694">
        <f t="shared" si="128"/>
        <v>0.2036363636363637</v>
      </c>
    </row>
    <row r="2695" spans="1:6" x14ac:dyDescent="0.25">
      <c r="A2695" t="s">
        <v>223</v>
      </c>
      <c r="B2695" s="1">
        <v>46132</v>
      </c>
      <c r="C2695">
        <v>67</v>
      </c>
      <c r="D2695">
        <f t="shared" si="126"/>
        <v>93.2</v>
      </c>
      <c r="E2695">
        <f t="shared" si="127"/>
        <v>5</v>
      </c>
      <c r="F2695">
        <f t="shared" si="128"/>
        <v>0.39104477611940303</v>
      </c>
    </row>
    <row r="2696" spans="1:6" x14ac:dyDescent="0.25">
      <c r="A2696" t="s">
        <v>223</v>
      </c>
      <c r="B2696" s="1">
        <v>46139</v>
      </c>
      <c r="C2696">
        <v>74</v>
      </c>
      <c r="D2696">
        <f t="shared" si="126"/>
        <v>89.2</v>
      </c>
      <c r="E2696">
        <f t="shared" si="127"/>
        <v>5</v>
      </c>
      <c r="F2696">
        <f t="shared" si="128"/>
        <v>0.20540540540540544</v>
      </c>
    </row>
    <row r="2697" spans="1:6" x14ac:dyDescent="0.25">
      <c r="A2697" t="s">
        <v>223</v>
      </c>
      <c r="B2697" s="1">
        <v>46146</v>
      </c>
      <c r="C2697">
        <v>97</v>
      </c>
      <c r="D2697">
        <f t="shared" si="126"/>
        <v>84.8</v>
      </c>
      <c r="E2697">
        <f t="shared" si="127"/>
        <v>5</v>
      </c>
      <c r="F2697">
        <f t="shared" si="128"/>
        <v>0.12577319587628868</v>
      </c>
    </row>
    <row r="2698" spans="1:6" x14ac:dyDescent="0.25">
      <c r="A2698" t="s">
        <v>223</v>
      </c>
      <c r="B2698" s="1">
        <v>46153</v>
      </c>
      <c r="C2698">
        <v>109</v>
      </c>
      <c r="D2698">
        <f t="shared" si="126"/>
        <v>86.2</v>
      </c>
      <c r="E2698">
        <f t="shared" si="127"/>
        <v>5</v>
      </c>
      <c r="F2698">
        <f t="shared" si="128"/>
        <v>0.20917431192660549</v>
      </c>
    </row>
    <row r="2699" spans="1:6" x14ac:dyDescent="0.25">
      <c r="A2699" t="s">
        <v>223</v>
      </c>
      <c r="B2699" s="1">
        <v>46160</v>
      </c>
      <c r="C2699">
        <v>84</v>
      </c>
      <c r="D2699">
        <f t="shared" si="126"/>
        <v>91.4</v>
      </c>
      <c r="E2699">
        <f t="shared" si="127"/>
        <v>5</v>
      </c>
      <c r="F2699">
        <f t="shared" si="128"/>
        <v>8.8095238095238157E-2</v>
      </c>
    </row>
    <row r="2700" spans="1:6" x14ac:dyDescent="0.25">
      <c r="A2700" t="s">
        <v>223</v>
      </c>
      <c r="B2700" s="1">
        <v>46167</v>
      </c>
      <c r="C2700">
        <v>113</v>
      </c>
      <c r="D2700">
        <f t="shared" si="126"/>
        <v>86.2</v>
      </c>
      <c r="E2700">
        <f t="shared" si="127"/>
        <v>5</v>
      </c>
      <c r="F2700">
        <f t="shared" si="128"/>
        <v>0.23716814159292032</v>
      </c>
    </row>
    <row r="2701" spans="1:6" x14ac:dyDescent="0.25">
      <c r="A2701" t="s">
        <v>223</v>
      </c>
      <c r="B2701" s="1">
        <v>46174</v>
      </c>
      <c r="C2701">
        <v>84</v>
      </c>
      <c r="D2701">
        <f t="shared" si="126"/>
        <v>95.4</v>
      </c>
      <c r="E2701">
        <f t="shared" si="127"/>
        <v>5</v>
      </c>
      <c r="F2701">
        <f t="shared" si="128"/>
        <v>0.13571428571428579</v>
      </c>
    </row>
    <row r="2702" spans="1:6" x14ac:dyDescent="0.25">
      <c r="A2702" t="s">
        <v>223</v>
      </c>
      <c r="B2702" s="1">
        <v>46181</v>
      </c>
      <c r="C2702">
        <v>77</v>
      </c>
      <c r="D2702">
        <f t="shared" si="126"/>
        <v>97.4</v>
      </c>
      <c r="E2702">
        <f t="shared" si="127"/>
        <v>5</v>
      </c>
      <c r="F2702">
        <f t="shared" si="128"/>
        <v>0.26493506493506502</v>
      </c>
    </row>
    <row r="2703" spans="1:6" x14ac:dyDescent="0.25">
      <c r="A2703" t="s">
        <v>223</v>
      </c>
      <c r="B2703" s="1">
        <v>46188</v>
      </c>
      <c r="C2703">
        <v>88</v>
      </c>
      <c r="D2703">
        <f t="shared" si="126"/>
        <v>93.4</v>
      </c>
      <c r="E2703">
        <f t="shared" si="127"/>
        <v>5</v>
      </c>
      <c r="F2703">
        <f t="shared" si="128"/>
        <v>6.1363636363636426E-2</v>
      </c>
    </row>
    <row r="2704" spans="1:6" x14ac:dyDescent="0.25">
      <c r="A2704" t="s">
        <v>223</v>
      </c>
      <c r="B2704" s="1">
        <v>46195</v>
      </c>
      <c r="C2704">
        <v>103</v>
      </c>
      <c r="D2704">
        <f t="shared" si="126"/>
        <v>89.2</v>
      </c>
      <c r="E2704">
        <f t="shared" si="127"/>
        <v>5</v>
      </c>
      <c r="F2704">
        <f t="shared" si="128"/>
        <v>0.13398058252427181</v>
      </c>
    </row>
    <row r="2705" spans="1:6" x14ac:dyDescent="0.25">
      <c r="A2705" t="s">
        <v>223</v>
      </c>
      <c r="B2705" s="1">
        <v>46202</v>
      </c>
      <c r="C2705">
        <v>93</v>
      </c>
      <c r="D2705">
        <f t="shared" si="126"/>
        <v>93</v>
      </c>
      <c r="E2705">
        <f t="shared" si="127"/>
        <v>5</v>
      </c>
      <c r="F2705">
        <f t="shared" si="128"/>
        <v>0</v>
      </c>
    </row>
    <row r="2706" spans="1:6" x14ac:dyDescent="0.25">
      <c r="A2706" t="s">
        <v>225</v>
      </c>
      <c r="B2706" s="1">
        <v>46027</v>
      </c>
      <c r="C2706">
        <v>95</v>
      </c>
      <c r="D2706" t="str">
        <f t="shared" si="126"/>
        <v/>
      </c>
      <c r="E2706">
        <f t="shared" si="127"/>
        <v>0</v>
      </c>
      <c r="F2706" t="str">
        <f t="shared" si="128"/>
        <v/>
      </c>
    </row>
    <row r="2707" spans="1:6" x14ac:dyDescent="0.25">
      <c r="A2707" t="s">
        <v>225</v>
      </c>
      <c r="B2707" s="1">
        <v>46034</v>
      </c>
      <c r="C2707">
        <v>88</v>
      </c>
      <c r="D2707" t="str">
        <f t="shared" si="126"/>
        <v/>
      </c>
      <c r="E2707">
        <f t="shared" si="127"/>
        <v>1</v>
      </c>
      <c r="F2707" t="str">
        <f t="shared" si="128"/>
        <v/>
      </c>
    </row>
    <row r="2708" spans="1:6" x14ac:dyDescent="0.25">
      <c r="A2708" t="s">
        <v>225</v>
      </c>
      <c r="B2708" s="1">
        <v>46041</v>
      </c>
      <c r="C2708">
        <v>86</v>
      </c>
      <c r="D2708" t="str">
        <f t="shared" si="126"/>
        <v/>
      </c>
      <c r="E2708">
        <f t="shared" si="127"/>
        <v>2</v>
      </c>
      <c r="F2708" t="str">
        <f t="shared" si="128"/>
        <v/>
      </c>
    </row>
    <row r="2709" spans="1:6" x14ac:dyDescent="0.25">
      <c r="A2709" t="s">
        <v>225</v>
      </c>
      <c r="B2709" s="1">
        <v>46048</v>
      </c>
      <c r="C2709">
        <v>82</v>
      </c>
      <c r="D2709" t="str">
        <f t="shared" si="126"/>
        <v/>
      </c>
      <c r="E2709">
        <f t="shared" si="127"/>
        <v>3</v>
      </c>
      <c r="F2709" t="str">
        <f t="shared" si="128"/>
        <v/>
      </c>
    </row>
    <row r="2710" spans="1:6" x14ac:dyDescent="0.25">
      <c r="A2710" t="s">
        <v>225</v>
      </c>
      <c r="B2710" s="1">
        <v>46055</v>
      </c>
      <c r="C2710">
        <v>95</v>
      </c>
      <c r="D2710" t="str">
        <f t="shared" si="126"/>
        <v/>
      </c>
      <c r="E2710">
        <f t="shared" si="127"/>
        <v>4</v>
      </c>
      <c r="F2710" t="str">
        <f t="shared" si="128"/>
        <v/>
      </c>
    </row>
    <row r="2711" spans="1:6" x14ac:dyDescent="0.25">
      <c r="A2711" t="s">
        <v>225</v>
      </c>
      <c r="B2711" s="1">
        <v>46062</v>
      </c>
      <c r="C2711">
        <v>106</v>
      </c>
      <c r="D2711">
        <f t="shared" si="126"/>
        <v>89.2</v>
      </c>
      <c r="E2711">
        <f t="shared" si="127"/>
        <v>5</v>
      </c>
      <c r="F2711">
        <f t="shared" si="128"/>
        <v>0.15849056603773581</v>
      </c>
    </row>
    <row r="2712" spans="1:6" x14ac:dyDescent="0.25">
      <c r="A2712" t="s">
        <v>225</v>
      </c>
      <c r="B2712" s="1">
        <v>46069</v>
      </c>
      <c r="C2712">
        <v>124</v>
      </c>
      <c r="D2712">
        <f t="shared" si="126"/>
        <v>91.4</v>
      </c>
      <c r="E2712">
        <f t="shared" si="127"/>
        <v>5</v>
      </c>
      <c r="F2712">
        <f t="shared" si="128"/>
        <v>0.26290322580645159</v>
      </c>
    </row>
    <row r="2713" spans="1:6" x14ac:dyDescent="0.25">
      <c r="A2713" t="s">
        <v>225</v>
      </c>
      <c r="B2713" s="1">
        <v>46076</v>
      </c>
      <c r="C2713">
        <v>96</v>
      </c>
      <c r="D2713">
        <f t="shared" si="126"/>
        <v>98.6</v>
      </c>
      <c r="E2713">
        <f t="shared" si="127"/>
        <v>5</v>
      </c>
      <c r="F2713">
        <f t="shared" si="128"/>
        <v>2.7083333333333275E-2</v>
      </c>
    </row>
    <row r="2714" spans="1:6" x14ac:dyDescent="0.25">
      <c r="A2714" t="s">
        <v>225</v>
      </c>
      <c r="B2714" s="1">
        <v>46083</v>
      </c>
      <c r="C2714">
        <v>119</v>
      </c>
      <c r="D2714">
        <f t="shared" si="126"/>
        <v>100.6</v>
      </c>
      <c r="E2714">
        <f t="shared" si="127"/>
        <v>5</v>
      </c>
      <c r="F2714">
        <f t="shared" si="128"/>
        <v>0.15462184873949586</v>
      </c>
    </row>
    <row r="2715" spans="1:6" x14ac:dyDescent="0.25">
      <c r="A2715" t="s">
        <v>225</v>
      </c>
      <c r="B2715" s="1">
        <v>46090</v>
      </c>
      <c r="C2715">
        <v>114</v>
      </c>
      <c r="D2715">
        <f t="shared" si="126"/>
        <v>108</v>
      </c>
      <c r="E2715">
        <f t="shared" si="127"/>
        <v>5</v>
      </c>
      <c r="F2715">
        <f t="shared" si="128"/>
        <v>5.2631578947368418E-2</v>
      </c>
    </row>
    <row r="2716" spans="1:6" x14ac:dyDescent="0.25">
      <c r="A2716" t="s">
        <v>225</v>
      </c>
      <c r="B2716" s="1">
        <v>46097</v>
      </c>
      <c r="C2716">
        <v>123</v>
      </c>
      <c r="D2716">
        <f t="shared" si="126"/>
        <v>111.8</v>
      </c>
      <c r="E2716">
        <f t="shared" si="127"/>
        <v>5</v>
      </c>
      <c r="F2716">
        <f t="shared" si="128"/>
        <v>9.1056910569105712E-2</v>
      </c>
    </row>
    <row r="2717" spans="1:6" x14ac:dyDescent="0.25">
      <c r="A2717" t="s">
        <v>225</v>
      </c>
      <c r="B2717" s="1">
        <v>46104</v>
      </c>
      <c r="C2717">
        <v>112</v>
      </c>
      <c r="D2717">
        <f t="shared" si="126"/>
        <v>115.2</v>
      </c>
      <c r="E2717">
        <f t="shared" si="127"/>
        <v>5</v>
      </c>
      <c r="F2717">
        <f t="shared" si="128"/>
        <v>2.8571428571428598E-2</v>
      </c>
    </row>
    <row r="2718" spans="1:6" x14ac:dyDescent="0.25">
      <c r="A2718" t="s">
        <v>225</v>
      </c>
      <c r="B2718" s="1">
        <v>46111</v>
      </c>
      <c r="C2718">
        <v>92</v>
      </c>
      <c r="D2718">
        <f t="shared" si="126"/>
        <v>112.8</v>
      </c>
      <c r="E2718">
        <f t="shared" si="127"/>
        <v>5</v>
      </c>
      <c r="F2718">
        <f t="shared" si="128"/>
        <v>0.2260869565217391</v>
      </c>
    </row>
    <row r="2719" spans="1:6" x14ac:dyDescent="0.25">
      <c r="A2719" t="s">
        <v>225</v>
      </c>
      <c r="B2719" s="1">
        <v>46118</v>
      </c>
      <c r="C2719">
        <v>133</v>
      </c>
      <c r="D2719">
        <f t="shared" si="126"/>
        <v>112</v>
      </c>
      <c r="E2719">
        <f t="shared" si="127"/>
        <v>5</v>
      </c>
      <c r="F2719">
        <f t="shared" si="128"/>
        <v>0.15789473684210525</v>
      </c>
    </row>
    <row r="2720" spans="1:6" x14ac:dyDescent="0.25">
      <c r="A2720" t="s">
        <v>225</v>
      </c>
      <c r="B2720" s="1">
        <v>46125</v>
      </c>
      <c r="C2720">
        <v>126</v>
      </c>
      <c r="D2720">
        <f t="shared" si="126"/>
        <v>114.8</v>
      </c>
      <c r="E2720">
        <f t="shared" si="127"/>
        <v>5</v>
      </c>
      <c r="F2720">
        <f t="shared" si="128"/>
        <v>8.8888888888888906E-2</v>
      </c>
    </row>
    <row r="2721" spans="1:6" x14ac:dyDescent="0.25">
      <c r="A2721" t="s">
        <v>225</v>
      </c>
      <c r="B2721" s="1">
        <v>46132</v>
      </c>
      <c r="C2721">
        <v>98</v>
      </c>
      <c r="D2721">
        <f t="shared" si="126"/>
        <v>117.2</v>
      </c>
      <c r="E2721">
        <f t="shared" si="127"/>
        <v>5</v>
      </c>
      <c r="F2721">
        <f t="shared" si="128"/>
        <v>0.19591836734693879</v>
      </c>
    </row>
    <row r="2722" spans="1:6" x14ac:dyDescent="0.25">
      <c r="A2722" t="s">
        <v>225</v>
      </c>
      <c r="B2722" s="1">
        <v>46139</v>
      </c>
      <c r="C2722">
        <v>119</v>
      </c>
      <c r="D2722">
        <f t="shared" si="126"/>
        <v>112.2</v>
      </c>
      <c r="E2722">
        <f t="shared" si="127"/>
        <v>5</v>
      </c>
      <c r="F2722">
        <f t="shared" si="128"/>
        <v>5.714285714285712E-2</v>
      </c>
    </row>
    <row r="2723" spans="1:6" x14ac:dyDescent="0.25">
      <c r="A2723" t="s">
        <v>225</v>
      </c>
      <c r="B2723" s="1">
        <v>46146</v>
      </c>
      <c r="C2723">
        <v>116</v>
      </c>
      <c r="D2723">
        <f t="shared" si="126"/>
        <v>113.6</v>
      </c>
      <c r="E2723">
        <f t="shared" si="127"/>
        <v>5</v>
      </c>
      <c r="F2723">
        <f t="shared" si="128"/>
        <v>2.0689655172413841E-2</v>
      </c>
    </row>
    <row r="2724" spans="1:6" x14ac:dyDescent="0.25">
      <c r="A2724" t="s">
        <v>225</v>
      </c>
      <c r="B2724" s="1">
        <v>46153</v>
      </c>
      <c r="C2724">
        <v>158</v>
      </c>
      <c r="D2724">
        <f t="shared" si="126"/>
        <v>118.4</v>
      </c>
      <c r="E2724">
        <f t="shared" si="127"/>
        <v>5</v>
      </c>
      <c r="F2724">
        <f t="shared" si="128"/>
        <v>0.25063291139240501</v>
      </c>
    </row>
    <row r="2725" spans="1:6" x14ac:dyDescent="0.25">
      <c r="A2725" t="s">
        <v>225</v>
      </c>
      <c r="B2725" s="1">
        <v>46160</v>
      </c>
      <c r="C2725">
        <v>147</v>
      </c>
      <c r="D2725">
        <f t="shared" si="126"/>
        <v>123.4</v>
      </c>
      <c r="E2725">
        <f t="shared" si="127"/>
        <v>5</v>
      </c>
      <c r="F2725">
        <f t="shared" si="128"/>
        <v>0.1605442176870748</v>
      </c>
    </row>
    <row r="2726" spans="1:6" x14ac:dyDescent="0.25">
      <c r="A2726" t="s">
        <v>225</v>
      </c>
      <c r="B2726" s="1">
        <v>46167</v>
      </c>
      <c r="C2726">
        <v>126</v>
      </c>
      <c r="D2726">
        <f t="shared" si="126"/>
        <v>127.6</v>
      </c>
      <c r="E2726">
        <f t="shared" si="127"/>
        <v>5</v>
      </c>
      <c r="F2726">
        <f t="shared" si="128"/>
        <v>1.2698412698412653E-2</v>
      </c>
    </row>
    <row r="2727" spans="1:6" x14ac:dyDescent="0.25">
      <c r="A2727" t="s">
        <v>225</v>
      </c>
      <c r="B2727" s="1">
        <v>46174</v>
      </c>
      <c r="C2727">
        <v>122</v>
      </c>
      <c r="D2727">
        <f t="shared" si="126"/>
        <v>133.19999999999999</v>
      </c>
      <c r="E2727">
        <f t="shared" si="127"/>
        <v>5</v>
      </c>
      <c r="F2727">
        <f t="shared" si="128"/>
        <v>9.1803278688524503E-2</v>
      </c>
    </row>
    <row r="2728" spans="1:6" x14ac:dyDescent="0.25">
      <c r="A2728" t="s">
        <v>225</v>
      </c>
      <c r="B2728" s="1">
        <v>46181</v>
      </c>
      <c r="C2728">
        <v>138</v>
      </c>
      <c r="D2728">
        <f t="shared" si="126"/>
        <v>133.80000000000001</v>
      </c>
      <c r="E2728">
        <f t="shared" si="127"/>
        <v>5</v>
      </c>
      <c r="F2728">
        <f t="shared" si="128"/>
        <v>3.043478260869557E-2</v>
      </c>
    </row>
    <row r="2729" spans="1:6" x14ac:dyDescent="0.25">
      <c r="A2729" t="s">
        <v>225</v>
      </c>
      <c r="B2729" s="1">
        <v>46188</v>
      </c>
      <c r="C2729">
        <v>132</v>
      </c>
      <c r="D2729">
        <f t="shared" si="126"/>
        <v>138.19999999999999</v>
      </c>
      <c r="E2729">
        <f t="shared" si="127"/>
        <v>5</v>
      </c>
      <c r="F2729">
        <f t="shared" si="128"/>
        <v>4.6969696969696884E-2</v>
      </c>
    </row>
    <row r="2730" spans="1:6" x14ac:dyDescent="0.25">
      <c r="A2730" t="s">
        <v>225</v>
      </c>
      <c r="B2730" s="1">
        <v>46195</v>
      </c>
      <c r="C2730">
        <v>140</v>
      </c>
      <c r="D2730">
        <f t="shared" si="126"/>
        <v>133</v>
      </c>
      <c r="E2730">
        <f t="shared" si="127"/>
        <v>5</v>
      </c>
      <c r="F2730">
        <f t="shared" si="128"/>
        <v>0.05</v>
      </c>
    </row>
    <row r="2731" spans="1:6" x14ac:dyDescent="0.25">
      <c r="A2731" t="s">
        <v>225</v>
      </c>
      <c r="B2731" s="1">
        <v>46202</v>
      </c>
      <c r="C2731">
        <v>126</v>
      </c>
      <c r="D2731">
        <f t="shared" si="126"/>
        <v>131.6</v>
      </c>
      <c r="E2731">
        <f t="shared" si="127"/>
        <v>5</v>
      </c>
      <c r="F2731">
        <f t="shared" si="128"/>
        <v>4.4444444444444398E-2</v>
      </c>
    </row>
    <row r="2732" spans="1:6" x14ac:dyDescent="0.25">
      <c r="A2732" t="s">
        <v>227</v>
      </c>
      <c r="B2732" s="1">
        <v>46027</v>
      </c>
      <c r="C2732">
        <v>90</v>
      </c>
      <c r="D2732" t="str">
        <f t="shared" si="126"/>
        <v/>
      </c>
      <c r="E2732">
        <f t="shared" si="127"/>
        <v>0</v>
      </c>
      <c r="F2732" t="str">
        <f t="shared" si="128"/>
        <v/>
      </c>
    </row>
    <row r="2733" spans="1:6" x14ac:dyDescent="0.25">
      <c r="A2733" t="s">
        <v>227</v>
      </c>
      <c r="B2733" s="1">
        <v>46034</v>
      </c>
      <c r="C2733">
        <v>98</v>
      </c>
      <c r="D2733" t="str">
        <f t="shared" si="126"/>
        <v/>
      </c>
      <c r="E2733">
        <f t="shared" si="127"/>
        <v>1</v>
      </c>
      <c r="F2733" t="str">
        <f t="shared" si="128"/>
        <v/>
      </c>
    </row>
    <row r="2734" spans="1:6" x14ac:dyDescent="0.25">
      <c r="A2734" t="s">
        <v>227</v>
      </c>
      <c r="B2734" s="1">
        <v>46041</v>
      </c>
      <c r="C2734">
        <v>102</v>
      </c>
      <c r="D2734" t="str">
        <f t="shared" si="126"/>
        <v/>
      </c>
      <c r="E2734">
        <f t="shared" si="127"/>
        <v>2</v>
      </c>
      <c r="F2734" t="str">
        <f t="shared" si="128"/>
        <v/>
      </c>
    </row>
    <row r="2735" spans="1:6" x14ac:dyDescent="0.25">
      <c r="A2735" t="s">
        <v>227</v>
      </c>
      <c r="B2735" s="1">
        <v>46048</v>
      </c>
      <c r="C2735">
        <v>106</v>
      </c>
      <c r="D2735" t="str">
        <f t="shared" si="126"/>
        <v/>
      </c>
      <c r="E2735">
        <f t="shared" si="127"/>
        <v>3</v>
      </c>
      <c r="F2735" t="str">
        <f t="shared" si="128"/>
        <v/>
      </c>
    </row>
    <row r="2736" spans="1:6" x14ac:dyDescent="0.25">
      <c r="A2736" t="s">
        <v>227</v>
      </c>
      <c r="B2736" s="1">
        <v>46055</v>
      </c>
      <c r="C2736">
        <v>97</v>
      </c>
      <c r="D2736" t="str">
        <f t="shared" si="126"/>
        <v/>
      </c>
      <c r="E2736">
        <f t="shared" si="127"/>
        <v>4</v>
      </c>
      <c r="F2736" t="str">
        <f t="shared" si="128"/>
        <v/>
      </c>
    </row>
    <row r="2737" spans="1:6" x14ac:dyDescent="0.25">
      <c r="A2737" t="s">
        <v>227</v>
      </c>
      <c r="B2737" s="1">
        <v>46062</v>
      </c>
      <c r="C2737">
        <v>110</v>
      </c>
      <c r="D2737">
        <f t="shared" si="126"/>
        <v>98.6</v>
      </c>
      <c r="E2737">
        <f t="shared" si="127"/>
        <v>5</v>
      </c>
      <c r="F2737">
        <f t="shared" si="128"/>
        <v>0.10363636363636369</v>
      </c>
    </row>
    <row r="2738" spans="1:6" x14ac:dyDescent="0.25">
      <c r="A2738" t="s">
        <v>227</v>
      </c>
      <c r="B2738" s="1">
        <v>46069</v>
      </c>
      <c r="C2738">
        <v>123</v>
      </c>
      <c r="D2738">
        <f t="shared" si="126"/>
        <v>102.6</v>
      </c>
      <c r="E2738">
        <f t="shared" si="127"/>
        <v>5</v>
      </c>
      <c r="F2738">
        <f t="shared" si="128"/>
        <v>0.1658536585365854</v>
      </c>
    </row>
    <row r="2739" spans="1:6" x14ac:dyDescent="0.25">
      <c r="A2739" t="s">
        <v>227</v>
      </c>
      <c r="B2739" s="1">
        <v>46076</v>
      </c>
      <c r="C2739">
        <v>107</v>
      </c>
      <c r="D2739">
        <f t="shared" si="126"/>
        <v>107.6</v>
      </c>
      <c r="E2739">
        <f t="shared" si="127"/>
        <v>5</v>
      </c>
      <c r="F2739">
        <f t="shared" si="128"/>
        <v>5.6074766355139654E-3</v>
      </c>
    </row>
    <row r="2740" spans="1:6" x14ac:dyDescent="0.25">
      <c r="A2740" t="s">
        <v>227</v>
      </c>
      <c r="B2740" s="1">
        <v>46083</v>
      </c>
      <c r="C2740">
        <v>115</v>
      </c>
      <c r="D2740">
        <f t="shared" si="126"/>
        <v>108.6</v>
      </c>
      <c r="E2740">
        <f t="shared" si="127"/>
        <v>5</v>
      </c>
      <c r="F2740">
        <f t="shared" si="128"/>
        <v>5.5652173913043529E-2</v>
      </c>
    </row>
    <row r="2741" spans="1:6" x14ac:dyDescent="0.25">
      <c r="A2741" t="s">
        <v>227</v>
      </c>
      <c r="B2741" s="1">
        <v>46090</v>
      </c>
      <c r="C2741">
        <v>111</v>
      </c>
      <c r="D2741">
        <f t="shared" si="126"/>
        <v>110.4</v>
      </c>
      <c r="E2741">
        <f t="shared" si="127"/>
        <v>5</v>
      </c>
      <c r="F2741">
        <f t="shared" si="128"/>
        <v>5.4054054054053545E-3</v>
      </c>
    </row>
    <row r="2742" spans="1:6" x14ac:dyDescent="0.25">
      <c r="A2742" t="s">
        <v>227</v>
      </c>
      <c r="B2742" s="1">
        <v>46097</v>
      </c>
      <c r="C2742">
        <v>121</v>
      </c>
      <c r="D2742">
        <f t="shared" si="126"/>
        <v>113.2</v>
      </c>
      <c r="E2742">
        <f t="shared" si="127"/>
        <v>5</v>
      </c>
      <c r="F2742">
        <f t="shared" si="128"/>
        <v>6.4462809917355354E-2</v>
      </c>
    </row>
    <row r="2743" spans="1:6" x14ac:dyDescent="0.25">
      <c r="A2743" t="s">
        <v>227</v>
      </c>
      <c r="B2743" s="1">
        <v>46104</v>
      </c>
      <c r="C2743">
        <v>124</v>
      </c>
      <c r="D2743">
        <f t="shared" si="126"/>
        <v>115.4</v>
      </c>
      <c r="E2743">
        <f t="shared" si="127"/>
        <v>5</v>
      </c>
      <c r="F2743">
        <f t="shared" si="128"/>
        <v>6.9354838709677374E-2</v>
      </c>
    </row>
    <row r="2744" spans="1:6" x14ac:dyDescent="0.25">
      <c r="A2744" t="s">
        <v>227</v>
      </c>
      <c r="B2744" s="1">
        <v>46111</v>
      </c>
      <c r="C2744">
        <v>112</v>
      </c>
      <c r="D2744">
        <f t="shared" si="126"/>
        <v>115.6</v>
      </c>
      <c r="E2744">
        <f t="shared" si="127"/>
        <v>5</v>
      </c>
      <c r="F2744">
        <f t="shared" si="128"/>
        <v>3.2142857142857091E-2</v>
      </c>
    </row>
    <row r="2745" spans="1:6" x14ac:dyDescent="0.25">
      <c r="A2745" t="s">
        <v>227</v>
      </c>
      <c r="B2745" s="1">
        <v>46118</v>
      </c>
      <c r="C2745">
        <v>114</v>
      </c>
      <c r="D2745">
        <f t="shared" si="126"/>
        <v>116.6</v>
      </c>
      <c r="E2745">
        <f t="shared" si="127"/>
        <v>5</v>
      </c>
      <c r="F2745">
        <f t="shared" si="128"/>
        <v>2.2807017543859599E-2</v>
      </c>
    </row>
    <row r="2746" spans="1:6" x14ac:dyDescent="0.25">
      <c r="A2746" t="s">
        <v>227</v>
      </c>
      <c r="B2746" s="1">
        <v>46125</v>
      </c>
      <c r="C2746">
        <v>98</v>
      </c>
      <c r="D2746">
        <f t="shared" si="126"/>
        <v>116.4</v>
      </c>
      <c r="E2746">
        <f t="shared" si="127"/>
        <v>5</v>
      </c>
      <c r="F2746">
        <f t="shared" si="128"/>
        <v>0.18775510204081639</v>
      </c>
    </row>
    <row r="2747" spans="1:6" x14ac:dyDescent="0.25">
      <c r="A2747" t="s">
        <v>227</v>
      </c>
      <c r="B2747" s="1">
        <v>46132</v>
      </c>
      <c r="C2747">
        <v>120</v>
      </c>
      <c r="D2747">
        <f t="shared" si="126"/>
        <v>113.8</v>
      </c>
      <c r="E2747">
        <f t="shared" si="127"/>
        <v>5</v>
      </c>
      <c r="F2747">
        <f t="shared" si="128"/>
        <v>5.1666666666666687E-2</v>
      </c>
    </row>
    <row r="2748" spans="1:6" x14ac:dyDescent="0.25">
      <c r="A2748" t="s">
        <v>227</v>
      </c>
      <c r="B2748" s="1">
        <v>46139</v>
      </c>
      <c r="C2748">
        <v>110</v>
      </c>
      <c r="D2748">
        <f t="shared" si="126"/>
        <v>113.6</v>
      </c>
      <c r="E2748">
        <f t="shared" si="127"/>
        <v>5</v>
      </c>
      <c r="F2748">
        <f t="shared" si="128"/>
        <v>3.2727272727272674E-2</v>
      </c>
    </row>
    <row r="2749" spans="1:6" x14ac:dyDescent="0.25">
      <c r="A2749" t="s">
        <v>227</v>
      </c>
      <c r="B2749" s="1">
        <v>46146</v>
      </c>
      <c r="C2749">
        <v>136</v>
      </c>
      <c r="D2749">
        <f t="shared" si="126"/>
        <v>110.8</v>
      </c>
      <c r="E2749">
        <f t="shared" si="127"/>
        <v>5</v>
      </c>
      <c r="F2749">
        <f t="shared" si="128"/>
        <v>0.18529411764705883</v>
      </c>
    </row>
    <row r="2750" spans="1:6" x14ac:dyDescent="0.25">
      <c r="A2750" t="s">
        <v>227</v>
      </c>
      <c r="B2750" s="1">
        <v>46153</v>
      </c>
      <c r="C2750">
        <v>127</v>
      </c>
      <c r="D2750">
        <f t="shared" si="126"/>
        <v>115.6</v>
      </c>
      <c r="E2750">
        <f t="shared" si="127"/>
        <v>5</v>
      </c>
      <c r="F2750">
        <f t="shared" si="128"/>
        <v>8.9763779527559096E-2</v>
      </c>
    </row>
    <row r="2751" spans="1:6" x14ac:dyDescent="0.25">
      <c r="A2751" t="s">
        <v>227</v>
      </c>
      <c r="B2751" s="1">
        <v>46160</v>
      </c>
      <c r="C2751">
        <v>128</v>
      </c>
      <c r="D2751">
        <f t="shared" si="126"/>
        <v>118.2</v>
      </c>
      <c r="E2751">
        <f t="shared" si="127"/>
        <v>5</v>
      </c>
      <c r="F2751">
        <f t="shared" si="128"/>
        <v>7.6562499999999978E-2</v>
      </c>
    </row>
    <row r="2752" spans="1:6" x14ac:dyDescent="0.25">
      <c r="A2752" t="s">
        <v>227</v>
      </c>
      <c r="B2752" s="1">
        <v>46167</v>
      </c>
      <c r="C2752">
        <v>126</v>
      </c>
      <c r="D2752">
        <f t="shared" si="126"/>
        <v>124.2</v>
      </c>
      <c r="E2752">
        <f t="shared" si="127"/>
        <v>5</v>
      </c>
      <c r="F2752">
        <f t="shared" si="128"/>
        <v>1.4285714285714263E-2</v>
      </c>
    </row>
    <row r="2753" spans="1:6" x14ac:dyDescent="0.25">
      <c r="A2753" t="s">
        <v>227</v>
      </c>
      <c r="B2753" s="1">
        <v>46174</v>
      </c>
      <c r="C2753">
        <v>127</v>
      </c>
      <c r="D2753">
        <f t="shared" si="126"/>
        <v>125.4</v>
      </c>
      <c r="E2753">
        <f t="shared" si="127"/>
        <v>5</v>
      </c>
      <c r="F2753">
        <f t="shared" si="128"/>
        <v>1.2598425196850348E-2</v>
      </c>
    </row>
    <row r="2754" spans="1:6" x14ac:dyDescent="0.25">
      <c r="A2754" t="s">
        <v>227</v>
      </c>
      <c r="B2754" s="1">
        <v>46181</v>
      </c>
      <c r="C2754">
        <v>120</v>
      </c>
      <c r="D2754">
        <f t="shared" ref="D2754:D2817" si="129">IF(E2754 &lt; 5, "", AVERAGEIFS(C:C, A:A, A2754, B:B, "&gt;=" &amp; (B2754-35), B:B, "&lt;=" &amp; (B2754-7)))</f>
        <v>128.80000000000001</v>
      </c>
      <c r="E2754">
        <f t="shared" ref="E2754:E2817" si="130">COUNTIFS(A:A, A2754, B:B, "&gt;=" &amp; (B2754-35), B:B, "&lt;=" &amp; (B2754-7))</f>
        <v>5</v>
      </c>
      <c r="F2754">
        <f t="shared" ref="F2754:F2817" si="131">IF(OR(C2754=0, D2754=""), "", ABS(C2754 - D2754) / C2754)</f>
        <v>7.3333333333333431E-2</v>
      </c>
    </row>
    <row r="2755" spans="1:6" x14ac:dyDescent="0.25">
      <c r="A2755" t="s">
        <v>227</v>
      </c>
      <c r="B2755" s="1">
        <v>46188</v>
      </c>
      <c r="C2755">
        <v>128</v>
      </c>
      <c r="D2755">
        <f t="shared" si="129"/>
        <v>125.6</v>
      </c>
      <c r="E2755">
        <f t="shared" si="130"/>
        <v>5</v>
      </c>
      <c r="F2755">
        <f t="shared" si="131"/>
        <v>1.8750000000000044E-2</v>
      </c>
    </row>
    <row r="2756" spans="1:6" x14ac:dyDescent="0.25">
      <c r="A2756" t="s">
        <v>227</v>
      </c>
      <c r="B2756" s="1">
        <v>46195</v>
      </c>
      <c r="C2756">
        <v>136</v>
      </c>
      <c r="D2756">
        <f t="shared" si="129"/>
        <v>125.8</v>
      </c>
      <c r="E2756">
        <f t="shared" si="130"/>
        <v>5</v>
      </c>
      <c r="F2756">
        <f t="shared" si="131"/>
        <v>7.5000000000000025E-2</v>
      </c>
    </row>
    <row r="2757" spans="1:6" x14ac:dyDescent="0.25">
      <c r="A2757" t="s">
        <v>227</v>
      </c>
      <c r="B2757" s="1">
        <v>46202</v>
      </c>
      <c r="C2757">
        <v>125</v>
      </c>
      <c r="D2757">
        <f t="shared" si="129"/>
        <v>127.4</v>
      </c>
      <c r="E2757">
        <f t="shared" si="130"/>
        <v>5</v>
      </c>
      <c r="F2757">
        <f t="shared" si="131"/>
        <v>1.9200000000000047E-2</v>
      </c>
    </row>
    <row r="2758" spans="1:6" x14ac:dyDescent="0.25">
      <c r="A2758" t="s">
        <v>229</v>
      </c>
      <c r="B2758" s="1">
        <v>46027</v>
      </c>
      <c r="C2758">
        <v>98</v>
      </c>
      <c r="D2758" t="str">
        <f t="shared" si="129"/>
        <v/>
      </c>
      <c r="E2758">
        <f t="shared" si="130"/>
        <v>0</v>
      </c>
      <c r="F2758" t="str">
        <f t="shared" si="131"/>
        <v/>
      </c>
    </row>
    <row r="2759" spans="1:6" x14ac:dyDescent="0.25">
      <c r="A2759" t="s">
        <v>229</v>
      </c>
      <c r="B2759" s="1">
        <v>46034</v>
      </c>
      <c r="C2759">
        <v>104</v>
      </c>
      <c r="D2759" t="str">
        <f t="shared" si="129"/>
        <v/>
      </c>
      <c r="E2759">
        <f t="shared" si="130"/>
        <v>1</v>
      </c>
      <c r="F2759" t="str">
        <f t="shared" si="131"/>
        <v/>
      </c>
    </row>
    <row r="2760" spans="1:6" x14ac:dyDescent="0.25">
      <c r="A2760" t="s">
        <v>229</v>
      </c>
      <c r="B2760" s="1">
        <v>46041</v>
      </c>
      <c r="C2760">
        <v>107</v>
      </c>
      <c r="D2760" t="str">
        <f t="shared" si="129"/>
        <v/>
      </c>
      <c r="E2760">
        <f t="shared" si="130"/>
        <v>2</v>
      </c>
      <c r="F2760" t="str">
        <f t="shared" si="131"/>
        <v/>
      </c>
    </row>
    <row r="2761" spans="1:6" x14ac:dyDescent="0.25">
      <c r="A2761" t="s">
        <v>229</v>
      </c>
      <c r="B2761" s="1">
        <v>46048</v>
      </c>
      <c r="C2761">
        <v>110</v>
      </c>
      <c r="D2761" t="str">
        <f t="shared" si="129"/>
        <v/>
      </c>
      <c r="E2761">
        <f t="shared" si="130"/>
        <v>3</v>
      </c>
      <c r="F2761" t="str">
        <f t="shared" si="131"/>
        <v/>
      </c>
    </row>
    <row r="2762" spans="1:6" x14ac:dyDescent="0.25">
      <c r="A2762" t="s">
        <v>229</v>
      </c>
      <c r="B2762" s="1">
        <v>46055</v>
      </c>
      <c r="C2762">
        <v>111</v>
      </c>
      <c r="D2762" t="str">
        <f t="shared" si="129"/>
        <v/>
      </c>
      <c r="E2762">
        <f t="shared" si="130"/>
        <v>4</v>
      </c>
      <c r="F2762" t="str">
        <f t="shared" si="131"/>
        <v/>
      </c>
    </row>
    <row r="2763" spans="1:6" x14ac:dyDescent="0.25">
      <c r="A2763" t="s">
        <v>229</v>
      </c>
      <c r="B2763" s="1">
        <v>46062</v>
      </c>
      <c r="C2763">
        <v>110</v>
      </c>
      <c r="D2763">
        <f t="shared" si="129"/>
        <v>106</v>
      </c>
      <c r="E2763">
        <f t="shared" si="130"/>
        <v>5</v>
      </c>
      <c r="F2763">
        <f t="shared" si="131"/>
        <v>3.6363636363636362E-2</v>
      </c>
    </row>
    <row r="2764" spans="1:6" x14ac:dyDescent="0.25">
      <c r="A2764" t="s">
        <v>229</v>
      </c>
      <c r="B2764" s="1">
        <v>46069</v>
      </c>
      <c r="C2764">
        <v>121</v>
      </c>
      <c r="D2764">
        <f t="shared" si="129"/>
        <v>108.4</v>
      </c>
      <c r="E2764">
        <f t="shared" si="130"/>
        <v>5</v>
      </c>
      <c r="F2764">
        <f t="shared" si="131"/>
        <v>0.10413223140495863</v>
      </c>
    </row>
    <row r="2765" spans="1:6" x14ac:dyDescent="0.25">
      <c r="A2765" t="s">
        <v>229</v>
      </c>
      <c r="B2765" s="1">
        <v>46076</v>
      </c>
      <c r="C2765">
        <v>100</v>
      </c>
      <c r="D2765">
        <f t="shared" si="129"/>
        <v>111.8</v>
      </c>
      <c r="E2765">
        <f t="shared" si="130"/>
        <v>5</v>
      </c>
      <c r="F2765">
        <f t="shared" si="131"/>
        <v>0.11799999999999997</v>
      </c>
    </row>
    <row r="2766" spans="1:6" x14ac:dyDescent="0.25">
      <c r="A2766" t="s">
        <v>229</v>
      </c>
      <c r="B2766" s="1">
        <v>46083</v>
      </c>
      <c r="C2766">
        <v>112</v>
      </c>
      <c r="D2766">
        <f t="shared" si="129"/>
        <v>110.4</v>
      </c>
      <c r="E2766">
        <f t="shared" si="130"/>
        <v>5</v>
      </c>
      <c r="F2766">
        <f t="shared" si="131"/>
        <v>1.4285714285714235E-2</v>
      </c>
    </row>
    <row r="2767" spans="1:6" x14ac:dyDescent="0.25">
      <c r="A2767" t="s">
        <v>229</v>
      </c>
      <c r="B2767" s="1">
        <v>46090</v>
      </c>
      <c r="C2767">
        <v>119</v>
      </c>
      <c r="D2767">
        <f t="shared" si="129"/>
        <v>110.8</v>
      </c>
      <c r="E2767">
        <f t="shared" si="130"/>
        <v>5</v>
      </c>
      <c r="F2767">
        <f t="shared" si="131"/>
        <v>6.8907563025210103E-2</v>
      </c>
    </row>
    <row r="2768" spans="1:6" x14ac:dyDescent="0.25">
      <c r="A2768" t="s">
        <v>229</v>
      </c>
      <c r="B2768" s="1">
        <v>46097</v>
      </c>
      <c r="C2768">
        <v>115</v>
      </c>
      <c r="D2768">
        <f t="shared" si="129"/>
        <v>112.4</v>
      </c>
      <c r="E2768">
        <f t="shared" si="130"/>
        <v>5</v>
      </c>
      <c r="F2768">
        <f t="shared" si="131"/>
        <v>2.2608695652173865E-2</v>
      </c>
    </row>
    <row r="2769" spans="1:6" x14ac:dyDescent="0.25">
      <c r="A2769" t="s">
        <v>229</v>
      </c>
      <c r="B2769" s="1">
        <v>46104</v>
      </c>
      <c r="C2769">
        <v>116</v>
      </c>
      <c r="D2769">
        <f t="shared" si="129"/>
        <v>113.4</v>
      </c>
      <c r="E2769">
        <f t="shared" si="130"/>
        <v>5</v>
      </c>
      <c r="F2769">
        <f t="shared" si="131"/>
        <v>2.2413793103448227E-2</v>
      </c>
    </row>
    <row r="2770" spans="1:6" x14ac:dyDescent="0.25">
      <c r="A2770" t="s">
        <v>229</v>
      </c>
      <c r="B2770" s="1">
        <v>46111</v>
      </c>
      <c r="C2770">
        <v>118</v>
      </c>
      <c r="D2770">
        <f t="shared" si="129"/>
        <v>112.4</v>
      </c>
      <c r="E2770">
        <f t="shared" si="130"/>
        <v>5</v>
      </c>
      <c r="F2770">
        <f t="shared" si="131"/>
        <v>4.745762711864402E-2</v>
      </c>
    </row>
    <row r="2771" spans="1:6" x14ac:dyDescent="0.25">
      <c r="A2771" t="s">
        <v>229</v>
      </c>
      <c r="B2771" s="1">
        <v>46118</v>
      </c>
      <c r="C2771">
        <v>125</v>
      </c>
      <c r="D2771">
        <f t="shared" si="129"/>
        <v>116</v>
      </c>
      <c r="E2771">
        <f t="shared" si="130"/>
        <v>5</v>
      </c>
      <c r="F2771">
        <f t="shared" si="131"/>
        <v>7.1999999999999995E-2</v>
      </c>
    </row>
    <row r="2772" spans="1:6" x14ac:dyDescent="0.25">
      <c r="A2772" t="s">
        <v>229</v>
      </c>
      <c r="B2772" s="1">
        <v>46125</v>
      </c>
      <c r="C2772">
        <v>136</v>
      </c>
      <c r="D2772">
        <f t="shared" si="129"/>
        <v>118.6</v>
      </c>
      <c r="E2772">
        <f t="shared" si="130"/>
        <v>5</v>
      </c>
      <c r="F2772">
        <f t="shared" si="131"/>
        <v>0.12794117647058828</v>
      </c>
    </row>
    <row r="2773" spans="1:6" x14ac:dyDescent="0.25">
      <c r="A2773" t="s">
        <v>229</v>
      </c>
      <c r="B2773" s="1">
        <v>46132</v>
      </c>
      <c r="C2773">
        <v>125</v>
      </c>
      <c r="D2773">
        <f t="shared" si="129"/>
        <v>122</v>
      </c>
      <c r="E2773">
        <f t="shared" si="130"/>
        <v>5</v>
      </c>
      <c r="F2773">
        <f t="shared" si="131"/>
        <v>2.4E-2</v>
      </c>
    </row>
    <row r="2774" spans="1:6" x14ac:dyDescent="0.25">
      <c r="A2774" t="s">
        <v>229</v>
      </c>
      <c r="B2774" s="1">
        <v>46139</v>
      </c>
      <c r="C2774">
        <v>125</v>
      </c>
      <c r="D2774">
        <f t="shared" si="129"/>
        <v>124</v>
      </c>
      <c r="E2774">
        <f t="shared" si="130"/>
        <v>5</v>
      </c>
      <c r="F2774">
        <f t="shared" si="131"/>
        <v>8.0000000000000002E-3</v>
      </c>
    </row>
    <row r="2775" spans="1:6" x14ac:dyDescent="0.25">
      <c r="A2775" t="s">
        <v>229</v>
      </c>
      <c r="B2775" s="1">
        <v>46146</v>
      </c>
      <c r="C2775">
        <v>132</v>
      </c>
      <c r="D2775">
        <f t="shared" si="129"/>
        <v>125.8</v>
      </c>
      <c r="E2775">
        <f t="shared" si="130"/>
        <v>5</v>
      </c>
      <c r="F2775">
        <f t="shared" si="131"/>
        <v>4.6969696969696995E-2</v>
      </c>
    </row>
    <row r="2776" spans="1:6" x14ac:dyDescent="0.25">
      <c r="A2776" t="s">
        <v>229</v>
      </c>
      <c r="B2776" s="1">
        <v>46153</v>
      </c>
      <c r="C2776">
        <v>128</v>
      </c>
      <c r="D2776">
        <f t="shared" si="129"/>
        <v>128.6</v>
      </c>
      <c r="E2776">
        <f t="shared" si="130"/>
        <v>5</v>
      </c>
      <c r="F2776">
        <f t="shared" si="131"/>
        <v>4.6874999999999556E-3</v>
      </c>
    </row>
    <row r="2777" spans="1:6" x14ac:dyDescent="0.25">
      <c r="A2777" t="s">
        <v>229</v>
      </c>
      <c r="B2777" s="1">
        <v>46160</v>
      </c>
      <c r="C2777">
        <v>114</v>
      </c>
      <c r="D2777">
        <f t="shared" si="129"/>
        <v>129.19999999999999</v>
      </c>
      <c r="E2777">
        <f t="shared" si="130"/>
        <v>5</v>
      </c>
      <c r="F2777">
        <f t="shared" si="131"/>
        <v>0.13333333333333322</v>
      </c>
    </row>
    <row r="2778" spans="1:6" x14ac:dyDescent="0.25">
      <c r="A2778" t="s">
        <v>229</v>
      </c>
      <c r="B2778" s="1">
        <v>46167</v>
      </c>
      <c r="C2778">
        <v>136</v>
      </c>
      <c r="D2778">
        <f t="shared" si="129"/>
        <v>124.8</v>
      </c>
      <c r="E2778">
        <f t="shared" si="130"/>
        <v>5</v>
      </c>
      <c r="F2778">
        <f t="shared" si="131"/>
        <v>8.2352941176470615E-2</v>
      </c>
    </row>
    <row r="2779" spans="1:6" x14ac:dyDescent="0.25">
      <c r="A2779" t="s">
        <v>229</v>
      </c>
      <c r="B2779" s="1">
        <v>46174</v>
      </c>
      <c r="C2779">
        <v>131</v>
      </c>
      <c r="D2779">
        <f t="shared" si="129"/>
        <v>127</v>
      </c>
      <c r="E2779">
        <f t="shared" si="130"/>
        <v>5</v>
      </c>
      <c r="F2779">
        <f t="shared" si="131"/>
        <v>3.0534351145038167E-2</v>
      </c>
    </row>
    <row r="2780" spans="1:6" x14ac:dyDescent="0.25">
      <c r="A2780" t="s">
        <v>229</v>
      </c>
      <c r="B2780" s="1">
        <v>46181</v>
      </c>
      <c r="C2780">
        <v>131</v>
      </c>
      <c r="D2780">
        <f t="shared" si="129"/>
        <v>128.19999999999999</v>
      </c>
      <c r="E2780">
        <f t="shared" si="130"/>
        <v>5</v>
      </c>
      <c r="F2780">
        <f t="shared" si="131"/>
        <v>2.1374045801526805E-2</v>
      </c>
    </row>
    <row r="2781" spans="1:6" x14ac:dyDescent="0.25">
      <c r="A2781" t="s">
        <v>229</v>
      </c>
      <c r="B2781" s="1">
        <v>46188</v>
      </c>
      <c r="C2781">
        <v>143</v>
      </c>
      <c r="D2781">
        <f t="shared" si="129"/>
        <v>128</v>
      </c>
      <c r="E2781">
        <f t="shared" si="130"/>
        <v>5</v>
      </c>
      <c r="F2781">
        <f t="shared" si="131"/>
        <v>0.1048951048951049</v>
      </c>
    </row>
    <row r="2782" spans="1:6" x14ac:dyDescent="0.25">
      <c r="A2782" t="s">
        <v>229</v>
      </c>
      <c r="B2782" s="1">
        <v>46195</v>
      </c>
      <c r="C2782">
        <v>139</v>
      </c>
      <c r="D2782">
        <f t="shared" si="129"/>
        <v>131</v>
      </c>
      <c r="E2782">
        <f t="shared" si="130"/>
        <v>5</v>
      </c>
      <c r="F2782">
        <f t="shared" si="131"/>
        <v>5.7553956834532377E-2</v>
      </c>
    </row>
    <row r="2783" spans="1:6" x14ac:dyDescent="0.25">
      <c r="A2783" t="s">
        <v>229</v>
      </c>
      <c r="B2783" s="1">
        <v>46202</v>
      </c>
      <c r="C2783">
        <v>135</v>
      </c>
      <c r="D2783">
        <f t="shared" si="129"/>
        <v>136</v>
      </c>
      <c r="E2783">
        <f t="shared" si="130"/>
        <v>5</v>
      </c>
      <c r="F2783">
        <f t="shared" si="131"/>
        <v>7.4074074074074077E-3</v>
      </c>
    </row>
    <row r="2784" spans="1:6" x14ac:dyDescent="0.25">
      <c r="A2784" t="s">
        <v>231</v>
      </c>
      <c r="B2784" s="1">
        <v>46027</v>
      </c>
      <c r="C2784">
        <v>78</v>
      </c>
      <c r="D2784" t="str">
        <f t="shared" si="129"/>
        <v/>
      </c>
      <c r="E2784">
        <f t="shared" si="130"/>
        <v>0</v>
      </c>
      <c r="F2784" t="str">
        <f t="shared" si="131"/>
        <v/>
      </c>
    </row>
    <row r="2785" spans="1:6" x14ac:dyDescent="0.25">
      <c r="A2785" t="s">
        <v>231</v>
      </c>
      <c r="B2785" s="1">
        <v>46034</v>
      </c>
      <c r="C2785">
        <v>117</v>
      </c>
      <c r="D2785" t="str">
        <f t="shared" si="129"/>
        <v/>
      </c>
      <c r="E2785">
        <f t="shared" si="130"/>
        <v>1</v>
      </c>
      <c r="F2785" t="str">
        <f t="shared" si="131"/>
        <v/>
      </c>
    </row>
    <row r="2786" spans="1:6" x14ac:dyDescent="0.25">
      <c r="A2786" t="s">
        <v>231</v>
      </c>
      <c r="B2786" s="1">
        <v>46041</v>
      </c>
      <c r="C2786">
        <v>106</v>
      </c>
      <c r="D2786" t="str">
        <f t="shared" si="129"/>
        <v/>
      </c>
      <c r="E2786">
        <f t="shared" si="130"/>
        <v>2</v>
      </c>
      <c r="F2786" t="str">
        <f t="shared" si="131"/>
        <v/>
      </c>
    </row>
    <row r="2787" spans="1:6" x14ac:dyDescent="0.25">
      <c r="A2787" t="s">
        <v>231</v>
      </c>
      <c r="B2787" s="1">
        <v>46048</v>
      </c>
      <c r="C2787">
        <v>102</v>
      </c>
      <c r="D2787" t="str">
        <f t="shared" si="129"/>
        <v/>
      </c>
      <c r="E2787">
        <f t="shared" si="130"/>
        <v>3</v>
      </c>
      <c r="F2787" t="str">
        <f t="shared" si="131"/>
        <v/>
      </c>
    </row>
    <row r="2788" spans="1:6" x14ac:dyDescent="0.25">
      <c r="A2788" t="s">
        <v>231</v>
      </c>
      <c r="B2788" s="1">
        <v>46055</v>
      </c>
      <c r="C2788">
        <v>67</v>
      </c>
      <c r="D2788" t="str">
        <f t="shared" si="129"/>
        <v/>
      </c>
      <c r="E2788">
        <f t="shared" si="130"/>
        <v>4</v>
      </c>
      <c r="F2788" t="str">
        <f t="shared" si="131"/>
        <v/>
      </c>
    </row>
    <row r="2789" spans="1:6" x14ac:dyDescent="0.25">
      <c r="A2789" t="s">
        <v>231</v>
      </c>
      <c r="B2789" s="1">
        <v>46062</v>
      </c>
      <c r="C2789">
        <v>31</v>
      </c>
      <c r="D2789">
        <f t="shared" si="129"/>
        <v>94</v>
      </c>
      <c r="E2789">
        <f t="shared" si="130"/>
        <v>5</v>
      </c>
      <c r="F2789">
        <f t="shared" si="131"/>
        <v>2.032258064516129</v>
      </c>
    </row>
    <row r="2790" spans="1:6" x14ac:dyDescent="0.25">
      <c r="A2790" t="s">
        <v>231</v>
      </c>
      <c r="B2790" s="1">
        <v>46069</v>
      </c>
      <c r="C2790">
        <v>109</v>
      </c>
      <c r="D2790">
        <f t="shared" si="129"/>
        <v>84.6</v>
      </c>
      <c r="E2790">
        <f t="shared" si="130"/>
        <v>5</v>
      </c>
      <c r="F2790">
        <f t="shared" si="131"/>
        <v>0.22385321100917435</v>
      </c>
    </row>
    <row r="2791" spans="1:6" x14ac:dyDescent="0.25">
      <c r="A2791" t="s">
        <v>231</v>
      </c>
      <c r="B2791" s="1">
        <v>46076</v>
      </c>
      <c r="C2791">
        <v>142</v>
      </c>
      <c r="D2791">
        <f t="shared" si="129"/>
        <v>83</v>
      </c>
      <c r="E2791">
        <f t="shared" si="130"/>
        <v>5</v>
      </c>
      <c r="F2791">
        <f t="shared" si="131"/>
        <v>0.41549295774647887</v>
      </c>
    </row>
    <row r="2792" spans="1:6" x14ac:dyDescent="0.25">
      <c r="A2792" t="s">
        <v>231</v>
      </c>
      <c r="B2792" s="1">
        <v>46083</v>
      </c>
      <c r="C2792">
        <v>199</v>
      </c>
      <c r="D2792">
        <f t="shared" si="129"/>
        <v>90.2</v>
      </c>
      <c r="E2792">
        <f t="shared" si="130"/>
        <v>5</v>
      </c>
      <c r="F2792">
        <f t="shared" si="131"/>
        <v>0.54673366834170856</v>
      </c>
    </row>
    <row r="2793" spans="1:6" x14ac:dyDescent="0.25">
      <c r="A2793" t="s">
        <v>231</v>
      </c>
      <c r="B2793" s="1">
        <v>46090</v>
      </c>
      <c r="C2793">
        <v>93</v>
      </c>
      <c r="D2793">
        <f t="shared" si="129"/>
        <v>109.6</v>
      </c>
      <c r="E2793">
        <f t="shared" si="130"/>
        <v>5</v>
      </c>
      <c r="F2793">
        <f t="shared" si="131"/>
        <v>0.17849462365591393</v>
      </c>
    </row>
    <row r="2794" spans="1:6" x14ac:dyDescent="0.25">
      <c r="A2794" t="s">
        <v>231</v>
      </c>
      <c r="B2794" s="1">
        <v>46097</v>
      </c>
      <c r="C2794">
        <v>78</v>
      </c>
      <c r="D2794">
        <f t="shared" si="129"/>
        <v>114.8</v>
      </c>
      <c r="E2794">
        <f t="shared" si="130"/>
        <v>5</v>
      </c>
      <c r="F2794">
        <f t="shared" si="131"/>
        <v>0.47179487179487178</v>
      </c>
    </row>
    <row r="2795" spans="1:6" x14ac:dyDescent="0.25">
      <c r="A2795" t="s">
        <v>231</v>
      </c>
      <c r="B2795" s="1">
        <v>46104</v>
      </c>
      <c r="C2795">
        <v>92</v>
      </c>
      <c r="D2795">
        <f t="shared" si="129"/>
        <v>124.2</v>
      </c>
      <c r="E2795">
        <f t="shared" si="130"/>
        <v>5</v>
      </c>
      <c r="F2795">
        <f t="shared" si="131"/>
        <v>0.35000000000000003</v>
      </c>
    </row>
    <row r="2796" spans="1:6" x14ac:dyDescent="0.25">
      <c r="A2796" t="s">
        <v>231</v>
      </c>
      <c r="B2796" s="1">
        <v>46111</v>
      </c>
      <c r="C2796">
        <v>111</v>
      </c>
      <c r="D2796">
        <f t="shared" si="129"/>
        <v>120.8</v>
      </c>
      <c r="E2796">
        <f t="shared" si="130"/>
        <v>5</v>
      </c>
      <c r="F2796">
        <f t="shared" si="131"/>
        <v>8.8288288288288261E-2</v>
      </c>
    </row>
    <row r="2797" spans="1:6" x14ac:dyDescent="0.25">
      <c r="A2797" t="s">
        <v>231</v>
      </c>
      <c r="B2797" s="1">
        <v>46118</v>
      </c>
      <c r="C2797">
        <v>37</v>
      </c>
      <c r="D2797">
        <f t="shared" si="129"/>
        <v>114.6</v>
      </c>
      <c r="E2797">
        <f t="shared" si="130"/>
        <v>5</v>
      </c>
      <c r="F2797">
        <f t="shared" si="131"/>
        <v>2.0972972972972972</v>
      </c>
    </row>
    <row r="2798" spans="1:6" x14ac:dyDescent="0.25">
      <c r="A2798" t="s">
        <v>231</v>
      </c>
      <c r="B2798" s="1">
        <v>46125</v>
      </c>
      <c r="C2798">
        <v>117</v>
      </c>
      <c r="D2798">
        <f t="shared" si="129"/>
        <v>82.2</v>
      </c>
      <c r="E2798">
        <f t="shared" si="130"/>
        <v>5</v>
      </c>
      <c r="F2798">
        <f t="shared" si="131"/>
        <v>0.29743589743589743</v>
      </c>
    </row>
    <row r="2799" spans="1:6" x14ac:dyDescent="0.25">
      <c r="A2799" t="s">
        <v>231</v>
      </c>
      <c r="B2799" s="1">
        <v>46132</v>
      </c>
      <c r="C2799">
        <v>115</v>
      </c>
      <c r="D2799">
        <f t="shared" si="129"/>
        <v>87</v>
      </c>
      <c r="E2799">
        <f t="shared" si="130"/>
        <v>5</v>
      </c>
      <c r="F2799">
        <f t="shared" si="131"/>
        <v>0.24347826086956523</v>
      </c>
    </row>
    <row r="2800" spans="1:6" x14ac:dyDescent="0.25">
      <c r="A2800" t="s">
        <v>231</v>
      </c>
      <c r="B2800" s="1">
        <v>46139</v>
      </c>
      <c r="C2800">
        <v>176</v>
      </c>
      <c r="D2800">
        <f t="shared" si="129"/>
        <v>94.4</v>
      </c>
      <c r="E2800">
        <f t="shared" si="130"/>
        <v>5</v>
      </c>
      <c r="F2800">
        <f t="shared" si="131"/>
        <v>0.46363636363636362</v>
      </c>
    </row>
    <row r="2801" spans="1:6" x14ac:dyDescent="0.25">
      <c r="A2801" t="s">
        <v>231</v>
      </c>
      <c r="B2801" s="1">
        <v>46146</v>
      </c>
      <c r="C2801">
        <v>138</v>
      </c>
      <c r="D2801">
        <f t="shared" si="129"/>
        <v>111.2</v>
      </c>
      <c r="E2801">
        <f t="shared" si="130"/>
        <v>5</v>
      </c>
      <c r="F2801">
        <f t="shared" si="131"/>
        <v>0.19420289855072462</v>
      </c>
    </row>
    <row r="2802" spans="1:6" x14ac:dyDescent="0.25">
      <c r="A2802" t="s">
        <v>231</v>
      </c>
      <c r="B2802" s="1">
        <v>46153</v>
      </c>
      <c r="C2802">
        <v>103</v>
      </c>
      <c r="D2802">
        <f t="shared" si="129"/>
        <v>116.6</v>
      </c>
      <c r="E2802">
        <f t="shared" si="130"/>
        <v>5</v>
      </c>
      <c r="F2802">
        <f t="shared" si="131"/>
        <v>0.13203883495145627</v>
      </c>
    </row>
    <row r="2803" spans="1:6" x14ac:dyDescent="0.25">
      <c r="A2803" t="s">
        <v>231</v>
      </c>
      <c r="B2803" s="1">
        <v>46160</v>
      </c>
      <c r="C2803">
        <v>95</v>
      </c>
      <c r="D2803">
        <f t="shared" si="129"/>
        <v>129.80000000000001</v>
      </c>
      <c r="E2803">
        <f t="shared" si="130"/>
        <v>5</v>
      </c>
      <c r="F2803">
        <f t="shared" si="131"/>
        <v>0.36631578947368432</v>
      </c>
    </row>
    <row r="2804" spans="1:6" x14ac:dyDescent="0.25">
      <c r="A2804" t="s">
        <v>231</v>
      </c>
      <c r="B2804" s="1">
        <v>46167</v>
      </c>
      <c r="C2804">
        <v>182</v>
      </c>
      <c r="D2804">
        <f t="shared" si="129"/>
        <v>125.4</v>
      </c>
      <c r="E2804">
        <f t="shared" si="130"/>
        <v>5</v>
      </c>
      <c r="F2804">
        <f t="shared" si="131"/>
        <v>0.31098901098901094</v>
      </c>
    </row>
    <row r="2805" spans="1:6" x14ac:dyDescent="0.25">
      <c r="A2805" t="s">
        <v>231</v>
      </c>
      <c r="B2805" s="1">
        <v>46174</v>
      </c>
      <c r="C2805">
        <v>77</v>
      </c>
      <c r="D2805">
        <f t="shared" si="129"/>
        <v>138.80000000000001</v>
      </c>
      <c r="E2805">
        <f t="shared" si="130"/>
        <v>5</v>
      </c>
      <c r="F2805">
        <f t="shared" si="131"/>
        <v>0.80259740259740275</v>
      </c>
    </row>
    <row r="2806" spans="1:6" x14ac:dyDescent="0.25">
      <c r="A2806" t="s">
        <v>231</v>
      </c>
      <c r="B2806" s="1">
        <v>46181</v>
      </c>
      <c r="C2806">
        <v>175</v>
      </c>
      <c r="D2806">
        <f t="shared" si="129"/>
        <v>119</v>
      </c>
      <c r="E2806">
        <f t="shared" si="130"/>
        <v>5</v>
      </c>
      <c r="F2806">
        <f t="shared" si="131"/>
        <v>0.32</v>
      </c>
    </row>
    <row r="2807" spans="1:6" x14ac:dyDescent="0.25">
      <c r="A2807" t="s">
        <v>231</v>
      </c>
      <c r="B2807" s="1">
        <v>46188</v>
      </c>
      <c r="C2807">
        <v>141</v>
      </c>
      <c r="D2807">
        <f t="shared" si="129"/>
        <v>126.4</v>
      </c>
      <c r="E2807">
        <f t="shared" si="130"/>
        <v>5</v>
      </c>
      <c r="F2807">
        <f t="shared" si="131"/>
        <v>0.1035460992907801</v>
      </c>
    </row>
    <row r="2808" spans="1:6" x14ac:dyDescent="0.25">
      <c r="A2808" t="s">
        <v>231</v>
      </c>
      <c r="B2808" s="1">
        <v>46195</v>
      </c>
      <c r="C2808">
        <v>113</v>
      </c>
      <c r="D2808">
        <f t="shared" si="129"/>
        <v>134</v>
      </c>
      <c r="E2808">
        <f t="shared" si="130"/>
        <v>5</v>
      </c>
      <c r="F2808">
        <f t="shared" si="131"/>
        <v>0.18584070796460178</v>
      </c>
    </row>
    <row r="2809" spans="1:6" x14ac:dyDescent="0.25">
      <c r="A2809" t="s">
        <v>231</v>
      </c>
      <c r="B2809" s="1">
        <v>46202</v>
      </c>
      <c r="C2809">
        <v>155</v>
      </c>
      <c r="D2809">
        <f t="shared" si="129"/>
        <v>137.6</v>
      </c>
      <c r="E2809">
        <f t="shared" si="130"/>
        <v>5</v>
      </c>
      <c r="F2809">
        <f t="shared" si="131"/>
        <v>0.11225806451612907</v>
      </c>
    </row>
    <row r="2810" spans="1:6" x14ac:dyDescent="0.25">
      <c r="A2810" t="s">
        <v>233</v>
      </c>
      <c r="B2810" s="1">
        <v>46027</v>
      </c>
      <c r="C2810">
        <v>31</v>
      </c>
      <c r="D2810" t="str">
        <f t="shared" si="129"/>
        <v/>
      </c>
      <c r="E2810">
        <f t="shared" si="130"/>
        <v>0</v>
      </c>
      <c r="F2810" t="str">
        <f t="shared" si="131"/>
        <v/>
      </c>
    </row>
    <row r="2811" spans="1:6" x14ac:dyDescent="0.25">
      <c r="A2811" t="s">
        <v>233</v>
      </c>
      <c r="B2811" s="1">
        <v>46034</v>
      </c>
      <c r="C2811">
        <v>36</v>
      </c>
      <c r="D2811" t="str">
        <f t="shared" si="129"/>
        <v/>
      </c>
      <c r="E2811">
        <f t="shared" si="130"/>
        <v>1</v>
      </c>
      <c r="F2811" t="str">
        <f t="shared" si="131"/>
        <v/>
      </c>
    </row>
    <row r="2812" spans="1:6" x14ac:dyDescent="0.25">
      <c r="A2812" t="s">
        <v>233</v>
      </c>
      <c r="B2812" s="1">
        <v>46041</v>
      </c>
      <c r="C2812">
        <v>32</v>
      </c>
      <c r="D2812" t="str">
        <f t="shared" si="129"/>
        <v/>
      </c>
      <c r="E2812">
        <f t="shared" si="130"/>
        <v>2</v>
      </c>
      <c r="F2812" t="str">
        <f t="shared" si="131"/>
        <v/>
      </c>
    </row>
    <row r="2813" spans="1:6" x14ac:dyDescent="0.25">
      <c r="A2813" t="s">
        <v>233</v>
      </c>
      <c r="B2813" s="1">
        <v>46048</v>
      </c>
      <c r="C2813">
        <v>35</v>
      </c>
      <c r="D2813" t="str">
        <f t="shared" si="129"/>
        <v/>
      </c>
      <c r="E2813">
        <f t="shared" si="130"/>
        <v>3</v>
      </c>
      <c r="F2813" t="str">
        <f t="shared" si="131"/>
        <v/>
      </c>
    </row>
    <row r="2814" spans="1:6" x14ac:dyDescent="0.25">
      <c r="A2814" t="s">
        <v>233</v>
      </c>
      <c r="B2814" s="1">
        <v>46055</v>
      </c>
      <c r="C2814">
        <v>24</v>
      </c>
      <c r="D2814" t="str">
        <f t="shared" si="129"/>
        <v/>
      </c>
      <c r="E2814">
        <f t="shared" si="130"/>
        <v>4</v>
      </c>
      <c r="F2814" t="str">
        <f t="shared" si="131"/>
        <v/>
      </c>
    </row>
    <row r="2815" spans="1:6" x14ac:dyDescent="0.25">
      <c r="A2815" t="s">
        <v>233</v>
      </c>
      <c r="B2815" s="1">
        <v>46062</v>
      </c>
      <c r="C2815">
        <v>38</v>
      </c>
      <c r="D2815">
        <f t="shared" si="129"/>
        <v>31.6</v>
      </c>
      <c r="E2815">
        <f t="shared" si="130"/>
        <v>5</v>
      </c>
      <c r="F2815">
        <f t="shared" si="131"/>
        <v>0.16842105263157892</v>
      </c>
    </row>
    <row r="2816" spans="1:6" x14ac:dyDescent="0.25">
      <c r="A2816" t="s">
        <v>233</v>
      </c>
      <c r="B2816" s="1">
        <v>46069</v>
      </c>
      <c r="C2816">
        <v>30</v>
      </c>
      <c r="D2816">
        <f t="shared" si="129"/>
        <v>33</v>
      </c>
      <c r="E2816">
        <f t="shared" si="130"/>
        <v>5</v>
      </c>
      <c r="F2816">
        <f t="shared" si="131"/>
        <v>0.1</v>
      </c>
    </row>
    <row r="2817" spans="1:6" x14ac:dyDescent="0.25">
      <c r="A2817" t="s">
        <v>233</v>
      </c>
      <c r="B2817" s="1">
        <v>46076</v>
      </c>
      <c r="C2817">
        <v>28</v>
      </c>
      <c r="D2817">
        <f t="shared" si="129"/>
        <v>31.8</v>
      </c>
      <c r="E2817">
        <f t="shared" si="130"/>
        <v>5</v>
      </c>
      <c r="F2817">
        <f t="shared" si="131"/>
        <v>0.13571428571428573</v>
      </c>
    </row>
    <row r="2818" spans="1:6" x14ac:dyDescent="0.25">
      <c r="A2818" t="s">
        <v>233</v>
      </c>
      <c r="B2818" s="1">
        <v>46083</v>
      </c>
      <c r="C2818">
        <v>36</v>
      </c>
      <c r="D2818">
        <f t="shared" ref="D2818:D2881" si="132">IF(E2818 &lt; 5, "", AVERAGEIFS(C:C, A:A, A2818, B:B, "&gt;=" &amp; (B2818-35), B:B, "&lt;=" &amp; (B2818-7)))</f>
        <v>31</v>
      </c>
      <c r="E2818">
        <f t="shared" ref="E2818:E2881" si="133">COUNTIFS(A:A, A2818, B:B, "&gt;=" &amp; (B2818-35), B:B, "&lt;=" &amp; (B2818-7))</f>
        <v>5</v>
      </c>
      <c r="F2818">
        <f t="shared" ref="F2818:F2881" si="134">IF(OR(C2818=0, D2818=""), "", ABS(C2818 - D2818) / C2818)</f>
        <v>0.1388888888888889</v>
      </c>
    </row>
    <row r="2819" spans="1:6" x14ac:dyDescent="0.25">
      <c r="A2819" t="s">
        <v>233</v>
      </c>
      <c r="B2819" s="1">
        <v>46090</v>
      </c>
      <c r="C2819">
        <v>29</v>
      </c>
      <c r="D2819">
        <f t="shared" si="132"/>
        <v>31.2</v>
      </c>
      <c r="E2819">
        <f t="shared" si="133"/>
        <v>5</v>
      </c>
      <c r="F2819">
        <f t="shared" si="134"/>
        <v>7.5862068965517213E-2</v>
      </c>
    </row>
    <row r="2820" spans="1:6" x14ac:dyDescent="0.25">
      <c r="A2820" t="s">
        <v>233</v>
      </c>
      <c r="B2820" s="1">
        <v>46097</v>
      </c>
      <c r="C2820">
        <v>42</v>
      </c>
      <c r="D2820">
        <f t="shared" si="132"/>
        <v>32.200000000000003</v>
      </c>
      <c r="E2820">
        <f t="shared" si="133"/>
        <v>5</v>
      </c>
      <c r="F2820">
        <f t="shared" si="134"/>
        <v>0.23333333333333325</v>
      </c>
    </row>
    <row r="2821" spans="1:6" x14ac:dyDescent="0.25">
      <c r="A2821" t="s">
        <v>233</v>
      </c>
      <c r="B2821" s="1">
        <v>46104</v>
      </c>
      <c r="C2821">
        <v>37</v>
      </c>
      <c r="D2821">
        <f t="shared" si="132"/>
        <v>33</v>
      </c>
      <c r="E2821">
        <f t="shared" si="133"/>
        <v>5</v>
      </c>
      <c r="F2821">
        <f t="shared" si="134"/>
        <v>0.10810810810810811</v>
      </c>
    </row>
    <row r="2822" spans="1:6" x14ac:dyDescent="0.25">
      <c r="A2822" t="s">
        <v>233</v>
      </c>
      <c r="B2822" s="1">
        <v>46111</v>
      </c>
      <c r="C2822">
        <v>37</v>
      </c>
      <c r="D2822">
        <f t="shared" si="132"/>
        <v>34.4</v>
      </c>
      <c r="E2822">
        <f t="shared" si="133"/>
        <v>5</v>
      </c>
      <c r="F2822">
        <f t="shared" si="134"/>
        <v>7.0270270270270302E-2</v>
      </c>
    </row>
    <row r="2823" spans="1:6" x14ac:dyDescent="0.25">
      <c r="A2823" t="s">
        <v>233</v>
      </c>
      <c r="B2823" s="1">
        <v>46118</v>
      </c>
      <c r="C2823">
        <v>40</v>
      </c>
      <c r="D2823">
        <f t="shared" si="132"/>
        <v>36.200000000000003</v>
      </c>
      <c r="E2823">
        <f t="shared" si="133"/>
        <v>5</v>
      </c>
      <c r="F2823">
        <f t="shared" si="134"/>
        <v>9.4999999999999932E-2</v>
      </c>
    </row>
    <row r="2824" spans="1:6" x14ac:dyDescent="0.25">
      <c r="A2824" t="s">
        <v>233</v>
      </c>
      <c r="B2824" s="1">
        <v>46125</v>
      </c>
      <c r="C2824">
        <v>37</v>
      </c>
      <c r="D2824">
        <f t="shared" si="132"/>
        <v>37</v>
      </c>
      <c r="E2824">
        <f t="shared" si="133"/>
        <v>5</v>
      </c>
      <c r="F2824">
        <f t="shared" si="134"/>
        <v>0</v>
      </c>
    </row>
    <row r="2825" spans="1:6" x14ac:dyDescent="0.25">
      <c r="A2825" t="s">
        <v>233</v>
      </c>
      <c r="B2825" s="1">
        <v>46132</v>
      </c>
      <c r="C2825">
        <v>39</v>
      </c>
      <c r="D2825">
        <f t="shared" si="132"/>
        <v>38.6</v>
      </c>
      <c r="E2825">
        <f t="shared" si="133"/>
        <v>5</v>
      </c>
      <c r="F2825">
        <f t="shared" si="134"/>
        <v>1.025641025641022E-2</v>
      </c>
    </row>
    <row r="2826" spans="1:6" x14ac:dyDescent="0.25">
      <c r="A2826" t="s">
        <v>233</v>
      </c>
      <c r="B2826" s="1">
        <v>46139</v>
      </c>
      <c r="C2826">
        <v>40</v>
      </c>
      <c r="D2826">
        <f t="shared" si="132"/>
        <v>38</v>
      </c>
      <c r="E2826">
        <f t="shared" si="133"/>
        <v>5</v>
      </c>
      <c r="F2826">
        <f t="shared" si="134"/>
        <v>0.05</v>
      </c>
    </row>
    <row r="2827" spans="1:6" x14ac:dyDescent="0.25">
      <c r="A2827" t="s">
        <v>233</v>
      </c>
      <c r="B2827" s="1">
        <v>46146</v>
      </c>
      <c r="C2827">
        <v>47</v>
      </c>
      <c r="D2827">
        <f t="shared" si="132"/>
        <v>38.6</v>
      </c>
      <c r="E2827">
        <f t="shared" si="133"/>
        <v>5</v>
      </c>
      <c r="F2827">
        <f t="shared" si="134"/>
        <v>0.17872340425531913</v>
      </c>
    </row>
    <row r="2828" spans="1:6" x14ac:dyDescent="0.25">
      <c r="A2828" t="s">
        <v>233</v>
      </c>
      <c r="B2828" s="1">
        <v>46153</v>
      </c>
      <c r="C2828">
        <v>43</v>
      </c>
      <c r="D2828">
        <f t="shared" si="132"/>
        <v>40.6</v>
      </c>
      <c r="E2828">
        <f t="shared" si="133"/>
        <v>5</v>
      </c>
      <c r="F2828">
        <f t="shared" si="134"/>
        <v>5.5813953488372058E-2</v>
      </c>
    </row>
    <row r="2829" spans="1:6" x14ac:dyDescent="0.25">
      <c r="A2829" t="s">
        <v>233</v>
      </c>
      <c r="B2829" s="1">
        <v>46160</v>
      </c>
      <c r="C2829">
        <v>39</v>
      </c>
      <c r="D2829">
        <f t="shared" si="132"/>
        <v>41.2</v>
      </c>
      <c r="E2829">
        <f t="shared" si="133"/>
        <v>5</v>
      </c>
      <c r="F2829">
        <f t="shared" si="134"/>
        <v>5.641025641025648E-2</v>
      </c>
    </row>
    <row r="2830" spans="1:6" x14ac:dyDescent="0.25">
      <c r="A2830" t="s">
        <v>233</v>
      </c>
      <c r="B2830" s="1">
        <v>46167</v>
      </c>
      <c r="C2830">
        <v>41</v>
      </c>
      <c r="D2830">
        <f t="shared" si="132"/>
        <v>41.6</v>
      </c>
      <c r="E2830">
        <f t="shared" si="133"/>
        <v>5</v>
      </c>
      <c r="F2830">
        <f t="shared" si="134"/>
        <v>1.4634146341463448E-2</v>
      </c>
    </row>
    <row r="2831" spans="1:6" x14ac:dyDescent="0.25">
      <c r="A2831" t="s">
        <v>233</v>
      </c>
      <c r="B2831" s="1">
        <v>46174</v>
      </c>
      <c r="C2831">
        <v>35</v>
      </c>
      <c r="D2831">
        <f t="shared" si="132"/>
        <v>42</v>
      </c>
      <c r="E2831">
        <f t="shared" si="133"/>
        <v>5</v>
      </c>
      <c r="F2831">
        <f t="shared" si="134"/>
        <v>0.2</v>
      </c>
    </row>
    <row r="2832" spans="1:6" x14ac:dyDescent="0.25">
      <c r="A2832" t="s">
        <v>233</v>
      </c>
      <c r="B2832" s="1">
        <v>46181</v>
      </c>
      <c r="C2832">
        <v>46</v>
      </c>
      <c r="D2832">
        <f t="shared" si="132"/>
        <v>41</v>
      </c>
      <c r="E2832">
        <f t="shared" si="133"/>
        <v>5</v>
      </c>
      <c r="F2832">
        <f t="shared" si="134"/>
        <v>0.10869565217391304</v>
      </c>
    </row>
    <row r="2833" spans="1:6" x14ac:dyDescent="0.25">
      <c r="A2833" t="s">
        <v>233</v>
      </c>
      <c r="B2833" s="1">
        <v>46188</v>
      </c>
      <c r="C2833">
        <v>38</v>
      </c>
      <c r="D2833">
        <f t="shared" si="132"/>
        <v>40.799999999999997</v>
      </c>
      <c r="E2833">
        <f t="shared" si="133"/>
        <v>5</v>
      </c>
      <c r="F2833">
        <f t="shared" si="134"/>
        <v>7.3684210526315713E-2</v>
      </c>
    </row>
    <row r="2834" spans="1:6" x14ac:dyDescent="0.25">
      <c r="A2834" t="s">
        <v>233</v>
      </c>
      <c r="B2834" s="1">
        <v>46195</v>
      </c>
      <c r="C2834">
        <v>41</v>
      </c>
      <c r="D2834">
        <f t="shared" si="132"/>
        <v>39.799999999999997</v>
      </c>
      <c r="E2834">
        <f t="shared" si="133"/>
        <v>5</v>
      </c>
      <c r="F2834">
        <f t="shared" si="134"/>
        <v>2.9268292682926897E-2</v>
      </c>
    </row>
    <row r="2835" spans="1:6" x14ac:dyDescent="0.25">
      <c r="A2835" t="s">
        <v>233</v>
      </c>
      <c r="B2835" s="1">
        <v>46202</v>
      </c>
      <c r="C2835">
        <v>42</v>
      </c>
      <c r="D2835">
        <f t="shared" si="132"/>
        <v>40.200000000000003</v>
      </c>
      <c r="E2835">
        <f t="shared" si="133"/>
        <v>5</v>
      </c>
      <c r="F2835">
        <f t="shared" si="134"/>
        <v>4.2857142857142788E-2</v>
      </c>
    </row>
    <row r="2836" spans="1:6" x14ac:dyDescent="0.25">
      <c r="A2836" t="s">
        <v>235</v>
      </c>
      <c r="B2836" s="1">
        <v>46027</v>
      </c>
      <c r="C2836">
        <v>102</v>
      </c>
      <c r="D2836" t="str">
        <f t="shared" si="132"/>
        <v/>
      </c>
      <c r="E2836">
        <f t="shared" si="133"/>
        <v>0</v>
      </c>
      <c r="F2836" t="str">
        <f t="shared" si="134"/>
        <v/>
      </c>
    </row>
    <row r="2837" spans="1:6" x14ac:dyDescent="0.25">
      <c r="A2837" t="s">
        <v>235</v>
      </c>
      <c r="B2837" s="1">
        <v>46034</v>
      </c>
      <c r="C2837">
        <v>131</v>
      </c>
      <c r="D2837" t="str">
        <f t="shared" si="132"/>
        <v/>
      </c>
      <c r="E2837">
        <f t="shared" si="133"/>
        <v>1</v>
      </c>
      <c r="F2837" t="str">
        <f t="shared" si="134"/>
        <v/>
      </c>
    </row>
    <row r="2838" spans="1:6" x14ac:dyDescent="0.25">
      <c r="A2838" t="s">
        <v>235</v>
      </c>
      <c r="B2838" s="1">
        <v>46041</v>
      </c>
      <c r="C2838">
        <v>133</v>
      </c>
      <c r="D2838" t="str">
        <f t="shared" si="132"/>
        <v/>
      </c>
      <c r="E2838">
        <f t="shared" si="133"/>
        <v>2</v>
      </c>
      <c r="F2838" t="str">
        <f t="shared" si="134"/>
        <v/>
      </c>
    </row>
    <row r="2839" spans="1:6" x14ac:dyDescent="0.25">
      <c r="A2839" t="s">
        <v>235</v>
      </c>
      <c r="B2839" s="1">
        <v>46048</v>
      </c>
      <c r="C2839">
        <v>129</v>
      </c>
      <c r="D2839" t="str">
        <f t="shared" si="132"/>
        <v/>
      </c>
      <c r="E2839">
        <f t="shared" si="133"/>
        <v>3</v>
      </c>
      <c r="F2839" t="str">
        <f t="shared" si="134"/>
        <v/>
      </c>
    </row>
    <row r="2840" spans="1:6" x14ac:dyDescent="0.25">
      <c r="A2840" t="s">
        <v>235</v>
      </c>
      <c r="B2840" s="1">
        <v>46055</v>
      </c>
      <c r="C2840">
        <v>112</v>
      </c>
      <c r="D2840" t="str">
        <f t="shared" si="132"/>
        <v/>
      </c>
      <c r="E2840">
        <f t="shared" si="133"/>
        <v>4</v>
      </c>
      <c r="F2840" t="str">
        <f t="shared" si="134"/>
        <v/>
      </c>
    </row>
    <row r="2841" spans="1:6" x14ac:dyDescent="0.25">
      <c r="A2841" t="s">
        <v>235</v>
      </c>
      <c r="B2841" s="1">
        <v>46062</v>
      </c>
      <c r="C2841">
        <v>132</v>
      </c>
      <c r="D2841">
        <f t="shared" si="132"/>
        <v>121.4</v>
      </c>
      <c r="E2841">
        <f t="shared" si="133"/>
        <v>5</v>
      </c>
      <c r="F2841">
        <f t="shared" si="134"/>
        <v>8.0303030303030265E-2</v>
      </c>
    </row>
    <row r="2842" spans="1:6" x14ac:dyDescent="0.25">
      <c r="A2842" t="s">
        <v>235</v>
      </c>
      <c r="B2842" s="1">
        <v>46069</v>
      </c>
      <c r="C2842">
        <v>160</v>
      </c>
      <c r="D2842">
        <f t="shared" si="132"/>
        <v>127.4</v>
      </c>
      <c r="E2842">
        <f t="shared" si="133"/>
        <v>5</v>
      </c>
      <c r="F2842">
        <f t="shared" si="134"/>
        <v>0.20374999999999996</v>
      </c>
    </row>
    <row r="2843" spans="1:6" x14ac:dyDescent="0.25">
      <c r="A2843" t="s">
        <v>235</v>
      </c>
      <c r="B2843" s="1">
        <v>46076</v>
      </c>
      <c r="C2843">
        <v>142</v>
      </c>
      <c r="D2843">
        <f t="shared" si="132"/>
        <v>133.19999999999999</v>
      </c>
      <c r="E2843">
        <f t="shared" si="133"/>
        <v>5</v>
      </c>
      <c r="F2843">
        <f t="shared" si="134"/>
        <v>6.197183098591557E-2</v>
      </c>
    </row>
    <row r="2844" spans="1:6" x14ac:dyDescent="0.25">
      <c r="A2844" t="s">
        <v>235</v>
      </c>
      <c r="B2844" s="1">
        <v>46083</v>
      </c>
      <c r="C2844">
        <v>134</v>
      </c>
      <c r="D2844">
        <f t="shared" si="132"/>
        <v>135</v>
      </c>
      <c r="E2844">
        <f t="shared" si="133"/>
        <v>5</v>
      </c>
      <c r="F2844">
        <f t="shared" si="134"/>
        <v>7.462686567164179E-3</v>
      </c>
    </row>
    <row r="2845" spans="1:6" x14ac:dyDescent="0.25">
      <c r="A2845" t="s">
        <v>235</v>
      </c>
      <c r="B2845" s="1">
        <v>46090</v>
      </c>
      <c r="C2845">
        <v>183</v>
      </c>
      <c r="D2845">
        <f t="shared" si="132"/>
        <v>136</v>
      </c>
      <c r="E2845">
        <f t="shared" si="133"/>
        <v>5</v>
      </c>
      <c r="F2845">
        <f t="shared" si="134"/>
        <v>0.25683060109289618</v>
      </c>
    </row>
    <row r="2846" spans="1:6" x14ac:dyDescent="0.25">
      <c r="A2846" t="s">
        <v>235</v>
      </c>
      <c r="B2846" s="1">
        <v>46097</v>
      </c>
      <c r="C2846">
        <v>160</v>
      </c>
      <c r="D2846">
        <f t="shared" si="132"/>
        <v>150.19999999999999</v>
      </c>
      <c r="E2846">
        <f t="shared" si="133"/>
        <v>5</v>
      </c>
      <c r="F2846">
        <f t="shared" si="134"/>
        <v>6.1250000000000068E-2</v>
      </c>
    </row>
    <row r="2847" spans="1:6" x14ac:dyDescent="0.25">
      <c r="A2847" t="s">
        <v>235</v>
      </c>
      <c r="B2847" s="1">
        <v>46104</v>
      </c>
      <c r="C2847">
        <v>127</v>
      </c>
      <c r="D2847">
        <f t="shared" si="132"/>
        <v>155.80000000000001</v>
      </c>
      <c r="E2847">
        <f t="shared" si="133"/>
        <v>5</v>
      </c>
      <c r="F2847">
        <f t="shared" si="134"/>
        <v>0.22677165354330717</v>
      </c>
    </row>
    <row r="2848" spans="1:6" x14ac:dyDescent="0.25">
      <c r="A2848" t="s">
        <v>235</v>
      </c>
      <c r="B2848" s="1">
        <v>46111</v>
      </c>
      <c r="C2848">
        <v>144</v>
      </c>
      <c r="D2848">
        <f t="shared" si="132"/>
        <v>149.19999999999999</v>
      </c>
      <c r="E2848">
        <f t="shared" si="133"/>
        <v>5</v>
      </c>
      <c r="F2848">
        <f t="shared" si="134"/>
        <v>3.6111111111111031E-2</v>
      </c>
    </row>
    <row r="2849" spans="1:6" x14ac:dyDescent="0.25">
      <c r="A2849" t="s">
        <v>235</v>
      </c>
      <c r="B2849" s="1">
        <v>46118</v>
      </c>
      <c r="C2849">
        <v>111</v>
      </c>
      <c r="D2849">
        <f t="shared" si="132"/>
        <v>149.6</v>
      </c>
      <c r="E2849">
        <f t="shared" si="133"/>
        <v>5</v>
      </c>
      <c r="F2849">
        <f t="shared" si="134"/>
        <v>0.34774774774774769</v>
      </c>
    </row>
    <row r="2850" spans="1:6" x14ac:dyDescent="0.25">
      <c r="A2850" t="s">
        <v>235</v>
      </c>
      <c r="B2850" s="1">
        <v>46125</v>
      </c>
      <c r="C2850">
        <v>133</v>
      </c>
      <c r="D2850">
        <f t="shared" si="132"/>
        <v>145</v>
      </c>
      <c r="E2850">
        <f t="shared" si="133"/>
        <v>5</v>
      </c>
      <c r="F2850">
        <f t="shared" si="134"/>
        <v>9.0225563909774431E-2</v>
      </c>
    </row>
    <row r="2851" spans="1:6" x14ac:dyDescent="0.25">
      <c r="A2851" t="s">
        <v>235</v>
      </c>
      <c r="B2851" s="1">
        <v>46132</v>
      </c>
      <c r="C2851">
        <v>132</v>
      </c>
      <c r="D2851">
        <f t="shared" si="132"/>
        <v>135</v>
      </c>
      <c r="E2851">
        <f t="shared" si="133"/>
        <v>5</v>
      </c>
      <c r="F2851">
        <f t="shared" si="134"/>
        <v>2.2727272727272728E-2</v>
      </c>
    </row>
    <row r="2852" spans="1:6" x14ac:dyDescent="0.25">
      <c r="A2852" t="s">
        <v>235</v>
      </c>
      <c r="B2852" s="1">
        <v>46139</v>
      </c>
      <c r="C2852">
        <v>147</v>
      </c>
      <c r="D2852">
        <f t="shared" si="132"/>
        <v>129.4</v>
      </c>
      <c r="E2852">
        <f t="shared" si="133"/>
        <v>5</v>
      </c>
      <c r="F2852">
        <f t="shared" si="134"/>
        <v>0.11972789115646254</v>
      </c>
    </row>
    <row r="2853" spans="1:6" x14ac:dyDescent="0.25">
      <c r="A2853" t="s">
        <v>235</v>
      </c>
      <c r="B2853" s="1">
        <v>46146</v>
      </c>
      <c r="C2853">
        <v>102</v>
      </c>
      <c r="D2853">
        <f t="shared" si="132"/>
        <v>133.4</v>
      </c>
      <c r="E2853">
        <f t="shared" si="133"/>
        <v>5</v>
      </c>
      <c r="F2853">
        <f t="shared" si="134"/>
        <v>0.30784313725490203</v>
      </c>
    </row>
    <row r="2854" spans="1:6" x14ac:dyDescent="0.25">
      <c r="A2854" t="s">
        <v>235</v>
      </c>
      <c r="B2854" s="1">
        <v>46153</v>
      </c>
      <c r="C2854">
        <v>144</v>
      </c>
      <c r="D2854">
        <f t="shared" si="132"/>
        <v>125</v>
      </c>
      <c r="E2854">
        <f t="shared" si="133"/>
        <v>5</v>
      </c>
      <c r="F2854">
        <f t="shared" si="134"/>
        <v>0.13194444444444445</v>
      </c>
    </row>
    <row r="2855" spans="1:6" x14ac:dyDescent="0.25">
      <c r="A2855" t="s">
        <v>235</v>
      </c>
      <c r="B2855" s="1">
        <v>46160</v>
      </c>
      <c r="C2855">
        <v>128</v>
      </c>
      <c r="D2855">
        <f t="shared" si="132"/>
        <v>131.6</v>
      </c>
      <c r="E2855">
        <f t="shared" si="133"/>
        <v>5</v>
      </c>
      <c r="F2855">
        <f t="shared" si="134"/>
        <v>2.8124999999999956E-2</v>
      </c>
    </row>
    <row r="2856" spans="1:6" x14ac:dyDescent="0.25">
      <c r="A2856" t="s">
        <v>235</v>
      </c>
      <c r="B2856" s="1">
        <v>46167</v>
      </c>
      <c r="C2856">
        <v>191</v>
      </c>
      <c r="D2856">
        <f t="shared" si="132"/>
        <v>130.6</v>
      </c>
      <c r="E2856">
        <f t="shared" si="133"/>
        <v>5</v>
      </c>
      <c r="F2856">
        <f t="shared" si="134"/>
        <v>0.31623036649214664</v>
      </c>
    </row>
    <row r="2857" spans="1:6" x14ac:dyDescent="0.25">
      <c r="A2857" t="s">
        <v>235</v>
      </c>
      <c r="B2857" s="1">
        <v>46174</v>
      </c>
      <c r="C2857">
        <v>190</v>
      </c>
      <c r="D2857">
        <f t="shared" si="132"/>
        <v>142.4</v>
      </c>
      <c r="E2857">
        <f t="shared" si="133"/>
        <v>5</v>
      </c>
      <c r="F2857">
        <f t="shared" si="134"/>
        <v>0.25052631578947365</v>
      </c>
    </row>
    <row r="2858" spans="1:6" x14ac:dyDescent="0.25">
      <c r="A2858" t="s">
        <v>235</v>
      </c>
      <c r="B2858" s="1">
        <v>46181</v>
      </c>
      <c r="C2858">
        <v>132</v>
      </c>
      <c r="D2858">
        <f t="shared" si="132"/>
        <v>151</v>
      </c>
      <c r="E2858">
        <f t="shared" si="133"/>
        <v>5</v>
      </c>
      <c r="F2858">
        <f t="shared" si="134"/>
        <v>0.14393939393939395</v>
      </c>
    </row>
    <row r="2859" spans="1:6" x14ac:dyDescent="0.25">
      <c r="A2859" t="s">
        <v>235</v>
      </c>
      <c r="B2859" s="1">
        <v>46188</v>
      </c>
      <c r="C2859">
        <v>138</v>
      </c>
      <c r="D2859">
        <f t="shared" si="132"/>
        <v>157</v>
      </c>
      <c r="E2859">
        <f t="shared" si="133"/>
        <v>5</v>
      </c>
      <c r="F2859">
        <f t="shared" si="134"/>
        <v>0.13768115942028986</v>
      </c>
    </row>
    <row r="2860" spans="1:6" x14ac:dyDescent="0.25">
      <c r="A2860" t="s">
        <v>235</v>
      </c>
      <c r="B2860" s="1">
        <v>46195</v>
      </c>
      <c r="C2860">
        <v>185</v>
      </c>
      <c r="D2860">
        <f t="shared" si="132"/>
        <v>155.80000000000001</v>
      </c>
      <c r="E2860">
        <f t="shared" si="133"/>
        <v>5</v>
      </c>
      <c r="F2860">
        <f t="shared" si="134"/>
        <v>0.15783783783783778</v>
      </c>
    </row>
    <row r="2861" spans="1:6" x14ac:dyDescent="0.25">
      <c r="A2861" t="s">
        <v>235</v>
      </c>
      <c r="B2861" s="1">
        <v>46202</v>
      </c>
      <c r="C2861">
        <v>206</v>
      </c>
      <c r="D2861">
        <f t="shared" si="132"/>
        <v>167.2</v>
      </c>
      <c r="E2861">
        <f t="shared" si="133"/>
        <v>5</v>
      </c>
      <c r="F2861">
        <f t="shared" si="134"/>
        <v>0.18834951456310686</v>
      </c>
    </row>
    <row r="2862" spans="1:6" x14ac:dyDescent="0.25">
      <c r="A2862" t="s">
        <v>237</v>
      </c>
      <c r="B2862" s="1">
        <v>46027</v>
      </c>
      <c r="C2862">
        <v>51</v>
      </c>
      <c r="D2862" t="str">
        <f t="shared" si="132"/>
        <v/>
      </c>
      <c r="E2862">
        <f t="shared" si="133"/>
        <v>0</v>
      </c>
      <c r="F2862" t="str">
        <f t="shared" si="134"/>
        <v/>
      </c>
    </row>
    <row r="2863" spans="1:6" x14ac:dyDescent="0.25">
      <c r="A2863" t="s">
        <v>237</v>
      </c>
      <c r="B2863" s="1">
        <v>46034</v>
      </c>
      <c r="C2863">
        <v>58</v>
      </c>
      <c r="D2863" t="str">
        <f t="shared" si="132"/>
        <v/>
      </c>
      <c r="E2863">
        <f t="shared" si="133"/>
        <v>1</v>
      </c>
      <c r="F2863" t="str">
        <f t="shared" si="134"/>
        <v/>
      </c>
    </row>
    <row r="2864" spans="1:6" x14ac:dyDescent="0.25">
      <c r="A2864" t="s">
        <v>237</v>
      </c>
      <c r="B2864" s="1">
        <v>46041</v>
      </c>
      <c r="C2864">
        <v>65</v>
      </c>
      <c r="D2864" t="str">
        <f t="shared" si="132"/>
        <v/>
      </c>
      <c r="E2864">
        <f t="shared" si="133"/>
        <v>2</v>
      </c>
      <c r="F2864" t="str">
        <f t="shared" si="134"/>
        <v/>
      </c>
    </row>
    <row r="2865" spans="1:6" x14ac:dyDescent="0.25">
      <c r="A2865" t="s">
        <v>237</v>
      </c>
      <c r="B2865" s="1">
        <v>46048</v>
      </c>
      <c r="C2865">
        <v>55</v>
      </c>
      <c r="D2865" t="str">
        <f t="shared" si="132"/>
        <v/>
      </c>
      <c r="E2865">
        <f t="shared" si="133"/>
        <v>3</v>
      </c>
      <c r="F2865" t="str">
        <f t="shared" si="134"/>
        <v/>
      </c>
    </row>
    <row r="2866" spans="1:6" x14ac:dyDescent="0.25">
      <c r="A2866" t="s">
        <v>237</v>
      </c>
      <c r="B2866" s="1">
        <v>46055</v>
      </c>
      <c r="C2866">
        <v>55</v>
      </c>
      <c r="D2866" t="str">
        <f t="shared" si="132"/>
        <v/>
      </c>
      <c r="E2866">
        <f t="shared" si="133"/>
        <v>4</v>
      </c>
      <c r="F2866" t="str">
        <f t="shared" si="134"/>
        <v/>
      </c>
    </row>
    <row r="2867" spans="1:6" x14ac:dyDescent="0.25">
      <c r="A2867" t="s">
        <v>237</v>
      </c>
      <c r="B2867" s="1">
        <v>46062</v>
      </c>
      <c r="C2867">
        <v>61</v>
      </c>
      <c r="D2867">
        <f t="shared" si="132"/>
        <v>56.8</v>
      </c>
      <c r="E2867">
        <f t="shared" si="133"/>
        <v>5</v>
      </c>
      <c r="F2867">
        <f t="shared" si="134"/>
        <v>6.8852459016393489E-2</v>
      </c>
    </row>
    <row r="2868" spans="1:6" x14ac:dyDescent="0.25">
      <c r="A2868" t="s">
        <v>237</v>
      </c>
      <c r="B2868" s="1">
        <v>46069</v>
      </c>
      <c r="C2868">
        <v>67</v>
      </c>
      <c r="D2868">
        <f t="shared" si="132"/>
        <v>58.8</v>
      </c>
      <c r="E2868">
        <f t="shared" si="133"/>
        <v>5</v>
      </c>
      <c r="F2868">
        <f t="shared" si="134"/>
        <v>0.12238805970149258</v>
      </c>
    </row>
    <row r="2869" spans="1:6" x14ac:dyDescent="0.25">
      <c r="A2869" t="s">
        <v>237</v>
      </c>
      <c r="B2869" s="1">
        <v>46076</v>
      </c>
      <c r="C2869">
        <v>53</v>
      </c>
      <c r="D2869">
        <f t="shared" si="132"/>
        <v>60.6</v>
      </c>
      <c r="E2869">
        <f t="shared" si="133"/>
        <v>5</v>
      </c>
      <c r="F2869">
        <f t="shared" si="134"/>
        <v>0.14339622641509436</v>
      </c>
    </row>
    <row r="2870" spans="1:6" x14ac:dyDescent="0.25">
      <c r="A2870" t="s">
        <v>237</v>
      </c>
      <c r="B2870" s="1">
        <v>46083</v>
      </c>
      <c r="C2870">
        <v>46</v>
      </c>
      <c r="D2870">
        <f t="shared" si="132"/>
        <v>58.2</v>
      </c>
      <c r="E2870">
        <f t="shared" si="133"/>
        <v>5</v>
      </c>
      <c r="F2870">
        <f t="shared" si="134"/>
        <v>0.2652173913043479</v>
      </c>
    </row>
    <row r="2871" spans="1:6" x14ac:dyDescent="0.25">
      <c r="A2871" t="s">
        <v>237</v>
      </c>
      <c r="B2871" s="1">
        <v>46090</v>
      </c>
      <c r="C2871">
        <v>50</v>
      </c>
      <c r="D2871">
        <f t="shared" si="132"/>
        <v>56.4</v>
      </c>
      <c r="E2871">
        <f t="shared" si="133"/>
        <v>5</v>
      </c>
      <c r="F2871">
        <f t="shared" si="134"/>
        <v>0.12799999999999997</v>
      </c>
    </row>
    <row r="2872" spans="1:6" x14ac:dyDescent="0.25">
      <c r="A2872" t="s">
        <v>237</v>
      </c>
      <c r="B2872" s="1">
        <v>46097</v>
      </c>
      <c r="C2872">
        <v>47</v>
      </c>
      <c r="D2872">
        <f t="shared" si="132"/>
        <v>55.4</v>
      </c>
      <c r="E2872">
        <f t="shared" si="133"/>
        <v>5</v>
      </c>
      <c r="F2872">
        <f t="shared" si="134"/>
        <v>0.17872340425531913</v>
      </c>
    </row>
    <row r="2873" spans="1:6" x14ac:dyDescent="0.25">
      <c r="A2873" t="s">
        <v>237</v>
      </c>
      <c r="B2873" s="1">
        <v>46104</v>
      </c>
      <c r="C2873">
        <v>51</v>
      </c>
      <c r="D2873">
        <f t="shared" si="132"/>
        <v>52.6</v>
      </c>
      <c r="E2873">
        <f t="shared" si="133"/>
        <v>5</v>
      </c>
      <c r="F2873">
        <f t="shared" si="134"/>
        <v>3.137254901960787E-2</v>
      </c>
    </row>
    <row r="2874" spans="1:6" x14ac:dyDescent="0.25">
      <c r="A2874" t="s">
        <v>237</v>
      </c>
      <c r="B2874" s="1">
        <v>46111</v>
      </c>
      <c r="C2874">
        <v>58</v>
      </c>
      <c r="D2874">
        <f t="shared" si="132"/>
        <v>49.4</v>
      </c>
      <c r="E2874">
        <f t="shared" si="133"/>
        <v>5</v>
      </c>
      <c r="F2874">
        <f t="shared" si="134"/>
        <v>0.14827586206896554</v>
      </c>
    </row>
    <row r="2875" spans="1:6" x14ac:dyDescent="0.25">
      <c r="A2875" t="s">
        <v>237</v>
      </c>
      <c r="B2875" s="1">
        <v>46118</v>
      </c>
      <c r="C2875">
        <v>63</v>
      </c>
      <c r="D2875">
        <f t="shared" si="132"/>
        <v>50.4</v>
      </c>
      <c r="E2875">
        <f t="shared" si="133"/>
        <v>5</v>
      </c>
      <c r="F2875">
        <f t="shared" si="134"/>
        <v>0.2</v>
      </c>
    </row>
    <row r="2876" spans="1:6" x14ac:dyDescent="0.25">
      <c r="A2876" t="s">
        <v>237</v>
      </c>
      <c r="B2876" s="1">
        <v>46125</v>
      </c>
      <c r="C2876">
        <v>62</v>
      </c>
      <c r="D2876">
        <f t="shared" si="132"/>
        <v>53.8</v>
      </c>
      <c r="E2876">
        <f t="shared" si="133"/>
        <v>5</v>
      </c>
      <c r="F2876">
        <f t="shared" si="134"/>
        <v>0.13225806451612906</v>
      </c>
    </row>
    <row r="2877" spans="1:6" x14ac:dyDescent="0.25">
      <c r="A2877" t="s">
        <v>237</v>
      </c>
      <c r="B2877" s="1">
        <v>46132</v>
      </c>
      <c r="C2877">
        <v>62</v>
      </c>
      <c r="D2877">
        <f t="shared" si="132"/>
        <v>56.2</v>
      </c>
      <c r="E2877">
        <f t="shared" si="133"/>
        <v>5</v>
      </c>
      <c r="F2877">
        <f t="shared" si="134"/>
        <v>9.3548387096774141E-2</v>
      </c>
    </row>
    <row r="2878" spans="1:6" x14ac:dyDescent="0.25">
      <c r="A2878" t="s">
        <v>237</v>
      </c>
      <c r="B2878" s="1">
        <v>46139</v>
      </c>
      <c r="C2878">
        <v>59</v>
      </c>
      <c r="D2878">
        <f t="shared" si="132"/>
        <v>59.2</v>
      </c>
      <c r="E2878">
        <f t="shared" si="133"/>
        <v>5</v>
      </c>
      <c r="F2878">
        <f t="shared" si="134"/>
        <v>3.3898305084746243E-3</v>
      </c>
    </row>
    <row r="2879" spans="1:6" x14ac:dyDescent="0.25">
      <c r="A2879" t="s">
        <v>237</v>
      </c>
      <c r="B2879" s="1">
        <v>46146</v>
      </c>
      <c r="C2879">
        <v>66</v>
      </c>
      <c r="D2879">
        <f t="shared" si="132"/>
        <v>60.8</v>
      </c>
      <c r="E2879">
        <f t="shared" si="133"/>
        <v>5</v>
      </c>
      <c r="F2879">
        <f t="shared" si="134"/>
        <v>7.8787878787878837E-2</v>
      </c>
    </row>
    <row r="2880" spans="1:6" x14ac:dyDescent="0.25">
      <c r="A2880" t="s">
        <v>237</v>
      </c>
      <c r="B2880" s="1">
        <v>46153</v>
      </c>
      <c r="C2880">
        <v>71</v>
      </c>
      <c r="D2880">
        <f t="shared" si="132"/>
        <v>62.4</v>
      </c>
      <c r="E2880">
        <f t="shared" si="133"/>
        <v>5</v>
      </c>
      <c r="F2880">
        <f t="shared" si="134"/>
        <v>0.1211267605633803</v>
      </c>
    </row>
    <row r="2881" spans="1:6" x14ac:dyDescent="0.25">
      <c r="A2881" t="s">
        <v>237</v>
      </c>
      <c r="B2881" s="1">
        <v>46160</v>
      </c>
      <c r="C2881">
        <v>71</v>
      </c>
      <c r="D2881">
        <f t="shared" si="132"/>
        <v>64</v>
      </c>
      <c r="E2881">
        <f t="shared" si="133"/>
        <v>5</v>
      </c>
      <c r="F2881">
        <f t="shared" si="134"/>
        <v>9.8591549295774641E-2</v>
      </c>
    </row>
    <row r="2882" spans="1:6" x14ac:dyDescent="0.25">
      <c r="A2882" t="s">
        <v>237</v>
      </c>
      <c r="B2882" s="1">
        <v>46167</v>
      </c>
      <c r="C2882">
        <v>78</v>
      </c>
      <c r="D2882">
        <f t="shared" ref="D2882:D2945" si="135">IF(E2882 &lt; 5, "", AVERAGEIFS(C:C, A:A, A2882, B:B, "&gt;=" &amp; (B2882-35), B:B, "&lt;=" &amp; (B2882-7)))</f>
        <v>65.8</v>
      </c>
      <c r="E2882">
        <f t="shared" ref="E2882:E2945" si="136">COUNTIFS(A:A, A2882, B:B, "&gt;=" &amp; (B2882-35), B:B, "&lt;=" &amp; (B2882-7))</f>
        <v>5</v>
      </c>
      <c r="F2882">
        <f t="shared" ref="F2882:F2945" si="137">IF(OR(C2882=0, D2882=""), "", ABS(C2882 - D2882) / C2882)</f>
        <v>0.15641025641025644</v>
      </c>
    </row>
    <row r="2883" spans="1:6" x14ac:dyDescent="0.25">
      <c r="A2883" t="s">
        <v>237</v>
      </c>
      <c r="B2883" s="1">
        <v>46174</v>
      </c>
      <c r="C2883">
        <v>63</v>
      </c>
      <c r="D2883">
        <f t="shared" si="135"/>
        <v>69</v>
      </c>
      <c r="E2883">
        <f t="shared" si="136"/>
        <v>5</v>
      </c>
      <c r="F2883">
        <f t="shared" si="137"/>
        <v>9.5238095238095233E-2</v>
      </c>
    </row>
    <row r="2884" spans="1:6" x14ac:dyDescent="0.25">
      <c r="A2884" t="s">
        <v>237</v>
      </c>
      <c r="B2884" s="1">
        <v>46181</v>
      </c>
      <c r="C2884">
        <v>64</v>
      </c>
      <c r="D2884">
        <f t="shared" si="135"/>
        <v>69.8</v>
      </c>
      <c r="E2884">
        <f t="shared" si="136"/>
        <v>5</v>
      </c>
      <c r="F2884">
        <f t="shared" si="137"/>
        <v>9.0624999999999956E-2</v>
      </c>
    </row>
    <row r="2885" spans="1:6" x14ac:dyDescent="0.25">
      <c r="A2885" t="s">
        <v>237</v>
      </c>
      <c r="B2885" s="1">
        <v>46188</v>
      </c>
      <c r="C2885">
        <v>82</v>
      </c>
      <c r="D2885">
        <f t="shared" si="135"/>
        <v>69.400000000000006</v>
      </c>
      <c r="E2885">
        <f t="shared" si="136"/>
        <v>5</v>
      </c>
      <c r="F2885">
        <f t="shared" si="137"/>
        <v>0.1536585365853658</v>
      </c>
    </row>
    <row r="2886" spans="1:6" x14ac:dyDescent="0.25">
      <c r="A2886" t="s">
        <v>237</v>
      </c>
      <c r="B2886" s="1">
        <v>46195</v>
      </c>
      <c r="C2886">
        <v>69</v>
      </c>
      <c r="D2886">
        <f t="shared" si="135"/>
        <v>71.599999999999994</v>
      </c>
      <c r="E2886">
        <f t="shared" si="136"/>
        <v>5</v>
      </c>
      <c r="F2886">
        <f t="shared" si="137"/>
        <v>3.7681159420289774E-2</v>
      </c>
    </row>
    <row r="2887" spans="1:6" x14ac:dyDescent="0.25">
      <c r="A2887" t="s">
        <v>237</v>
      </c>
      <c r="B2887" s="1">
        <v>46202</v>
      </c>
      <c r="C2887">
        <v>72</v>
      </c>
      <c r="D2887">
        <f t="shared" si="135"/>
        <v>71.2</v>
      </c>
      <c r="E2887">
        <f t="shared" si="136"/>
        <v>5</v>
      </c>
      <c r="F2887">
        <f t="shared" si="137"/>
        <v>1.1111111111111072E-2</v>
      </c>
    </row>
    <row r="2888" spans="1:6" x14ac:dyDescent="0.25">
      <c r="A2888" t="s">
        <v>239</v>
      </c>
      <c r="B2888" s="1">
        <v>46027</v>
      </c>
      <c r="C2888">
        <v>48</v>
      </c>
      <c r="D2888" t="str">
        <f t="shared" si="135"/>
        <v/>
      </c>
      <c r="E2888">
        <f t="shared" si="136"/>
        <v>0</v>
      </c>
      <c r="F2888" t="str">
        <f t="shared" si="137"/>
        <v/>
      </c>
    </row>
    <row r="2889" spans="1:6" x14ac:dyDescent="0.25">
      <c r="A2889" t="s">
        <v>239</v>
      </c>
      <c r="B2889" s="1">
        <v>46034</v>
      </c>
      <c r="C2889">
        <v>40</v>
      </c>
      <c r="D2889" t="str">
        <f t="shared" si="135"/>
        <v/>
      </c>
      <c r="E2889">
        <f t="shared" si="136"/>
        <v>1</v>
      </c>
      <c r="F2889" t="str">
        <f t="shared" si="137"/>
        <v/>
      </c>
    </row>
    <row r="2890" spans="1:6" x14ac:dyDescent="0.25">
      <c r="A2890" t="s">
        <v>239</v>
      </c>
      <c r="B2890" s="1">
        <v>46041</v>
      </c>
      <c r="C2890">
        <v>101</v>
      </c>
      <c r="D2890" t="str">
        <f t="shared" si="135"/>
        <v/>
      </c>
      <c r="E2890">
        <f t="shared" si="136"/>
        <v>2</v>
      </c>
      <c r="F2890" t="str">
        <f t="shared" si="137"/>
        <v/>
      </c>
    </row>
    <row r="2891" spans="1:6" x14ac:dyDescent="0.25">
      <c r="A2891" t="s">
        <v>239</v>
      </c>
      <c r="B2891" s="1">
        <v>46048</v>
      </c>
      <c r="C2891">
        <v>52</v>
      </c>
      <c r="D2891" t="str">
        <f t="shared" si="135"/>
        <v/>
      </c>
      <c r="E2891">
        <f t="shared" si="136"/>
        <v>3</v>
      </c>
      <c r="F2891" t="str">
        <f t="shared" si="137"/>
        <v/>
      </c>
    </row>
    <row r="2892" spans="1:6" x14ac:dyDescent="0.25">
      <c r="A2892" t="s">
        <v>239</v>
      </c>
      <c r="B2892" s="1">
        <v>46055</v>
      </c>
      <c r="C2892">
        <v>72</v>
      </c>
      <c r="D2892" t="str">
        <f t="shared" si="135"/>
        <v/>
      </c>
      <c r="E2892">
        <f t="shared" si="136"/>
        <v>4</v>
      </c>
      <c r="F2892" t="str">
        <f t="shared" si="137"/>
        <v/>
      </c>
    </row>
    <row r="2893" spans="1:6" x14ac:dyDescent="0.25">
      <c r="A2893" t="s">
        <v>239</v>
      </c>
      <c r="B2893" s="1">
        <v>46062</v>
      </c>
      <c r="C2893">
        <v>37</v>
      </c>
      <c r="D2893">
        <f t="shared" si="135"/>
        <v>62.6</v>
      </c>
      <c r="E2893">
        <f t="shared" si="136"/>
        <v>5</v>
      </c>
      <c r="F2893">
        <f t="shared" si="137"/>
        <v>0.69189189189189193</v>
      </c>
    </row>
    <row r="2894" spans="1:6" x14ac:dyDescent="0.25">
      <c r="A2894" t="s">
        <v>239</v>
      </c>
      <c r="B2894" s="1">
        <v>46069</v>
      </c>
      <c r="C2894">
        <v>50</v>
      </c>
      <c r="D2894">
        <f t="shared" si="135"/>
        <v>60.4</v>
      </c>
      <c r="E2894">
        <f t="shared" si="136"/>
        <v>5</v>
      </c>
      <c r="F2894">
        <f t="shared" si="137"/>
        <v>0.20799999999999996</v>
      </c>
    </row>
    <row r="2895" spans="1:6" x14ac:dyDescent="0.25">
      <c r="A2895" t="s">
        <v>239</v>
      </c>
      <c r="B2895" s="1">
        <v>46076</v>
      </c>
      <c r="C2895">
        <v>72</v>
      </c>
      <c r="D2895">
        <f t="shared" si="135"/>
        <v>62.4</v>
      </c>
      <c r="E2895">
        <f t="shared" si="136"/>
        <v>5</v>
      </c>
      <c r="F2895">
        <f t="shared" si="137"/>
        <v>0.13333333333333336</v>
      </c>
    </row>
    <row r="2896" spans="1:6" x14ac:dyDescent="0.25">
      <c r="A2896" t="s">
        <v>239</v>
      </c>
      <c r="B2896" s="1">
        <v>46083</v>
      </c>
      <c r="C2896">
        <v>28</v>
      </c>
      <c r="D2896">
        <f t="shared" si="135"/>
        <v>56.6</v>
      </c>
      <c r="E2896">
        <f t="shared" si="136"/>
        <v>5</v>
      </c>
      <c r="F2896">
        <f t="shared" si="137"/>
        <v>1.0214285714285716</v>
      </c>
    </row>
    <row r="2897" spans="1:6" x14ac:dyDescent="0.25">
      <c r="A2897" t="s">
        <v>239</v>
      </c>
      <c r="B2897" s="1">
        <v>46090</v>
      </c>
      <c r="C2897">
        <v>85</v>
      </c>
      <c r="D2897">
        <f t="shared" si="135"/>
        <v>51.8</v>
      </c>
      <c r="E2897">
        <f t="shared" si="136"/>
        <v>5</v>
      </c>
      <c r="F2897">
        <f t="shared" si="137"/>
        <v>0.39058823529411768</v>
      </c>
    </row>
    <row r="2898" spans="1:6" x14ac:dyDescent="0.25">
      <c r="A2898" t="s">
        <v>239</v>
      </c>
      <c r="B2898" s="1">
        <v>46097</v>
      </c>
      <c r="C2898">
        <v>72</v>
      </c>
      <c r="D2898">
        <f t="shared" si="135"/>
        <v>54.4</v>
      </c>
      <c r="E2898">
        <f t="shared" si="136"/>
        <v>5</v>
      </c>
      <c r="F2898">
        <f t="shared" si="137"/>
        <v>0.24444444444444446</v>
      </c>
    </row>
    <row r="2899" spans="1:6" x14ac:dyDescent="0.25">
      <c r="A2899" t="s">
        <v>239</v>
      </c>
      <c r="B2899" s="1">
        <v>46104</v>
      </c>
      <c r="C2899">
        <v>71</v>
      </c>
      <c r="D2899">
        <f t="shared" si="135"/>
        <v>61.4</v>
      </c>
      <c r="E2899">
        <f t="shared" si="136"/>
        <v>5</v>
      </c>
      <c r="F2899">
        <f t="shared" si="137"/>
        <v>0.13521126760563382</v>
      </c>
    </row>
    <row r="2900" spans="1:6" x14ac:dyDescent="0.25">
      <c r="A2900" t="s">
        <v>239</v>
      </c>
      <c r="B2900" s="1">
        <v>46111</v>
      </c>
      <c r="C2900">
        <v>49</v>
      </c>
      <c r="D2900">
        <f t="shared" si="135"/>
        <v>65.599999999999994</v>
      </c>
      <c r="E2900">
        <f t="shared" si="136"/>
        <v>5</v>
      </c>
      <c r="F2900">
        <f t="shared" si="137"/>
        <v>0.33877551020408153</v>
      </c>
    </row>
    <row r="2901" spans="1:6" x14ac:dyDescent="0.25">
      <c r="A2901" t="s">
        <v>239</v>
      </c>
      <c r="B2901" s="1">
        <v>46118</v>
      </c>
      <c r="C2901">
        <v>79</v>
      </c>
      <c r="D2901">
        <f t="shared" si="135"/>
        <v>61</v>
      </c>
      <c r="E2901">
        <f t="shared" si="136"/>
        <v>5</v>
      </c>
      <c r="F2901">
        <f t="shared" si="137"/>
        <v>0.22784810126582278</v>
      </c>
    </row>
    <row r="2902" spans="1:6" x14ac:dyDescent="0.25">
      <c r="A2902" t="s">
        <v>239</v>
      </c>
      <c r="B2902" s="1">
        <v>46125</v>
      </c>
      <c r="C2902">
        <v>32</v>
      </c>
      <c r="D2902">
        <f t="shared" si="135"/>
        <v>71.2</v>
      </c>
      <c r="E2902">
        <f t="shared" si="136"/>
        <v>5</v>
      </c>
      <c r="F2902">
        <f t="shared" si="137"/>
        <v>1.2250000000000001</v>
      </c>
    </row>
    <row r="2903" spans="1:6" x14ac:dyDescent="0.25">
      <c r="A2903" t="s">
        <v>239</v>
      </c>
      <c r="B2903" s="1">
        <v>46132</v>
      </c>
      <c r="C2903">
        <v>33</v>
      </c>
      <c r="D2903">
        <f t="shared" si="135"/>
        <v>60.6</v>
      </c>
      <c r="E2903">
        <f t="shared" si="136"/>
        <v>5</v>
      </c>
      <c r="F2903">
        <f t="shared" si="137"/>
        <v>0.83636363636363642</v>
      </c>
    </row>
    <row r="2904" spans="1:6" x14ac:dyDescent="0.25">
      <c r="A2904" t="s">
        <v>239</v>
      </c>
      <c r="B2904" s="1">
        <v>46139</v>
      </c>
      <c r="C2904">
        <v>73</v>
      </c>
      <c r="D2904">
        <f t="shared" si="135"/>
        <v>52.8</v>
      </c>
      <c r="E2904">
        <f t="shared" si="136"/>
        <v>5</v>
      </c>
      <c r="F2904">
        <f t="shared" si="137"/>
        <v>0.27671232876712332</v>
      </c>
    </row>
    <row r="2905" spans="1:6" x14ac:dyDescent="0.25">
      <c r="A2905" t="s">
        <v>239</v>
      </c>
      <c r="B2905" s="1">
        <v>46146</v>
      </c>
      <c r="C2905">
        <v>69</v>
      </c>
      <c r="D2905">
        <f t="shared" si="135"/>
        <v>53.2</v>
      </c>
      <c r="E2905">
        <f t="shared" si="136"/>
        <v>5</v>
      </c>
      <c r="F2905">
        <f t="shared" si="137"/>
        <v>0.22898550724637676</v>
      </c>
    </row>
    <row r="2906" spans="1:6" x14ac:dyDescent="0.25">
      <c r="A2906" t="s">
        <v>239</v>
      </c>
      <c r="B2906" s="1">
        <v>46153</v>
      </c>
      <c r="C2906">
        <v>73</v>
      </c>
      <c r="D2906">
        <f t="shared" si="135"/>
        <v>57.2</v>
      </c>
      <c r="E2906">
        <f t="shared" si="136"/>
        <v>5</v>
      </c>
      <c r="F2906">
        <f t="shared" si="137"/>
        <v>0.21643835616438353</v>
      </c>
    </row>
    <row r="2907" spans="1:6" x14ac:dyDescent="0.25">
      <c r="A2907" t="s">
        <v>239</v>
      </c>
      <c r="B2907" s="1">
        <v>46160</v>
      </c>
      <c r="C2907">
        <v>34</v>
      </c>
      <c r="D2907">
        <f t="shared" si="135"/>
        <v>56</v>
      </c>
      <c r="E2907">
        <f t="shared" si="136"/>
        <v>5</v>
      </c>
      <c r="F2907">
        <f t="shared" si="137"/>
        <v>0.6470588235294118</v>
      </c>
    </row>
    <row r="2908" spans="1:6" x14ac:dyDescent="0.25">
      <c r="A2908" t="s">
        <v>239</v>
      </c>
      <c r="B2908" s="1">
        <v>46167</v>
      </c>
      <c r="C2908">
        <v>61</v>
      </c>
      <c r="D2908">
        <f t="shared" si="135"/>
        <v>56.4</v>
      </c>
      <c r="E2908">
        <f t="shared" si="136"/>
        <v>5</v>
      </c>
      <c r="F2908">
        <f t="shared" si="137"/>
        <v>7.540983606557379E-2</v>
      </c>
    </row>
    <row r="2909" spans="1:6" x14ac:dyDescent="0.25">
      <c r="A2909" t="s">
        <v>239</v>
      </c>
      <c r="B2909" s="1">
        <v>46174</v>
      </c>
      <c r="C2909">
        <v>84</v>
      </c>
      <c r="D2909">
        <f t="shared" si="135"/>
        <v>62</v>
      </c>
      <c r="E2909">
        <f t="shared" si="136"/>
        <v>5</v>
      </c>
      <c r="F2909">
        <f t="shared" si="137"/>
        <v>0.26190476190476192</v>
      </c>
    </row>
    <row r="2910" spans="1:6" x14ac:dyDescent="0.25">
      <c r="A2910" t="s">
        <v>239</v>
      </c>
      <c r="B2910" s="1">
        <v>46181</v>
      </c>
      <c r="C2910">
        <v>94</v>
      </c>
      <c r="D2910">
        <f t="shared" si="135"/>
        <v>64.2</v>
      </c>
      <c r="E2910">
        <f t="shared" si="136"/>
        <v>5</v>
      </c>
      <c r="F2910">
        <f t="shared" si="137"/>
        <v>0.31702127659574464</v>
      </c>
    </row>
    <row r="2911" spans="1:6" x14ac:dyDescent="0.25">
      <c r="A2911" t="s">
        <v>239</v>
      </c>
      <c r="B2911" s="1">
        <v>46188</v>
      </c>
      <c r="C2911">
        <v>77</v>
      </c>
      <c r="D2911">
        <f t="shared" si="135"/>
        <v>69.2</v>
      </c>
      <c r="E2911">
        <f t="shared" si="136"/>
        <v>5</v>
      </c>
      <c r="F2911">
        <f t="shared" si="137"/>
        <v>0.10129870129870126</v>
      </c>
    </row>
    <row r="2912" spans="1:6" x14ac:dyDescent="0.25">
      <c r="A2912" t="s">
        <v>239</v>
      </c>
      <c r="B2912" s="1">
        <v>46195</v>
      </c>
      <c r="C2912">
        <v>74</v>
      </c>
      <c r="D2912">
        <f t="shared" si="135"/>
        <v>70</v>
      </c>
      <c r="E2912">
        <f t="shared" si="136"/>
        <v>5</v>
      </c>
      <c r="F2912">
        <f t="shared" si="137"/>
        <v>5.4054054054054057E-2</v>
      </c>
    </row>
    <row r="2913" spans="1:6" x14ac:dyDescent="0.25">
      <c r="A2913" t="s">
        <v>239</v>
      </c>
      <c r="B2913" s="1">
        <v>46202</v>
      </c>
      <c r="C2913">
        <v>64</v>
      </c>
      <c r="D2913">
        <f t="shared" si="135"/>
        <v>78</v>
      </c>
      <c r="E2913">
        <f t="shared" si="136"/>
        <v>5</v>
      </c>
      <c r="F2913">
        <f t="shared" si="137"/>
        <v>0.21875</v>
      </c>
    </row>
    <row r="2914" spans="1:6" x14ac:dyDescent="0.25">
      <c r="A2914" t="s">
        <v>241</v>
      </c>
      <c r="B2914" s="1">
        <v>46027</v>
      </c>
      <c r="C2914">
        <v>42</v>
      </c>
      <c r="D2914" t="str">
        <f t="shared" si="135"/>
        <v/>
      </c>
      <c r="E2914">
        <f t="shared" si="136"/>
        <v>0</v>
      </c>
      <c r="F2914" t="str">
        <f t="shared" si="137"/>
        <v/>
      </c>
    </row>
    <row r="2915" spans="1:6" x14ac:dyDescent="0.25">
      <c r="A2915" t="s">
        <v>241</v>
      </c>
      <c r="B2915" s="1">
        <v>46034</v>
      </c>
      <c r="C2915">
        <v>45</v>
      </c>
      <c r="D2915" t="str">
        <f t="shared" si="135"/>
        <v/>
      </c>
      <c r="E2915">
        <f t="shared" si="136"/>
        <v>1</v>
      </c>
      <c r="F2915" t="str">
        <f t="shared" si="137"/>
        <v/>
      </c>
    </row>
    <row r="2916" spans="1:6" x14ac:dyDescent="0.25">
      <c r="A2916" t="s">
        <v>241</v>
      </c>
      <c r="B2916" s="1">
        <v>46041</v>
      </c>
      <c r="C2916">
        <v>49</v>
      </c>
      <c r="D2916" t="str">
        <f t="shared" si="135"/>
        <v/>
      </c>
      <c r="E2916">
        <f t="shared" si="136"/>
        <v>2</v>
      </c>
      <c r="F2916" t="str">
        <f t="shared" si="137"/>
        <v/>
      </c>
    </row>
    <row r="2917" spans="1:6" x14ac:dyDescent="0.25">
      <c r="A2917" t="s">
        <v>241</v>
      </c>
      <c r="B2917" s="1">
        <v>46048</v>
      </c>
      <c r="C2917">
        <v>49</v>
      </c>
      <c r="D2917" t="str">
        <f t="shared" si="135"/>
        <v/>
      </c>
      <c r="E2917">
        <f t="shared" si="136"/>
        <v>3</v>
      </c>
      <c r="F2917" t="str">
        <f t="shared" si="137"/>
        <v/>
      </c>
    </row>
    <row r="2918" spans="1:6" x14ac:dyDescent="0.25">
      <c r="A2918" t="s">
        <v>241</v>
      </c>
      <c r="B2918" s="1">
        <v>46055</v>
      </c>
      <c r="C2918">
        <v>52</v>
      </c>
      <c r="D2918" t="str">
        <f t="shared" si="135"/>
        <v/>
      </c>
      <c r="E2918">
        <f t="shared" si="136"/>
        <v>4</v>
      </c>
      <c r="F2918" t="str">
        <f t="shared" si="137"/>
        <v/>
      </c>
    </row>
    <row r="2919" spans="1:6" x14ac:dyDescent="0.25">
      <c r="A2919" t="s">
        <v>241</v>
      </c>
      <c r="B2919" s="1">
        <v>46062</v>
      </c>
      <c r="C2919">
        <v>47</v>
      </c>
      <c r="D2919">
        <f t="shared" si="135"/>
        <v>47.4</v>
      </c>
      <c r="E2919">
        <f t="shared" si="136"/>
        <v>5</v>
      </c>
      <c r="F2919">
        <f t="shared" si="137"/>
        <v>8.5106382978723093E-3</v>
      </c>
    </row>
    <row r="2920" spans="1:6" x14ac:dyDescent="0.25">
      <c r="A2920" t="s">
        <v>241</v>
      </c>
      <c r="B2920" s="1">
        <v>46069</v>
      </c>
      <c r="C2920">
        <v>58</v>
      </c>
      <c r="D2920">
        <f t="shared" si="135"/>
        <v>48.4</v>
      </c>
      <c r="E2920">
        <f t="shared" si="136"/>
        <v>5</v>
      </c>
      <c r="F2920">
        <f t="shared" si="137"/>
        <v>0.16551724137931037</v>
      </c>
    </row>
    <row r="2921" spans="1:6" x14ac:dyDescent="0.25">
      <c r="A2921" t="s">
        <v>241</v>
      </c>
      <c r="B2921" s="1">
        <v>46076</v>
      </c>
      <c r="C2921">
        <v>50</v>
      </c>
      <c r="D2921">
        <f t="shared" si="135"/>
        <v>51</v>
      </c>
      <c r="E2921">
        <f t="shared" si="136"/>
        <v>5</v>
      </c>
      <c r="F2921">
        <f t="shared" si="137"/>
        <v>0.02</v>
      </c>
    </row>
    <row r="2922" spans="1:6" x14ac:dyDescent="0.25">
      <c r="A2922" t="s">
        <v>241</v>
      </c>
      <c r="B2922" s="1">
        <v>46083</v>
      </c>
      <c r="C2922">
        <v>51</v>
      </c>
      <c r="D2922">
        <f t="shared" si="135"/>
        <v>51.2</v>
      </c>
      <c r="E2922">
        <f t="shared" si="136"/>
        <v>5</v>
      </c>
      <c r="F2922">
        <f t="shared" si="137"/>
        <v>3.9215686274510358E-3</v>
      </c>
    </row>
    <row r="2923" spans="1:6" x14ac:dyDescent="0.25">
      <c r="A2923" t="s">
        <v>241</v>
      </c>
      <c r="B2923" s="1">
        <v>46090</v>
      </c>
      <c r="C2923">
        <v>49</v>
      </c>
      <c r="D2923">
        <f t="shared" si="135"/>
        <v>51.6</v>
      </c>
      <c r="E2923">
        <f t="shared" si="136"/>
        <v>5</v>
      </c>
      <c r="F2923">
        <f t="shared" si="137"/>
        <v>5.3061224489795944E-2</v>
      </c>
    </row>
    <row r="2924" spans="1:6" x14ac:dyDescent="0.25">
      <c r="A2924" t="s">
        <v>241</v>
      </c>
      <c r="B2924" s="1">
        <v>46097</v>
      </c>
      <c r="C2924">
        <v>55</v>
      </c>
      <c r="D2924">
        <f t="shared" si="135"/>
        <v>51</v>
      </c>
      <c r="E2924">
        <f t="shared" si="136"/>
        <v>5</v>
      </c>
      <c r="F2924">
        <f t="shared" si="137"/>
        <v>7.2727272727272724E-2</v>
      </c>
    </row>
    <row r="2925" spans="1:6" x14ac:dyDescent="0.25">
      <c r="A2925" t="s">
        <v>241</v>
      </c>
      <c r="B2925" s="1">
        <v>46104</v>
      </c>
      <c r="C2925">
        <v>48</v>
      </c>
      <c r="D2925">
        <f t="shared" si="135"/>
        <v>52.6</v>
      </c>
      <c r="E2925">
        <f t="shared" si="136"/>
        <v>5</v>
      </c>
      <c r="F2925">
        <f t="shared" si="137"/>
        <v>9.5833333333333368E-2</v>
      </c>
    </row>
    <row r="2926" spans="1:6" x14ac:dyDescent="0.25">
      <c r="A2926" t="s">
        <v>241</v>
      </c>
      <c r="B2926" s="1">
        <v>46111</v>
      </c>
      <c r="C2926">
        <v>49</v>
      </c>
      <c r="D2926">
        <f t="shared" si="135"/>
        <v>50.6</v>
      </c>
      <c r="E2926">
        <f t="shared" si="136"/>
        <v>5</v>
      </c>
      <c r="F2926">
        <f t="shared" si="137"/>
        <v>3.2653061224489827E-2</v>
      </c>
    </row>
    <row r="2927" spans="1:6" x14ac:dyDescent="0.25">
      <c r="A2927" t="s">
        <v>241</v>
      </c>
      <c r="B2927" s="1">
        <v>46118</v>
      </c>
      <c r="C2927">
        <v>62</v>
      </c>
      <c r="D2927">
        <f t="shared" si="135"/>
        <v>50.4</v>
      </c>
      <c r="E2927">
        <f t="shared" si="136"/>
        <v>5</v>
      </c>
      <c r="F2927">
        <f t="shared" si="137"/>
        <v>0.18709677419354842</v>
      </c>
    </row>
    <row r="2928" spans="1:6" x14ac:dyDescent="0.25">
      <c r="A2928" t="s">
        <v>241</v>
      </c>
      <c r="B2928" s="1">
        <v>46125</v>
      </c>
      <c r="C2928">
        <v>60</v>
      </c>
      <c r="D2928">
        <f t="shared" si="135"/>
        <v>52.6</v>
      </c>
      <c r="E2928">
        <f t="shared" si="136"/>
        <v>5</v>
      </c>
      <c r="F2928">
        <f t="shared" si="137"/>
        <v>0.12333333333333331</v>
      </c>
    </row>
    <row r="2929" spans="1:6" x14ac:dyDescent="0.25">
      <c r="A2929" t="s">
        <v>241</v>
      </c>
      <c r="B2929" s="1">
        <v>46132</v>
      </c>
      <c r="C2929">
        <v>60</v>
      </c>
      <c r="D2929">
        <f t="shared" si="135"/>
        <v>54.8</v>
      </c>
      <c r="E2929">
        <f t="shared" si="136"/>
        <v>5</v>
      </c>
      <c r="F2929">
        <f t="shared" si="137"/>
        <v>8.6666666666666711E-2</v>
      </c>
    </row>
    <row r="2930" spans="1:6" x14ac:dyDescent="0.25">
      <c r="A2930" t="s">
        <v>241</v>
      </c>
      <c r="B2930" s="1">
        <v>46139</v>
      </c>
      <c r="C2930">
        <v>59</v>
      </c>
      <c r="D2930">
        <f t="shared" si="135"/>
        <v>55.8</v>
      </c>
      <c r="E2930">
        <f t="shared" si="136"/>
        <v>5</v>
      </c>
      <c r="F2930">
        <f t="shared" si="137"/>
        <v>5.4237288135593267E-2</v>
      </c>
    </row>
    <row r="2931" spans="1:6" x14ac:dyDescent="0.25">
      <c r="A2931" t="s">
        <v>241</v>
      </c>
      <c r="B2931" s="1">
        <v>46146</v>
      </c>
      <c r="C2931">
        <v>52</v>
      </c>
      <c r="D2931">
        <f t="shared" si="135"/>
        <v>58</v>
      </c>
      <c r="E2931">
        <f t="shared" si="136"/>
        <v>5</v>
      </c>
      <c r="F2931">
        <f t="shared" si="137"/>
        <v>0.11538461538461539</v>
      </c>
    </row>
    <row r="2932" spans="1:6" x14ac:dyDescent="0.25">
      <c r="A2932" t="s">
        <v>241</v>
      </c>
      <c r="B2932" s="1">
        <v>46153</v>
      </c>
      <c r="C2932">
        <v>49</v>
      </c>
      <c r="D2932">
        <f t="shared" si="135"/>
        <v>58.6</v>
      </c>
      <c r="E2932">
        <f t="shared" si="136"/>
        <v>5</v>
      </c>
      <c r="F2932">
        <f t="shared" si="137"/>
        <v>0.19591836734693879</v>
      </c>
    </row>
    <row r="2933" spans="1:6" x14ac:dyDescent="0.25">
      <c r="A2933" t="s">
        <v>241</v>
      </c>
      <c r="B2933" s="1">
        <v>46160</v>
      </c>
      <c r="C2933">
        <v>68</v>
      </c>
      <c r="D2933">
        <f t="shared" si="135"/>
        <v>56</v>
      </c>
      <c r="E2933">
        <f t="shared" si="136"/>
        <v>5</v>
      </c>
      <c r="F2933">
        <f t="shared" si="137"/>
        <v>0.17647058823529413</v>
      </c>
    </row>
    <row r="2934" spans="1:6" x14ac:dyDescent="0.25">
      <c r="A2934" t="s">
        <v>241</v>
      </c>
      <c r="B2934" s="1">
        <v>46167</v>
      </c>
      <c r="C2934">
        <v>60</v>
      </c>
      <c r="D2934">
        <f t="shared" si="135"/>
        <v>57.6</v>
      </c>
      <c r="E2934">
        <f t="shared" si="136"/>
        <v>5</v>
      </c>
      <c r="F2934">
        <f t="shared" si="137"/>
        <v>3.9999999999999973E-2</v>
      </c>
    </row>
    <row r="2935" spans="1:6" x14ac:dyDescent="0.25">
      <c r="A2935" t="s">
        <v>241</v>
      </c>
      <c r="B2935" s="1">
        <v>46174</v>
      </c>
      <c r="C2935">
        <v>65</v>
      </c>
      <c r="D2935">
        <f t="shared" si="135"/>
        <v>57.6</v>
      </c>
      <c r="E2935">
        <f t="shared" si="136"/>
        <v>5</v>
      </c>
      <c r="F2935">
        <f t="shared" si="137"/>
        <v>0.11384615384615382</v>
      </c>
    </row>
    <row r="2936" spans="1:6" x14ac:dyDescent="0.25">
      <c r="A2936" t="s">
        <v>241</v>
      </c>
      <c r="B2936" s="1">
        <v>46181</v>
      </c>
      <c r="C2936">
        <v>62</v>
      </c>
      <c r="D2936">
        <f t="shared" si="135"/>
        <v>58.8</v>
      </c>
      <c r="E2936">
        <f t="shared" si="136"/>
        <v>5</v>
      </c>
      <c r="F2936">
        <f t="shared" si="137"/>
        <v>5.16129032258065E-2</v>
      </c>
    </row>
    <row r="2937" spans="1:6" x14ac:dyDescent="0.25">
      <c r="A2937" t="s">
        <v>241</v>
      </c>
      <c r="B2937" s="1">
        <v>46188</v>
      </c>
      <c r="C2937">
        <v>69</v>
      </c>
      <c r="D2937">
        <f t="shared" si="135"/>
        <v>60.8</v>
      </c>
      <c r="E2937">
        <f t="shared" si="136"/>
        <v>5</v>
      </c>
      <c r="F2937">
        <f t="shared" si="137"/>
        <v>0.11884057971014497</v>
      </c>
    </row>
    <row r="2938" spans="1:6" x14ac:dyDescent="0.25">
      <c r="A2938" t="s">
        <v>241</v>
      </c>
      <c r="B2938" s="1">
        <v>46195</v>
      </c>
      <c r="C2938">
        <v>55</v>
      </c>
      <c r="D2938">
        <f t="shared" si="135"/>
        <v>64.8</v>
      </c>
      <c r="E2938">
        <f t="shared" si="136"/>
        <v>5</v>
      </c>
      <c r="F2938">
        <f t="shared" si="137"/>
        <v>0.17818181818181814</v>
      </c>
    </row>
    <row r="2939" spans="1:6" x14ac:dyDescent="0.25">
      <c r="A2939" t="s">
        <v>241</v>
      </c>
      <c r="B2939" s="1">
        <v>46202</v>
      </c>
      <c r="C2939">
        <v>71</v>
      </c>
      <c r="D2939">
        <f t="shared" si="135"/>
        <v>62.2</v>
      </c>
      <c r="E2939">
        <f t="shared" si="136"/>
        <v>5</v>
      </c>
      <c r="F2939">
        <f t="shared" si="137"/>
        <v>0.12394366197183095</v>
      </c>
    </row>
    <row r="2940" spans="1:6" x14ac:dyDescent="0.25">
      <c r="A2940" t="s">
        <v>243</v>
      </c>
      <c r="B2940" s="1">
        <v>46027</v>
      </c>
      <c r="C2940">
        <v>79</v>
      </c>
      <c r="D2940" t="str">
        <f t="shared" si="135"/>
        <v/>
      </c>
      <c r="E2940">
        <f t="shared" si="136"/>
        <v>0</v>
      </c>
      <c r="F2940" t="str">
        <f t="shared" si="137"/>
        <v/>
      </c>
    </row>
    <row r="2941" spans="1:6" x14ac:dyDescent="0.25">
      <c r="A2941" t="s">
        <v>243</v>
      </c>
      <c r="B2941" s="1">
        <v>46034</v>
      </c>
      <c r="C2941">
        <v>76</v>
      </c>
      <c r="D2941" t="str">
        <f t="shared" si="135"/>
        <v/>
      </c>
      <c r="E2941">
        <f t="shared" si="136"/>
        <v>1</v>
      </c>
      <c r="F2941" t="str">
        <f t="shared" si="137"/>
        <v/>
      </c>
    </row>
    <row r="2942" spans="1:6" x14ac:dyDescent="0.25">
      <c r="A2942" t="s">
        <v>243</v>
      </c>
      <c r="B2942" s="1">
        <v>46041</v>
      </c>
      <c r="C2942">
        <v>71</v>
      </c>
      <c r="D2942" t="str">
        <f t="shared" si="135"/>
        <v/>
      </c>
      <c r="E2942">
        <f t="shared" si="136"/>
        <v>2</v>
      </c>
      <c r="F2942" t="str">
        <f t="shared" si="137"/>
        <v/>
      </c>
    </row>
    <row r="2943" spans="1:6" x14ac:dyDescent="0.25">
      <c r="A2943" t="s">
        <v>243</v>
      </c>
      <c r="B2943" s="1">
        <v>46048</v>
      </c>
      <c r="C2943">
        <v>84</v>
      </c>
      <c r="D2943" t="str">
        <f t="shared" si="135"/>
        <v/>
      </c>
      <c r="E2943">
        <f t="shared" si="136"/>
        <v>3</v>
      </c>
      <c r="F2943" t="str">
        <f t="shared" si="137"/>
        <v/>
      </c>
    </row>
    <row r="2944" spans="1:6" x14ac:dyDescent="0.25">
      <c r="A2944" t="s">
        <v>243</v>
      </c>
      <c r="B2944" s="1">
        <v>46055</v>
      </c>
      <c r="C2944">
        <v>77</v>
      </c>
      <c r="D2944" t="str">
        <f t="shared" si="135"/>
        <v/>
      </c>
      <c r="E2944">
        <f t="shared" si="136"/>
        <v>4</v>
      </c>
      <c r="F2944" t="str">
        <f t="shared" si="137"/>
        <v/>
      </c>
    </row>
    <row r="2945" spans="1:6" x14ac:dyDescent="0.25">
      <c r="A2945" t="s">
        <v>243</v>
      </c>
      <c r="B2945" s="1">
        <v>46062</v>
      </c>
      <c r="C2945">
        <v>89</v>
      </c>
      <c r="D2945">
        <f t="shared" si="135"/>
        <v>77.400000000000006</v>
      </c>
      <c r="E2945">
        <f t="shared" si="136"/>
        <v>5</v>
      </c>
      <c r="F2945">
        <f t="shared" si="137"/>
        <v>0.13033707865168534</v>
      </c>
    </row>
    <row r="2946" spans="1:6" x14ac:dyDescent="0.25">
      <c r="A2946" t="s">
        <v>243</v>
      </c>
      <c r="B2946" s="1">
        <v>46069</v>
      </c>
      <c r="C2946">
        <v>77</v>
      </c>
      <c r="D2946">
        <f t="shared" ref="D2946:D3009" si="138">IF(E2946 &lt; 5, "", AVERAGEIFS(C:C, A:A, A2946, B:B, "&gt;=" &amp; (B2946-35), B:B, "&lt;=" &amp; (B2946-7)))</f>
        <v>79.400000000000006</v>
      </c>
      <c r="E2946">
        <f t="shared" ref="E2946:E3009" si="139">COUNTIFS(A:A, A2946, B:B, "&gt;=" &amp; (B2946-35), B:B, "&lt;=" &amp; (B2946-7))</f>
        <v>5</v>
      </c>
      <c r="F2946">
        <f t="shared" ref="F2946:F3009" si="140">IF(OR(C2946=0, D2946=""), "", ABS(C2946 - D2946) / C2946)</f>
        <v>3.1168831168831242E-2</v>
      </c>
    </row>
    <row r="2947" spans="1:6" x14ac:dyDescent="0.25">
      <c r="A2947" t="s">
        <v>243</v>
      </c>
      <c r="B2947" s="1">
        <v>46076</v>
      </c>
      <c r="C2947">
        <v>82</v>
      </c>
      <c r="D2947">
        <f t="shared" si="138"/>
        <v>79.599999999999994</v>
      </c>
      <c r="E2947">
        <f t="shared" si="139"/>
        <v>5</v>
      </c>
      <c r="F2947">
        <f t="shared" si="140"/>
        <v>2.9268292682926897E-2</v>
      </c>
    </row>
    <row r="2948" spans="1:6" x14ac:dyDescent="0.25">
      <c r="A2948" t="s">
        <v>243</v>
      </c>
      <c r="B2948" s="1">
        <v>46083</v>
      </c>
      <c r="C2948">
        <v>74</v>
      </c>
      <c r="D2948">
        <f t="shared" si="138"/>
        <v>81.8</v>
      </c>
      <c r="E2948">
        <f t="shared" si="139"/>
        <v>5</v>
      </c>
      <c r="F2948">
        <f t="shared" si="140"/>
        <v>0.10540540540540537</v>
      </c>
    </row>
    <row r="2949" spans="1:6" x14ac:dyDescent="0.25">
      <c r="A2949" t="s">
        <v>243</v>
      </c>
      <c r="B2949" s="1">
        <v>46090</v>
      </c>
      <c r="C2949">
        <v>81</v>
      </c>
      <c r="D2949">
        <f t="shared" si="138"/>
        <v>79.8</v>
      </c>
      <c r="E2949">
        <f t="shared" si="139"/>
        <v>5</v>
      </c>
      <c r="F2949">
        <f t="shared" si="140"/>
        <v>1.481481481481485E-2</v>
      </c>
    </row>
    <row r="2950" spans="1:6" x14ac:dyDescent="0.25">
      <c r="A2950" t="s">
        <v>243</v>
      </c>
      <c r="B2950" s="1">
        <v>46097</v>
      </c>
      <c r="C2950">
        <v>77</v>
      </c>
      <c r="D2950">
        <f t="shared" si="138"/>
        <v>80.599999999999994</v>
      </c>
      <c r="E2950">
        <f t="shared" si="139"/>
        <v>5</v>
      </c>
      <c r="F2950">
        <f t="shared" si="140"/>
        <v>4.6753246753246679E-2</v>
      </c>
    </row>
    <row r="2951" spans="1:6" x14ac:dyDescent="0.25">
      <c r="A2951" t="s">
        <v>243</v>
      </c>
      <c r="B2951" s="1">
        <v>46104</v>
      </c>
      <c r="C2951">
        <v>92</v>
      </c>
      <c r="D2951">
        <f t="shared" si="138"/>
        <v>78.2</v>
      </c>
      <c r="E2951">
        <f t="shared" si="139"/>
        <v>5</v>
      </c>
      <c r="F2951">
        <f t="shared" si="140"/>
        <v>0.14999999999999997</v>
      </c>
    </row>
    <row r="2952" spans="1:6" x14ac:dyDescent="0.25">
      <c r="A2952" t="s">
        <v>243</v>
      </c>
      <c r="B2952" s="1">
        <v>46111</v>
      </c>
      <c r="C2952">
        <v>103</v>
      </c>
      <c r="D2952">
        <f t="shared" si="138"/>
        <v>81.2</v>
      </c>
      <c r="E2952">
        <f t="shared" si="139"/>
        <v>5</v>
      </c>
      <c r="F2952">
        <f t="shared" si="140"/>
        <v>0.21165048543689319</v>
      </c>
    </row>
    <row r="2953" spans="1:6" x14ac:dyDescent="0.25">
      <c r="A2953" t="s">
        <v>243</v>
      </c>
      <c r="B2953" s="1">
        <v>46118</v>
      </c>
      <c r="C2953">
        <v>80</v>
      </c>
      <c r="D2953">
        <f t="shared" si="138"/>
        <v>85.4</v>
      </c>
      <c r="E2953">
        <f t="shared" si="139"/>
        <v>5</v>
      </c>
      <c r="F2953">
        <f t="shared" si="140"/>
        <v>6.7500000000000074E-2</v>
      </c>
    </row>
    <row r="2954" spans="1:6" x14ac:dyDescent="0.25">
      <c r="A2954" t="s">
        <v>243</v>
      </c>
      <c r="B2954" s="1">
        <v>46125</v>
      </c>
      <c r="C2954">
        <v>86</v>
      </c>
      <c r="D2954">
        <f t="shared" si="138"/>
        <v>86.6</v>
      </c>
      <c r="E2954">
        <f t="shared" si="139"/>
        <v>5</v>
      </c>
      <c r="F2954">
        <f t="shared" si="140"/>
        <v>6.9767441860464456E-3</v>
      </c>
    </row>
    <row r="2955" spans="1:6" x14ac:dyDescent="0.25">
      <c r="A2955" t="s">
        <v>243</v>
      </c>
      <c r="B2955" s="1">
        <v>46132</v>
      </c>
      <c r="C2955">
        <v>91</v>
      </c>
      <c r="D2955">
        <f t="shared" si="138"/>
        <v>87.6</v>
      </c>
      <c r="E2955">
        <f t="shared" si="139"/>
        <v>5</v>
      </c>
      <c r="F2955">
        <f t="shared" si="140"/>
        <v>3.7362637362637424E-2</v>
      </c>
    </row>
    <row r="2956" spans="1:6" x14ac:dyDescent="0.25">
      <c r="A2956" t="s">
        <v>243</v>
      </c>
      <c r="B2956" s="1">
        <v>46139</v>
      </c>
      <c r="C2956">
        <v>94</v>
      </c>
      <c r="D2956">
        <f t="shared" si="138"/>
        <v>90.4</v>
      </c>
      <c r="E2956">
        <f t="shared" si="139"/>
        <v>5</v>
      </c>
      <c r="F2956">
        <f t="shared" si="140"/>
        <v>3.8297872340425469E-2</v>
      </c>
    </row>
    <row r="2957" spans="1:6" x14ac:dyDescent="0.25">
      <c r="A2957" t="s">
        <v>243</v>
      </c>
      <c r="B2957" s="1">
        <v>46146</v>
      </c>
      <c r="C2957">
        <v>98</v>
      </c>
      <c r="D2957">
        <f t="shared" si="138"/>
        <v>90.8</v>
      </c>
      <c r="E2957">
        <f t="shared" si="139"/>
        <v>5</v>
      </c>
      <c r="F2957">
        <f t="shared" si="140"/>
        <v>7.3469387755102075E-2</v>
      </c>
    </row>
    <row r="2958" spans="1:6" x14ac:dyDescent="0.25">
      <c r="A2958" t="s">
        <v>243</v>
      </c>
      <c r="B2958" s="1">
        <v>46153</v>
      </c>
      <c r="C2958">
        <v>87</v>
      </c>
      <c r="D2958">
        <f t="shared" si="138"/>
        <v>89.8</v>
      </c>
      <c r="E2958">
        <f t="shared" si="139"/>
        <v>5</v>
      </c>
      <c r="F2958">
        <f t="shared" si="140"/>
        <v>3.2183908045976976E-2</v>
      </c>
    </row>
    <row r="2959" spans="1:6" x14ac:dyDescent="0.25">
      <c r="A2959" t="s">
        <v>243</v>
      </c>
      <c r="B2959" s="1">
        <v>46160</v>
      </c>
      <c r="C2959">
        <v>96</v>
      </c>
      <c r="D2959">
        <f t="shared" si="138"/>
        <v>91.2</v>
      </c>
      <c r="E2959">
        <f t="shared" si="139"/>
        <v>5</v>
      </c>
      <c r="F2959">
        <f t="shared" si="140"/>
        <v>4.9999999999999968E-2</v>
      </c>
    </row>
    <row r="2960" spans="1:6" x14ac:dyDescent="0.25">
      <c r="A2960" t="s">
        <v>243</v>
      </c>
      <c r="B2960" s="1">
        <v>46167</v>
      </c>
      <c r="C2960">
        <v>94</v>
      </c>
      <c r="D2960">
        <f t="shared" si="138"/>
        <v>93.2</v>
      </c>
      <c r="E2960">
        <f t="shared" si="139"/>
        <v>5</v>
      </c>
      <c r="F2960">
        <f t="shared" si="140"/>
        <v>8.5106382978723093E-3</v>
      </c>
    </row>
    <row r="2961" spans="1:6" x14ac:dyDescent="0.25">
      <c r="A2961" t="s">
        <v>243</v>
      </c>
      <c r="B2961" s="1">
        <v>46174</v>
      </c>
      <c r="C2961">
        <v>99</v>
      </c>
      <c r="D2961">
        <f t="shared" si="138"/>
        <v>93.8</v>
      </c>
      <c r="E2961">
        <f t="shared" si="139"/>
        <v>5</v>
      </c>
      <c r="F2961">
        <f t="shared" si="140"/>
        <v>5.2525252525252551E-2</v>
      </c>
    </row>
    <row r="2962" spans="1:6" x14ac:dyDescent="0.25">
      <c r="A2962" t="s">
        <v>243</v>
      </c>
      <c r="B2962" s="1">
        <v>46181</v>
      </c>
      <c r="C2962">
        <v>88</v>
      </c>
      <c r="D2962">
        <f t="shared" si="138"/>
        <v>94.8</v>
      </c>
      <c r="E2962">
        <f t="shared" si="139"/>
        <v>5</v>
      </c>
      <c r="F2962">
        <f t="shared" si="140"/>
        <v>7.7272727272727243E-2</v>
      </c>
    </row>
    <row r="2963" spans="1:6" x14ac:dyDescent="0.25">
      <c r="A2963" t="s">
        <v>243</v>
      </c>
      <c r="B2963" s="1">
        <v>46188</v>
      </c>
      <c r="C2963">
        <v>98</v>
      </c>
      <c r="D2963">
        <f t="shared" si="138"/>
        <v>92.8</v>
      </c>
      <c r="E2963">
        <f t="shared" si="139"/>
        <v>5</v>
      </c>
      <c r="F2963">
        <f t="shared" si="140"/>
        <v>5.3061224489795944E-2</v>
      </c>
    </row>
    <row r="2964" spans="1:6" x14ac:dyDescent="0.25">
      <c r="A2964" t="s">
        <v>243</v>
      </c>
      <c r="B2964" s="1">
        <v>46195</v>
      </c>
      <c r="C2964">
        <v>102</v>
      </c>
      <c r="D2964">
        <f t="shared" si="138"/>
        <v>95</v>
      </c>
      <c r="E2964">
        <f t="shared" si="139"/>
        <v>5</v>
      </c>
      <c r="F2964">
        <f t="shared" si="140"/>
        <v>6.8627450980392163E-2</v>
      </c>
    </row>
    <row r="2965" spans="1:6" x14ac:dyDescent="0.25">
      <c r="A2965" t="s">
        <v>243</v>
      </c>
      <c r="B2965" s="1">
        <v>46202</v>
      </c>
      <c r="C2965">
        <v>111</v>
      </c>
      <c r="D2965">
        <f t="shared" si="138"/>
        <v>96.2</v>
      </c>
      <c r="E2965">
        <f t="shared" si="139"/>
        <v>5</v>
      </c>
      <c r="F2965">
        <f t="shared" si="140"/>
        <v>0.1333333333333333</v>
      </c>
    </row>
    <row r="2966" spans="1:6" x14ac:dyDescent="0.25">
      <c r="A2966" t="s">
        <v>245</v>
      </c>
      <c r="B2966" s="1">
        <v>46027</v>
      </c>
      <c r="C2966">
        <v>70</v>
      </c>
      <c r="D2966" t="str">
        <f t="shared" si="138"/>
        <v/>
      </c>
      <c r="E2966">
        <f t="shared" si="139"/>
        <v>0</v>
      </c>
      <c r="F2966" t="str">
        <f t="shared" si="140"/>
        <v/>
      </c>
    </row>
    <row r="2967" spans="1:6" x14ac:dyDescent="0.25">
      <c r="A2967" t="s">
        <v>245</v>
      </c>
      <c r="B2967" s="1">
        <v>46034</v>
      </c>
      <c r="C2967">
        <v>61</v>
      </c>
      <c r="D2967" t="str">
        <f t="shared" si="138"/>
        <v/>
      </c>
      <c r="E2967">
        <f t="shared" si="139"/>
        <v>1</v>
      </c>
      <c r="F2967" t="str">
        <f t="shared" si="140"/>
        <v/>
      </c>
    </row>
    <row r="2968" spans="1:6" x14ac:dyDescent="0.25">
      <c r="A2968" t="s">
        <v>245</v>
      </c>
      <c r="B2968" s="1">
        <v>46041</v>
      </c>
      <c r="C2968">
        <v>65</v>
      </c>
      <c r="D2968" t="str">
        <f t="shared" si="138"/>
        <v/>
      </c>
      <c r="E2968">
        <f t="shared" si="139"/>
        <v>2</v>
      </c>
      <c r="F2968" t="str">
        <f t="shared" si="140"/>
        <v/>
      </c>
    </row>
    <row r="2969" spans="1:6" x14ac:dyDescent="0.25">
      <c r="A2969" t="s">
        <v>245</v>
      </c>
      <c r="B2969" s="1">
        <v>46048</v>
      </c>
      <c r="C2969">
        <v>69</v>
      </c>
      <c r="D2969" t="str">
        <f t="shared" si="138"/>
        <v/>
      </c>
      <c r="E2969">
        <f t="shared" si="139"/>
        <v>3</v>
      </c>
      <c r="F2969" t="str">
        <f t="shared" si="140"/>
        <v/>
      </c>
    </row>
    <row r="2970" spans="1:6" x14ac:dyDescent="0.25">
      <c r="A2970" t="s">
        <v>245</v>
      </c>
      <c r="B2970" s="1">
        <v>46055</v>
      </c>
      <c r="C2970">
        <v>69</v>
      </c>
      <c r="D2970" t="str">
        <f t="shared" si="138"/>
        <v/>
      </c>
      <c r="E2970">
        <f t="shared" si="139"/>
        <v>4</v>
      </c>
      <c r="F2970" t="str">
        <f t="shared" si="140"/>
        <v/>
      </c>
    </row>
    <row r="2971" spans="1:6" x14ac:dyDescent="0.25">
      <c r="A2971" t="s">
        <v>245</v>
      </c>
      <c r="B2971" s="1">
        <v>46062</v>
      </c>
      <c r="C2971">
        <v>64</v>
      </c>
      <c r="D2971">
        <f t="shared" si="138"/>
        <v>66.8</v>
      </c>
      <c r="E2971">
        <f t="shared" si="139"/>
        <v>5</v>
      </c>
      <c r="F2971">
        <f t="shared" si="140"/>
        <v>4.3749999999999956E-2</v>
      </c>
    </row>
    <row r="2972" spans="1:6" x14ac:dyDescent="0.25">
      <c r="A2972" t="s">
        <v>245</v>
      </c>
      <c r="B2972" s="1">
        <v>46069</v>
      </c>
      <c r="C2972">
        <v>72</v>
      </c>
      <c r="D2972">
        <f t="shared" si="138"/>
        <v>65.599999999999994</v>
      </c>
      <c r="E2972">
        <f t="shared" si="139"/>
        <v>5</v>
      </c>
      <c r="F2972">
        <f t="shared" si="140"/>
        <v>8.8888888888888962E-2</v>
      </c>
    </row>
    <row r="2973" spans="1:6" x14ac:dyDescent="0.25">
      <c r="A2973" t="s">
        <v>245</v>
      </c>
      <c r="B2973" s="1">
        <v>46076</v>
      </c>
      <c r="C2973">
        <v>71</v>
      </c>
      <c r="D2973">
        <f t="shared" si="138"/>
        <v>67.8</v>
      </c>
      <c r="E2973">
        <f t="shared" si="139"/>
        <v>5</v>
      </c>
      <c r="F2973">
        <f t="shared" si="140"/>
        <v>4.5070422535211305E-2</v>
      </c>
    </row>
    <row r="2974" spans="1:6" x14ac:dyDescent="0.25">
      <c r="A2974" t="s">
        <v>245</v>
      </c>
      <c r="B2974" s="1">
        <v>46083</v>
      </c>
      <c r="C2974">
        <v>76</v>
      </c>
      <c r="D2974">
        <f t="shared" si="138"/>
        <v>69</v>
      </c>
      <c r="E2974">
        <f t="shared" si="139"/>
        <v>5</v>
      </c>
      <c r="F2974">
        <f t="shared" si="140"/>
        <v>9.2105263157894732E-2</v>
      </c>
    </row>
    <row r="2975" spans="1:6" x14ac:dyDescent="0.25">
      <c r="A2975" t="s">
        <v>245</v>
      </c>
      <c r="B2975" s="1">
        <v>46090</v>
      </c>
      <c r="C2975">
        <v>68</v>
      </c>
      <c r="D2975">
        <f t="shared" si="138"/>
        <v>70.400000000000006</v>
      </c>
      <c r="E2975">
        <f t="shared" si="139"/>
        <v>5</v>
      </c>
      <c r="F2975">
        <f t="shared" si="140"/>
        <v>3.5294117647058906E-2</v>
      </c>
    </row>
    <row r="2976" spans="1:6" x14ac:dyDescent="0.25">
      <c r="A2976" t="s">
        <v>245</v>
      </c>
      <c r="B2976" s="1">
        <v>46097</v>
      </c>
      <c r="C2976">
        <v>71</v>
      </c>
      <c r="D2976">
        <f t="shared" si="138"/>
        <v>70.2</v>
      </c>
      <c r="E2976">
        <f t="shared" si="139"/>
        <v>5</v>
      </c>
      <c r="F2976">
        <f t="shared" si="140"/>
        <v>1.1267605633802778E-2</v>
      </c>
    </row>
    <row r="2977" spans="1:6" x14ac:dyDescent="0.25">
      <c r="A2977" t="s">
        <v>245</v>
      </c>
      <c r="B2977" s="1">
        <v>46104</v>
      </c>
      <c r="C2977">
        <v>70</v>
      </c>
      <c r="D2977">
        <f t="shared" si="138"/>
        <v>71.599999999999994</v>
      </c>
      <c r="E2977">
        <f t="shared" si="139"/>
        <v>5</v>
      </c>
      <c r="F2977">
        <f t="shared" si="140"/>
        <v>2.2857142857142777E-2</v>
      </c>
    </row>
    <row r="2978" spans="1:6" x14ac:dyDescent="0.25">
      <c r="A2978" t="s">
        <v>245</v>
      </c>
      <c r="B2978" s="1">
        <v>46111</v>
      </c>
      <c r="C2978">
        <v>68</v>
      </c>
      <c r="D2978">
        <f t="shared" si="138"/>
        <v>71.2</v>
      </c>
      <c r="E2978">
        <f t="shared" si="139"/>
        <v>5</v>
      </c>
      <c r="F2978">
        <f t="shared" si="140"/>
        <v>4.7058823529411806E-2</v>
      </c>
    </row>
    <row r="2979" spans="1:6" x14ac:dyDescent="0.25">
      <c r="A2979" t="s">
        <v>245</v>
      </c>
      <c r="B2979" s="1">
        <v>46118</v>
      </c>
      <c r="C2979">
        <v>76</v>
      </c>
      <c r="D2979">
        <f t="shared" si="138"/>
        <v>70.599999999999994</v>
      </c>
      <c r="E2979">
        <f t="shared" si="139"/>
        <v>5</v>
      </c>
      <c r="F2979">
        <f t="shared" si="140"/>
        <v>7.1052631578947437E-2</v>
      </c>
    </row>
    <row r="2980" spans="1:6" x14ac:dyDescent="0.25">
      <c r="A2980" t="s">
        <v>245</v>
      </c>
      <c r="B2980" s="1">
        <v>46125</v>
      </c>
      <c r="C2980">
        <v>77</v>
      </c>
      <c r="D2980">
        <f t="shared" si="138"/>
        <v>70.599999999999994</v>
      </c>
      <c r="E2980">
        <f t="shared" si="139"/>
        <v>5</v>
      </c>
      <c r="F2980">
        <f t="shared" si="140"/>
        <v>8.3116883116883186E-2</v>
      </c>
    </row>
    <row r="2981" spans="1:6" x14ac:dyDescent="0.25">
      <c r="A2981" t="s">
        <v>245</v>
      </c>
      <c r="B2981" s="1">
        <v>46132</v>
      </c>
      <c r="C2981">
        <v>84</v>
      </c>
      <c r="D2981">
        <f t="shared" si="138"/>
        <v>72.400000000000006</v>
      </c>
      <c r="E2981">
        <f t="shared" si="139"/>
        <v>5</v>
      </c>
      <c r="F2981">
        <f t="shared" si="140"/>
        <v>0.13809523809523802</v>
      </c>
    </row>
    <row r="2982" spans="1:6" x14ac:dyDescent="0.25">
      <c r="A2982" t="s">
        <v>245</v>
      </c>
      <c r="B2982" s="1">
        <v>46139</v>
      </c>
      <c r="C2982">
        <v>75</v>
      </c>
      <c r="D2982">
        <f t="shared" si="138"/>
        <v>75</v>
      </c>
      <c r="E2982">
        <f t="shared" si="139"/>
        <v>5</v>
      </c>
      <c r="F2982">
        <f t="shared" si="140"/>
        <v>0</v>
      </c>
    </row>
    <row r="2983" spans="1:6" x14ac:dyDescent="0.25">
      <c r="A2983" t="s">
        <v>245</v>
      </c>
      <c r="B2983" s="1">
        <v>46146</v>
      </c>
      <c r="C2983">
        <v>80</v>
      </c>
      <c r="D2983">
        <f t="shared" si="138"/>
        <v>76</v>
      </c>
      <c r="E2983">
        <f t="shared" si="139"/>
        <v>5</v>
      </c>
      <c r="F2983">
        <f t="shared" si="140"/>
        <v>0.05</v>
      </c>
    </row>
    <row r="2984" spans="1:6" x14ac:dyDescent="0.25">
      <c r="A2984" t="s">
        <v>245</v>
      </c>
      <c r="B2984" s="1">
        <v>46153</v>
      </c>
      <c r="C2984">
        <v>85</v>
      </c>
      <c r="D2984">
        <f t="shared" si="138"/>
        <v>78.400000000000006</v>
      </c>
      <c r="E2984">
        <f t="shared" si="139"/>
        <v>5</v>
      </c>
      <c r="F2984">
        <f t="shared" si="140"/>
        <v>7.7647058823529347E-2</v>
      </c>
    </row>
    <row r="2985" spans="1:6" x14ac:dyDescent="0.25">
      <c r="A2985" t="s">
        <v>245</v>
      </c>
      <c r="B2985" s="1">
        <v>46160</v>
      </c>
      <c r="C2985">
        <v>78</v>
      </c>
      <c r="D2985">
        <f t="shared" si="138"/>
        <v>80.2</v>
      </c>
      <c r="E2985">
        <f t="shared" si="139"/>
        <v>5</v>
      </c>
      <c r="F2985">
        <f t="shared" si="140"/>
        <v>2.820512820512824E-2</v>
      </c>
    </row>
    <row r="2986" spans="1:6" x14ac:dyDescent="0.25">
      <c r="A2986" t="s">
        <v>245</v>
      </c>
      <c r="B2986" s="1">
        <v>46167</v>
      </c>
      <c r="C2986">
        <v>80</v>
      </c>
      <c r="D2986">
        <f t="shared" si="138"/>
        <v>80.400000000000006</v>
      </c>
      <c r="E2986">
        <f t="shared" si="139"/>
        <v>5</v>
      </c>
      <c r="F2986">
        <f t="shared" si="140"/>
        <v>5.0000000000000712E-3</v>
      </c>
    </row>
    <row r="2987" spans="1:6" x14ac:dyDescent="0.25">
      <c r="A2987" t="s">
        <v>245</v>
      </c>
      <c r="B2987" s="1">
        <v>46174</v>
      </c>
      <c r="C2987">
        <v>82</v>
      </c>
      <c r="D2987">
        <f t="shared" si="138"/>
        <v>79.599999999999994</v>
      </c>
      <c r="E2987">
        <f t="shared" si="139"/>
        <v>5</v>
      </c>
      <c r="F2987">
        <f t="shared" si="140"/>
        <v>2.9268292682926897E-2</v>
      </c>
    </row>
    <row r="2988" spans="1:6" x14ac:dyDescent="0.25">
      <c r="A2988" t="s">
        <v>245</v>
      </c>
      <c r="B2988" s="1">
        <v>46181</v>
      </c>
      <c r="C2988">
        <v>78</v>
      </c>
      <c r="D2988">
        <f t="shared" si="138"/>
        <v>81</v>
      </c>
      <c r="E2988">
        <f t="shared" si="139"/>
        <v>5</v>
      </c>
      <c r="F2988">
        <f t="shared" si="140"/>
        <v>3.8461538461538464E-2</v>
      </c>
    </row>
    <row r="2989" spans="1:6" x14ac:dyDescent="0.25">
      <c r="A2989" t="s">
        <v>245</v>
      </c>
      <c r="B2989" s="1">
        <v>46188</v>
      </c>
      <c r="C2989">
        <v>77</v>
      </c>
      <c r="D2989">
        <f t="shared" si="138"/>
        <v>80.599999999999994</v>
      </c>
      <c r="E2989">
        <f t="shared" si="139"/>
        <v>5</v>
      </c>
      <c r="F2989">
        <f t="shared" si="140"/>
        <v>4.6753246753246679E-2</v>
      </c>
    </row>
    <row r="2990" spans="1:6" x14ac:dyDescent="0.25">
      <c r="A2990" t="s">
        <v>245</v>
      </c>
      <c r="B2990" s="1">
        <v>46195</v>
      </c>
      <c r="C2990">
        <v>90</v>
      </c>
      <c r="D2990">
        <f t="shared" si="138"/>
        <v>79</v>
      </c>
      <c r="E2990">
        <f t="shared" si="139"/>
        <v>5</v>
      </c>
      <c r="F2990">
        <f t="shared" si="140"/>
        <v>0.12222222222222222</v>
      </c>
    </row>
    <row r="2991" spans="1:6" x14ac:dyDescent="0.25">
      <c r="A2991" t="s">
        <v>245</v>
      </c>
      <c r="B2991" s="1">
        <v>46202</v>
      </c>
      <c r="C2991">
        <v>85</v>
      </c>
      <c r="D2991">
        <f t="shared" si="138"/>
        <v>81.400000000000006</v>
      </c>
      <c r="E2991">
        <f t="shared" si="139"/>
        <v>5</v>
      </c>
      <c r="F2991">
        <f t="shared" si="140"/>
        <v>4.2352941176470524E-2</v>
      </c>
    </row>
    <row r="2992" spans="1:6" x14ac:dyDescent="0.25">
      <c r="A2992" t="s">
        <v>247</v>
      </c>
      <c r="B2992" s="1">
        <v>46027</v>
      </c>
      <c r="C2992">
        <v>100</v>
      </c>
      <c r="D2992" t="str">
        <f t="shared" si="138"/>
        <v/>
      </c>
      <c r="E2992">
        <f t="shared" si="139"/>
        <v>0</v>
      </c>
      <c r="F2992" t="str">
        <f t="shared" si="140"/>
        <v/>
      </c>
    </row>
    <row r="2993" spans="1:6" x14ac:dyDescent="0.25">
      <c r="A2993" t="s">
        <v>247</v>
      </c>
      <c r="B2993" s="1">
        <v>46034</v>
      </c>
      <c r="C2993">
        <v>98</v>
      </c>
      <c r="D2993" t="str">
        <f t="shared" si="138"/>
        <v/>
      </c>
      <c r="E2993">
        <f t="shared" si="139"/>
        <v>1</v>
      </c>
      <c r="F2993" t="str">
        <f t="shared" si="140"/>
        <v/>
      </c>
    </row>
    <row r="2994" spans="1:6" x14ac:dyDescent="0.25">
      <c r="A2994" t="s">
        <v>247</v>
      </c>
      <c r="B2994" s="1">
        <v>46041</v>
      </c>
      <c r="C2994">
        <v>109</v>
      </c>
      <c r="D2994" t="str">
        <f t="shared" si="138"/>
        <v/>
      </c>
      <c r="E2994">
        <f t="shared" si="139"/>
        <v>2</v>
      </c>
      <c r="F2994" t="str">
        <f t="shared" si="140"/>
        <v/>
      </c>
    </row>
    <row r="2995" spans="1:6" x14ac:dyDescent="0.25">
      <c r="A2995" t="s">
        <v>247</v>
      </c>
      <c r="B2995" s="1">
        <v>46048</v>
      </c>
      <c r="C2995">
        <v>109</v>
      </c>
      <c r="D2995" t="str">
        <f t="shared" si="138"/>
        <v/>
      </c>
      <c r="E2995">
        <f t="shared" si="139"/>
        <v>3</v>
      </c>
      <c r="F2995" t="str">
        <f t="shared" si="140"/>
        <v/>
      </c>
    </row>
    <row r="2996" spans="1:6" x14ac:dyDescent="0.25">
      <c r="A2996" t="s">
        <v>247</v>
      </c>
      <c r="B2996" s="1">
        <v>46055</v>
      </c>
      <c r="C2996">
        <v>109</v>
      </c>
      <c r="D2996" t="str">
        <f t="shared" si="138"/>
        <v/>
      </c>
      <c r="E2996">
        <f t="shared" si="139"/>
        <v>4</v>
      </c>
      <c r="F2996" t="str">
        <f t="shared" si="140"/>
        <v/>
      </c>
    </row>
    <row r="2997" spans="1:6" x14ac:dyDescent="0.25">
      <c r="A2997" t="s">
        <v>247</v>
      </c>
      <c r="B2997" s="1">
        <v>46062</v>
      </c>
      <c r="C2997">
        <v>123</v>
      </c>
      <c r="D2997">
        <f t="shared" si="138"/>
        <v>105</v>
      </c>
      <c r="E2997">
        <f t="shared" si="139"/>
        <v>5</v>
      </c>
      <c r="F2997">
        <f t="shared" si="140"/>
        <v>0.14634146341463414</v>
      </c>
    </row>
    <row r="2998" spans="1:6" x14ac:dyDescent="0.25">
      <c r="A2998" t="s">
        <v>247</v>
      </c>
      <c r="B2998" s="1">
        <v>46069</v>
      </c>
      <c r="C2998">
        <v>124</v>
      </c>
      <c r="D2998">
        <f t="shared" si="138"/>
        <v>109.6</v>
      </c>
      <c r="E2998">
        <f t="shared" si="139"/>
        <v>5</v>
      </c>
      <c r="F2998">
        <f t="shared" si="140"/>
        <v>0.11612903225806456</v>
      </c>
    </row>
    <row r="2999" spans="1:6" x14ac:dyDescent="0.25">
      <c r="A2999" t="s">
        <v>247</v>
      </c>
      <c r="B2999" s="1">
        <v>46076</v>
      </c>
      <c r="C2999">
        <v>114</v>
      </c>
      <c r="D2999">
        <f t="shared" si="138"/>
        <v>114.8</v>
      </c>
      <c r="E2999">
        <f t="shared" si="139"/>
        <v>5</v>
      </c>
      <c r="F2999">
        <f t="shared" si="140"/>
        <v>7.0175438596490978E-3</v>
      </c>
    </row>
    <row r="3000" spans="1:6" x14ac:dyDescent="0.25">
      <c r="A3000" t="s">
        <v>247</v>
      </c>
      <c r="B3000" s="1">
        <v>46083</v>
      </c>
      <c r="C3000">
        <v>138</v>
      </c>
      <c r="D3000">
        <f t="shared" si="138"/>
        <v>115.8</v>
      </c>
      <c r="E3000">
        <f t="shared" si="139"/>
        <v>5</v>
      </c>
      <c r="F3000">
        <f t="shared" si="140"/>
        <v>0.16086956521739132</v>
      </c>
    </row>
    <row r="3001" spans="1:6" x14ac:dyDescent="0.25">
      <c r="A3001" t="s">
        <v>247</v>
      </c>
      <c r="B3001" s="1">
        <v>46090</v>
      </c>
      <c r="C3001">
        <v>127</v>
      </c>
      <c r="D3001">
        <f t="shared" si="138"/>
        <v>121.6</v>
      </c>
      <c r="E3001">
        <f t="shared" si="139"/>
        <v>5</v>
      </c>
      <c r="F3001">
        <f t="shared" si="140"/>
        <v>4.2519685039370127E-2</v>
      </c>
    </row>
    <row r="3002" spans="1:6" x14ac:dyDescent="0.25">
      <c r="A3002" t="s">
        <v>247</v>
      </c>
      <c r="B3002" s="1">
        <v>46097</v>
      </c>
      <c r="C3002">
        <v>116</v>
      </c>
      <c r="D3002">
        <f t="shared" si="138"/>
        <v>125.2</v>
      </c>
      <c r="E3002">
        <f t="shared" si="139"/>
        <v>5</v>
      </c>
      <c r="F3002">
        <f t="shared" si="140"/>
        <v>7.9310344827586227E-2</v>
      </c>
    </row>
    <row r="3003" spans="1:6" x14ac:dyDescent="0.25">
      <c r="A3003" t="s">
        <v>247</v>
      </c>
      <c r="B3003" s="1">
        <v>46104</v>
      </c>
      <c r="C3003">
        <v>114</v>
      </c>
      <c r="D3003">
        <f t="shared" si="138"/>
        <v>123.8</v>
      </c>
      <c r="E3003">
        <f t="shared" si="139"/>
        <v>5</v>
      </c>
      <c r="F3003">
        <f t="shared" si="140"/>
        <v>8.596491228070173E-2</v>
      </c>
    </row>
    <row r="3004" spans="1:6" x14ac:dyDescent="0.25">
      <c r="A3004" t="s">
        <v>247</v>
      </c>
      <c r="B3004" s="1">
        <v>46111</v>
      </c>
      <c r="C3004">
        <v>126</v>
      </c>
      <c r="D3004">
        <f t="shared" si="138"/>
        <v>121.8</v>
      </c>
      <c r="E3004">
        <f t="shared" si="139"/>
        <v>5</v>
      </c>
      <c r="F3004">
        <f t="shared" si="140"/>
        <v>3.3333333333333354E-2</v>
      </c>
    </row>
    <row r="3005" spans="1:6" x14ac:dyDescent="0.25">
      <c r="A3005" t="s">
        <v>247</v>
      </c>
      <c r="B3005" s="1">
        <v>46118</v>
      </c>
      <c r="C3005">
        <v>127</v>
      </c>
      <c r="D3005">
        <f t="shared" si="138"/>
        <v>124.2</v>
      </c>
      <c r="E3005">
        <f t="shared" si="139"/>
        <v>5</v>
      </c>
      <c r="F3005">
        <f t="shared" si="140"/>
        <v>2.2047244094488168E-2</v>
      </c>
    </row>
    <row r="3006" spans="1:6" x14ac:dyDescent="0.25">
      <c r="A3006" t="s">
        <v>247</v>
      </c>
      <c r="B3006" s="1">
        <v>46125</v>
      </c>
      <c r="C3006">
        <v>115</v>
      </c>
      <c r="D3006">
        <f t="shared" si="138"/>
        <v>122</v>
      </c>
      <c r="E3006">
        <f t="shared" si="139"/>
        <v>5</v>
      </c>
      <c r="F3006">
        <f t="shared" si="140"/>
        <v>6.0869565217391307E-2</v>
      </c>
    </row>
    <row r="3007" spans="1:6" x14ac:dyDescent="0.25">
      <c r="A3007" t="s">
        <v>247</v>
      </c>
      <c r="B3007" s="1">
        <v>46132</v>
      </c>
      <c r="C3007">
        <v>135</v>
      </c>
      <c r="D3007">
        <f t="shared" si="138"/>
        <v>119.6</v>
      </c>
      <c r="E3007">
        <f t="shared" si="139"/>
        <v>5</v>
      </c>
      <c r="F3007">
        <f t="shared" si="140"/>
        <v>0.11407407407407412</v>
      </c>
    </row>
    <row r="3008" spans="1:6" x14ac:dyDescent="0.25">
      <c r="A3008" t="s">
        <v>247</v>
      </c>
      <c r="B3008" s="1">
        <v>46139</v>
      </c>
      <c r="C3008">
        <v>116</v>
      </c>
      <c r="D3008">
        <f t="shared" si="138"/>
        <v>123.4</v>
      </c>
      <c r="E3008">
        <f t="shared" si="139"/>
        <v>5</v>
      </c>
      <c r="F3008">
        <f t="shared" si="140"/>
        <v>6.3793103448275906E-2</v>
      </c>
    </row>
    <row r="3009" spans="1:6" x14ac:dyDescent="0.25">
      <c r="A3009" t="s">
        <v>247</v>
      </c>
      <c r="B3009" s="1">
        <v>46146</v>
      </c>
      <c r="C3009">
        <v>140</v>
      </c>
      <c r="D3009">
        <f t="shared" si="138"/>
        <v>123.8</v>
      </c>
      <c r="E3009">
        <f t="shared" si="139"/>
        <v>5</v>
      </c>
      <c r="F3009">
        <f t="shared" si="140"/>
        <v>0.11571428571428573</v>
      </c>
    </row>
    <row r="3010" spans="1:6" x14ac:dyDescent="0.25">
      <c r="A3010" t="s">
        <v>247</v>
      </c>
      <c r="B3010" s="1">
        <v>46153</v>
      </c>
      <c r="C3010">
        <v>130</v>
      </c>
      <c r="D3010">
        <f t="shared" ref="D3010:D3073" si="141">IF(E3010 &lt; 5, "", AVERAGEIFS(C:C, A:A, A3010, B:B, "&gt;=" &amp; (B3010-35), B:B, "&lt;=" &amp; (B3010-7)))</f>
        <v>126.6</v>
      </c>
      <c r="E3010">
        <f t="shared" ref="E3010:E3073" si="142">COUNTIFS(A:A, A3010, B:B, "&gt;=" &amp; (B3010-35), B:B, "&lt;=" &amp; (B3010-7))</f>
        <v>5</v>
      </c>
      <c r="F3010">
        <f t="shared" ref="F3010:F3073" si="143">IF(OR(C3010=0, D3010=""), "", ABS(C3010 - D3010) / C3010)</f>
        <v>2.6153846153846198E-2</v>
      </c>
    </row>
    <row r="3011" spans="1:6" x14ac:dyDescent="0.25">
      <c r="A3011" t="s">
        <v>247</v>
      </c>
      <c r="B3011" s="1">
        <v>46160</v>
      </c>
      <c r="C3011">
        <v>161</v>
      </c>
      <c r="D3011">
        <f t="shared" si="141"/>
        <v>127.2</v>
      </c>
      <c r="E3011">
        <f t="shared" si="142"/>
        <v>5</v>
      </c>
      <c r="F3011">
        <f t="shared" si="143"/>
        <v>0.20993788819875775</v>
      </c>
    </row>
    <row r="3012" spans="1:6" x14ac:dyDescent="0.25">
      <c r="A3012" t="s">
        <v>247</v>
      </c>
      <c r="B3012" s="1">
        <v>46167</v>
      </c>
      <c r="C3012">
        <v>142</v>
      </c>
      <c r="D3012">
        <f t="shared" si="141"/>
        <v>136.4</v>
      </c>
      <c r="E3012">
        <f t="shared" si="142"/>
        <v>5</v>
      </c>
      <c r="F3012">
        <f t="shared" si="143"/>
        <v>3.943661971830982E-2</v>
      </c>
    </row>
    <row r="3013" spans="1:6" x14ac:dyDescent="0.25">
      <c r="A3013" t="s">
        <v>247</v>
      </c>
      <c r="B3013" s="1">
        <v>46174</v>
      </c>
      <c r="C3013">
        <v>133</v>
      </c>
      <c r="D3013">
        <f t="shared" si="141"/>
        <v>137.80000000000001</v>
      </c>
      <c r="E3013">
        <f t="shared" si="142"/>
        <v>5</v>
      </c>
      <c r="F3013">
        <f t="shared" si="143"/>
        <v>3.609022556390986E-2</v>
      </c>
    </row>
    <row r="3014" spans="1:6" x14ac:dyDescent="0.25">
      <c r="A3014" t="s">
        <v>247</v>
      </c>
      <c r="B3014" s="1">
        <v>46181</v>
      </c>
      <c r="C3014">
        <v>139</v>
      </c>
      <c r="D3014">
        <f t="shared" si="141"/>
        <v>141.19999999999999</v>
      </c>
      <c r="E3014">
        <f t="shared" si="142"/>
        <v>5</v>
      </c>
      <c r="F3014">
        <f t="shared" si="143"/>
        <v>1.582733812949632E-2</v>
      </c>
    </row>
    <row r="3015" spans="1:6" x14ac:dyDescent="0.25">
      <c r="A3015" t="s">
        <v>247</v>
      </c>
      <c r="B3015" s="1">
        <v>46188</v>
      </c>
      <c r="C3015">
        <v>148</v>
      </c>
      <c r="D3015">
        <f t="shared" si="141"/>
        <v>141</v>
      </c>
      <c r="E3015">
        <f t="shared" si="142"/>
        <v>5</v>
      </c>
      <c r="F3015">
        <f t="shared" si="143"/>
        <v>4.72972972972973E-2</v>
      </c>
    </row>
    <row r="3016" spans="1:6" x14ac:dyDescent="0.25">
      <c r="A3016" t="s">
        <v>247</v>
      </c>
      <c r="B3016" s="1">
        <v>46195</v>
      </c>
      <c r="C3016">
        <v>146</v>
      </c>
      <c r="D3016">
        <f t="shared" si="141"/>
        <v>144.6</v>
      </c>
      <c r="E3016">
        <f t="shared" si="142"/>
        <v>5</v>
      </c>
      <c r="F3016">
        <f t="shared" si="143"/>
        <v>9.5890410958904496E-3</v>
      </c>
    </row>
    <row r="3017" spans="1:6" x14ac:dyDescent="0.25">
      <c r="A3017" t="s">
        <v>247</v>
      </c>
      <c r="B3017" s="1">
        <v>46202</v>
      </c>
      <c r="C3017">
        <v>147</v>
      </c>
      <c r="D3017">
        <f t="shared" si="141"/>
        <v>141.6</v>
      </c>
      <c r="E3017">
        <f t="shared" si="142"/>
        <v>5</v>
      </c>
      <c r="F3017">
        <f t="shared" si="143"/>
        <v>3.6734693877551058E-2</v>
      </c>
    </row>
    <row r="3018" spans="1:6" x14ac:dyDescent="0.25">
      <c r="A3018" t="s">
        <v>249</v>
      </c>
      <c r="B3018" s="1">
        <v>46027</v>
      </c>
      <c r="C3018">
        <v>38</v>
      </c>
      <c r="D3018" t="str">
        <f t="shared" si="141"/>
        <v/>
      </c>
      <c r="E3018">
        <f t="shared" si="142"/>
        <v>0</v>
      </c>
      <c r="F3018" t="str">
        <f t="shared" si="143"/>
        <v/>
      </c>
    </row>
    <row r="3019" spans="1:6" x14ac:dyDescent="0.25">
      <c r="A3019" t="s">
        <v>249</v>
      </c>
      <c r="B3019" s="1">
        <v>46034</v>
      </c>
      <c r="C3019">
        <v>36</v>
      </c>
      <c r="D3019" t="str">
        <f t="shared" si="141"/>
        <v/>
      </c>
      <c r="E3019">
        <f t="shared" si="142"/>
        <v>1</v>
      </c>
      <c r="F3019" t="str">
        <f t="shared" si="143"/>
        <v/>
      </c>
    </row>
    <row r="3020" spans="1:6" x14ac:dyDescent="0.25">
      <c r="A3020" t="s">
        <v>249</v>
      </c>
      <c r="B3020" s="1">
        <v>46041</v>
      </c>
      <c r="C3020">
        <v>33</v>
      </c>
      <c r="D3020" t="str">
        <f t="shared" si="141"/>
        <v/>
      </c>
      <c r="E3020">
        <f t="shared" si="142"/>
        <v>2</v>
      </c>
      <c r="F3020" t="str">
        <f t="shared" si="143"/>
        <v/>
      </c>
    </row>
    <row r="3021" spans="1:6" x14ac:dyDescent="0.25">
      <c r="A3021" t="s">
        <v>249</v>
      </c>
      <c r="B3021" s="1">
        <v>46048</v>
      </c>
      <c r="C3021">
        <v>38</v>
      </c>
      <c r="D3021" t="str">
        <f t="shared" si="141"/>
        <v/>
      </c>
      <c r="E3021">
        <f t="shared" si="142"/>
        <v>3</v>
      </c>
      <c r="F3021" t="str">
        <f t="shared" si="143"/>
        <v/>
      </c>
    </row>
    <row r="3022" spans="1:6" x14ac:dyDescent="0.25">
      <c r="A3022" t="s">
        <v>249</v>
      </c>
      <c r="B3022" s="1">
        <v>46055</v>
      </c>
      <c r="C3022">
        <v>41</v>
      </c>
      <c r="D3022" t="str">
        <f t="shared" si="141"/>
        <v/>
      </c>
      <c r="E3022">
        <f t="shared" si="142"/>
        <v>4</v>
      </c>
      <c r="F3022" t="str">
        <f t="shared" si="143"/>
        <v/>
      </c>
    </row>
    <row r="3023" spans="1:6" x14ac:dyDescent="0.25">
      <c r="A3023" t="s">
        <v>249</v>
      </c>
      <c r="B3023" s="1">
        <v>46062</v>
      </c>
      <c r="C3023">
        <v>37</v>
      </c>
      <c r="D3023">
        <f t="shared" si="141"/>
        <v>37.200000000000003</v>
      </c>
      <c r="E3023">
        <f t="shared" si="142"/>
        <v>5</v>
      </c>
      <c r="F3023">
        <f t="shared" si="143"/>
        <v>5.405405405405482E-3</v>
      </c>
    </row>
    <row r="3024" spans="1:6" x14ac:dyDescent="0.25">
      <c r="A3024" t="s">
        <v>249</v>
      </c>
      <c r="B3024" s="1">
        <v>46069</v>
      </c>
      <c r="C3024">
        <v>43</v>
      </c>
      <c r="D3024">
        <f t="shared" si="141"/>
        <v>37</v>
      </c>
      <c r="E3024">
        <f t="shared" si="142"/>
        <v>5</v>
      </c>
      <c r="F3024">
        <f t="shared" si="143"/>
        <v>0.13953488372093023</v>
      </c>
    </row>
    <row r="3025" spans="1:6" x14ac:dyDescent="0.25">
      <c r="A3025" t="s">
        <v>249</v>
      </c>
      <c r="B3025" s="1">
        <v>46076</v>
      </c>
      <c r="C3025">
        <v>39</v>
      </c>
      <c r="D3025">
        <f t="shared" si="141"/>
        <v>38.4</v>
      </c>
      <c r="E3025">
        <f t="shared" si="142"/>
        <v>5</v>
      </c>
      <c r="F3025">
        <f t="shared" si="143"/>
        <v>1.5384615384615422E-2</v>
      </c>
    </row>
    <row r="3026" spans="1:6" x14ac:dyDescent="0.25">
      <c r="A3026" t="s">
        <v>249</v>
      </c>
      <c r="B3026" s="1">
        <v>46083</v>
      </c>
      <c r="C3026">
        <v>41</v>
      </c>
      <c r="D3026">
        <f t="shared" si="141"/>
        <v>39.6</v>
      </c>
      <c r="E3026">
        <f t="shared" si="142"/>
        <v>5</v>
      </c>
      <c r="F3026">
        <f t="shared" si="143"/>
        <v>3.4146341463414602E-2</v>
      </c>
    </row>
    <row r="3027" spans="1:6" x14ac:dyDescent="0.25">
      <c r="A3027" t="s">
        <v>249</v>
      </c>
      <c r="B3027" s="1">
        <v>46090</v>
      </c>
      <c r="C3027">
        <v>46</v>
      </c>
      <c r="D3027">
        <f t="shared" si="141"/>
        <v>40.200000000000003</v>
      </c>
      <c r="E3027">
        <f t="shared" si="142"/>
        <v>5</v>
      </c>
      <c r="F3027">
        <f t="shared" si="143"/>
        <v>0.12608695652173907</v>
      </c>
    </row>
    <row r="3028" spans="1:6" x14ac:dyDescent="0.25">
      <c r="A3028" t="s">
        <v>249</v>
      </c>
      <c r="B3028" s="1">
        <v>46097</v>
      </c>
      <c r="C3028">
        <v>44</v>
      </c>
      <c r="D3028">
        <f t="shared" si="141"/>
        <v>41.2</v>
      </c>
      <c r="E3028">
        <f t="shared" si="142"/>
        <v>5</v>
      </c>
      <c r="F3028">
        <f t="shared" si="143"/>
        <v>6.3636363636363574E-2</v>
      </c>
    </row>
    <row r="3029" spans="1:6" x14ac:dyDescent="0.25">
      <c r="A3029" t="s">
        <v>249</v>
      </c>
      <c r="B3029" s="1">
        <v>46104</v>
      </c>
      <c r="C3029">
        <v>52</v>
      </c>
      <c r="D3029">
        <f t="shared" si="141"/>
        <v>42.6</v>
      </c>
      <c r="E3029">
        <f t="shared" si="142"/>
        <v>5</v>
      </c>
      <c r="F3029">
        <f t="shared" si="143"/>
        <v>0.18076923076923074</v>
      </c>
    </row>
    <row r="3030" spans="1:6" x14ac:dyDescent="0.25">
      <c r="A3030" t="s">
        <v>249</v>
      </c>
      <c r="B3030" s="1">
        <v>46111</v>
      </c>
      <c r="C3030">
        <v>40</v>
      </c>
      <c r="D3030">
        <f t="shared" si="141"/>
        <v>44.4</v>
      </c>
      <c r="E3030">
        <f t="shared" si="142"/>
        <v>5</v>
      </c>
      <c r="F3030">
        <f t="shared" si="143"/>
        <v>0.10999999999999996</v>
      </c>
    </row>
    <row r="3031" spans="1:6" x14ac:dyDescent="0.25">
      <c r="A3031" t="s">
        <v>249</v>
      </c>
      <c r="B3031" s="1">
        <v>46118</v>
      </c>
      <c r="C3031">
        <v>43</v>
      </c>
      <c r="D3031">
        <f t="shared" si="141"/>
        <v>44.6</v>
      </c>
      <c r="E3031">
        <f t="shared" si="142"/>
        <v>5</v>
      </c>
      <c r="F3031">
        <f t="shared" si="143"/>
        <v>3.720930232558143E-2</v>
      </c>
    </row>
    <row r="3032" spans="1:6" x14ac:dyDescent="0.25">
      <c r="A3032" t="s">
        <v>249</v>
      </c>
      <c r="B3032" s="1">
        <v>46125</v>
      </c>
      <c r="C3032">
        <v>45</v>
      </c>
      <c r="D3032">
        <f t="shared" si="141"/>
        <v>45</v>
      </c>
      <c r="E3032">
        <f t="shared" si="142"/>
        <v>5</v>
      </c>
      <c r="F3032">
        <f t="shared" si="143"/>
        <v>0</v>
      </c>
    </row>
    <row r="3033" spans="1:6" x14ac:dyDescent="0.25">
      <c r="A3033" t="s">
        <v>249</v>
      </c>
      <c r="B3033" s="1">
        <v>46132</v>
      </c>
      <c r="C3033">
        <v>43</v>
      </c>
      <c r="D3033">
        <f t="shared" si="141"/>
        <v>44.8</v>
      </c>
      <c r="E3033">
        <f t="shared" si="142"/>
        <v>5</v>
      </c>
      <c r="F3033">
        <f t="shared" si="143"/>
        <v>4.1860465116279007E-2</v>
      </c>
    </row>
    <row r="3034" spans="1:6" x14ac:dyDescent="0.25">
      <c r="A3034" t="s">
        <v>249</v>
      </c>
      <c r="B3034" s="1">
        <v>46139</v>
      </c>
      <c r="C3034">
        <v>42</v>
      </c>
      <c r="D3034">
        <f t="shared" si="141"/>
        <v>44.6</v>
      </c>
      <c r="E3034">
        <f t="shared" si="142"/>
        <v>5</v>
      </c>
      <c r="F3034">
        <f t="shared" si="143"/>
        <v>6.1904761904761942E-2</v>
      </c>
    </row>
    <row r="3035" spans="1:6" x14ac:dyDescent="0.25">
      <c r="A3035" t="s">
        <v>249</v>
      </c>
      <c r="B3035" s="1">
        <v>46146</v>
      </c>
      <c r="C3035">
        <v>46</v>
      </c>
      <c r="D3035">
        <f t="shared" si="141"/>
        <v>42.6</v>
      </c>
      <c r="E3035">
        <f t="shared" si="142"/>
        <v>5</v>
      </c>
      <c r="F3035">
        <f t="shared" si="143"/>
        <v>7.3913043478260845E-2</v>
      </c>
    </row>
    <row r="3036" spans="1:6" x14ac:dyDescent="0.25">
      <c r="A3036" t="s">
        <v>249</v>
      </c>
      <c r="B3036" s="1">
        <v>46153</v>
      </c>
      <c r="C3036">
        <v>44</v>
      </c>
      <c r="D3036">
        <f t="shared" si="141"/>
        <v>43.8</v>
      </c>
      <c r="E3036">
        <f t="shared" si="142"/>
        <v>5</v>
      </c>
      <c r="F3036">
        <f t="shared" si="143"/>
        <v>4.5454545454546103E-3</v>
      </c>
    </row>
    <row r="3037" spans="1:6" x14ac:dyDescent="0.25">
      <c r="A3037" t="s">
        <v>249</v>
      </c>
      <c r="B3037" s="1">
        <v>46160</v>
      </c>
      <c r="C3037">
        <v>45</v>
      </c>
      <c r="D3037">
        <f t="shared" si="141"/>
        <v>44</v>
      </c>
      <c r="E3037">
        <f t="shared" si="142"/>
        <v>5</v>
      </c>
      <c r="F3037">
        <f t="shared" si="143"/>
        <v>2.2222222222222223E-2</v>
      </c>
    </row>
    <row r="3038" spans="1:6" x14ac:dyDescent="0.25">
      <c r="A3038" t="s">
        <v>249</v>
      </c>
      <c r="B3038" s="1">
        <v>46167</v>
      </c>
      <c r="C3038">
        <v>44</v>
      </c>
      <c r="D3038">
        <f t="shared" si="141"/>
        <v>44</v>
      </c>
      <c r="E3038">
        <f t="shared" si="142"/>
        <v>5</v>
      </c>
      <c r="F3038">
        <f t="shared" si="143"/>
        <v>0</v>
      </c>
    </row>
    <row r="3039" spans="1:6" x14ac:dyDescent="0.25">
      <c r="A3039" t="s">
        <v>249</v>
      </c>
      <c r="B3039" s="1">
        <v>46174</v>
      </c>
      <c r="C3039">
        <v>47</v>
      </c>
      <c r="D3039">
        <f t="shared" si="141"/>
        <v>44.2</v>
      </c>
      <c r="E3039">
        <f t="shared" si="142"/>
        <v>5</v>
      </c>
      <c r="F3039">
        <f t="shared" si="143"/>
        <v>5.9574468085106323E-2</v>
      </c>
    </row>
    <row r="3040" spans="1:6" x14ac:dyDescent="0.25">
      <c r="A3040" t="s">
        <v>249</v>
      </c>
      <c r="B3040" s="1">
        <v>46181</v>
      </c>
      <c r="C3040">
        <v>47</v>
      </c>
      <c r="D3040">
        <f t="shared" si="141"/>
        <v>45.2</v>
      </c>
      <c r="E3040">
        <f t="shared" si="142"/>
        <v>5</v>
      </c>
      <c r="F3040">
        <f t="shared" si="143"/>
        <v>3.8297872340425469E-2</v>
      </c>
    </row>
    <row r="3041" spans="1:6" x14ac:dyDescent="0.25">
      <c r="A3041" t="s">
        <v>249</v>
      </c>
      <c r="B3041" s="1">
        <v>46188</v>
      </c>
      <c r="C3041">
        <v>47</v>
      </c>
      <c r="D3041">
        <f t="shared" si="141"/>
        <v>45.4</v>
      </c>
      <c r="E3041">
        <f t="shared" si="142"/>
        <v>5</v>
      </c>
      <c r="F3041">
        <f t="shared" si="143"/>
        <v>3.404255319148939E-2</v>
      </c>
    </row>
    <row r="3042" spans="1:6" x14ac:dyDescent="0.25">
      <c r="A3042" t="s">
        <v>249</v>
      </c>
      <c r="B3042" s="1">
        <v>46195</v>
      </c>
      <c r="C3042">
        <v>46</v>
      </c>
      <c r="D3042">
        <f t="shared" si="141"/>
        <v>46</v>
      </c>
      <c r="E3042">
        <f t="shared" si="142"/>
        <v>5</v>
      </c>
      <c r="F3042">
        <f t="shared" si="143"/>
        <v>0</v>
      </c>
    </row>
    <row r="3043" spans="1:6" x14ac:dyDescent="0.25">
      <c r="A3043" t="s">
        <v>249</v>
      </c>
      <c r="B3043" s="1">
        <v>46202</v>
      </c>
      <c r="C3043">
        <v>47</v>
      </c>
      <c r="D3043">
        <f t="shared" si="141"/>
        <v>46.2</v>
      </c>
      <c r="E3043">
        <f t="shared" si="142"/>
        <v>5</v>
      </c>
      <c r="F3043">
        <f t="shared" si="143"/>
        <v>1.7021276595744619E-2</v>
      </c>
    </row>
    <row r="3044" spans="1:6" x14ac:dyDescent="0.25">
      <c r="A3044" t="s">
        <v>251</v>
      </c>
      <c r="B3044" s="1">
        <v>46027</v>
      </c>
      <c r="C3044">
        <v>64</v>
      </c>
      <c r="D3044" t="str">
        <f t="shared" si="141"/>
        <v/>
      </c>
      <c r="E3044">
        <f t="shared" si="142"/>
        <v>0</v>
      </c>
      <c r="F3044" t="str">
        <f t="shared" si="143"/>
        <v/>
      </c>
    </row>
    <row r="3045" spans="1:6" x14ac:dyDescent="0.25">
      <c r="A3045" t="s">
        <v>251</v>
      </c>
      <c r="B3045" s="1">
        <v>46034</v>
      </c>
      <c r="C3045">
        <v>71</v>
      </c>
      <c r="D3045" t="str">
        <f t="shared" si="141"/>
        <v/>
      </c>
      <c r="E3045">
        <f t="shared" si="142"/>
        <v>1</v>
      </c>
      <c r="F3045" t="str">
        <f t="shared" si="143"/>
        <v/>
      </c>
    </row>
    <row r="3046" spans="1:6" x14ac:dyDescent="0.25">
      <c r="A3046" t="s">
        <v>251</v>
      </c>
      <c r="B3046" s="1">
        <v>46041</v>
      </c>
      <c r="C3046">
        <v>74</v>
      </c>
      <c r="D3046" t="str">
        <f t="shared" si="141"/>
        <v/>
      </c>
      <c r="E3046">
        <f t="shared" si="142"/>
        <v>2</v>
      </c>
      <c r="F3046" t="str">
        <f t="shared" si="143"/>
        <v/>
      </c>
    </row>
    <row r="3047" spans="1:6" x14ac:dyDescent="0.25">
      <c r="A3047" t="s">
        <v>251</v>
      </c>
      <c r="B3047" s="1">
        <v>46048</v>
      </c>
      <c r="C3047">
        <v>89</v>
      </c>
      <c r="D3047" t="str">
        <f t="shared" si="141"/>
        <v/>
      </c>
      <c r="E3047">
        <f t="shared" si="142"/>
        <v>3</v>
      </c>
      <c r="F3047" t="str">
        <f t="shared" si="143"/>
        <v/>
      </c>
    </row>
    <row r="3048" spans="1:6" x14ac:dyDescent="0.25">
      <c r="A3048" t="s">
        <v>251</v>
      </c>
      <c r="B3048" s="1">
        <v>46055</v>
      </c>
      <c r="C3048">
        <v>75</v>
      </c>
      <c r="D3048" t="str">
        <f t="shared" si="141"/>
        <v/>
      </c>
      <c r="E3048">
        <f t="shared" si="142"/>
        <v>4</v>
      </c>
      <c r="F3048" t="str">
        <f t="shared" si="143"/>
        <v/>
      </c>
    </row>
    <row r="3049" spans="1:6" x14ac:dyDescent="0.25">
      <c r="A3049" t="s">
        <v>251</v>
      </c>
      <c r="B3049" s="1">
        <v>46062</v>
      </c>
      <c r="C3049">
        <v>88</v>
      </c>
      <c r="D3049">
        <f t="shared" si="141"/>
        <v>74.599999999999994</v>
      </c>
      <c r="E3049">
        <f t="shared" si="142"/>
        <v>5</v>
      </c>
      <c r="F3049">
        <f t="shared" si="143"/>
        <v>0.15227272727272734</v>
      </c>
    </row>
    <row r="3050" spans="1:6" x14ac:dyDescent="0.25">
      <c r="A3050" t="s">
        <v>251</v>
      </c>
      <c r="B3050" s="1">
        <v>46069</v>
      </c>
      <c r="C3050">
        <v>109</v>
      </c>
      <c r="D3050">
        <f t="shared" si="141"/>
        <v>79.400000000000006</v>
      </c>
      <c r="E3050">
        <f t="shared" si="142"/>
        <v>5</v>
      </c>
      <c r="F3050">
        <f t="shared" si="143"/>
        <v>0.2715596330275229</v>
      </c>
    </row>
    <row r="3051" spans="1:6" x14ac:dyDescent="0.25">
      <c r="A3051" t="s">
        <v>251</v>
      </c>
      <c r="B3051" s="1">
        <v>46076</v>
      </c>
      <c r="C3051">
        <v>61</v>
      </c>
      <c r="D3051">
        <f t="shared" si="141"/>
        <v>87</v>
      </c>
      <c r="E3051">
        <f t="shared" si="142"/>
        <v>5</v>
      </c>
      <c r="F3051">
        <f t="shared" si="143"/>
        <v>0.42622950819672129</v>
      </c>
    </row>
    <row r="3052" spans="1:6" x14ac:dyDescent="0.25">
      <c r="A3052" t="s">
        <v>251</v>
      </c>
      <c r="B3052" s="1">
        <v>46083</v>
      </c>
      <c r="C3052">
        <v>87</v>
      </c>
      <c r="D3052">
        <f t="shared" si="141"/>
        <v>84.4</v>
      </c>
      <c r="E3052">
        <f t="shared" si="142"/>
        <v>5</v>
      </c>
      <c r="F3052">
        <f t="shared" si="143"/>
        <v>2.9885057471264301E-2</v>
      </c>
    </row>
    <row r="3053" spans="1:6" x14ac:dyDescent="0.25">
      <c r="A3053" t="s">
        <v>251</v>
      </c>
      <c r="B3053" s="1">
        <v>46090</v>
      </c>
      <c r="C3053">
        <v>88</v>
      </c>
      <c r="D3053">
        <f t="shared" si="141"/>
        <v>84</v>
      </c>
      <c r="E3053">
        <f t="shared" si="142"/>
        <v>5</v>
      </c>
      <c r="F3053">
        <f t="shared" si="143"/>
        <v>4.5454545454545456E-2</v>
      </c>
    </row>
    <row r="3054" spans="1:6" x14ac:dyDescent="0.25">
      <c r="A3054" t="s">
        <v>251</v>
      </c>
      <c r="B3054" s="1">
        <v>46097</v>
      </c>
      <c r="C3054">
        <v>83</v>
      </c>
      <c r="D3054">
        <f t="shared" si="141"/>
        <v>86.6</v>
      </c>
      <c r="E3054">
        <f t="shared" si="142"/>
        <v>5</v>
      </c>
      <c r="F3054">
        <f t="shared" si="143"/>
        <v>4.3373493975903545E-2</v>
      </c>
    </row>
    <row r="3055" spans="1:6" x14ac:dyDescent="0.25">
      <c r="A3055" t="s">
        <v>251</v>
      </c>
      <c r="B3055" s="1">
        <v>46104</v>
      </c>
      <c r="C3055">
        <v>78</v>
      </c>
      <c r="D3055">
        <f t="shared" si="141"/>
        <v>85.6</v>
      </c>
      <c r="E3055">
        <f t="shared" si="142"/>
        <v>5</v>
      </c>
      <c r="F3055">
        <f t="shared" si="143"/>
        <v>9.7435897435897367E-2</v>
      </c>
    </row>
    <row r="3056" spans="1:6" x14ac:dyDescent="0.25">
      <c r="A3056" t="s">
        <v>251</v>
      </c>
      <c r="B3056" s="1">
        <v>46111</v>
      </c>
      <c r="C3056">
        <v>81</v>
      </c>
      <c r="D3056">
        <f t="shared" si="141"/>
        <v>79.400000000000006</v>
      </c>
      <c r="E3056">
        <f t="shared" si="142"/>
        <v>5</v>
      </c>
      <c r="F3056">
        <f t="shared" si="143"/>
        <v>1.9753086419753017E-2</v>
      </c>
    </row>
    <row r="3057" spans="1:6" x14ac:dyDescent="0.25">
      <c r="A3057" t="s">
        <v>251</v>
      </c>
      <c r="B3057" s="1">
        <v>46118</v>
      </c>
      <c r="C3057">
        <v>88</v>
      </c>
      <c r="D3057">
        <f t="shared" si="141"/>
        <v>83.4</v>
      </c>
      <c r="E3057">
        <f t="shared" si="142"/>
        <v>5</v>
      </c>
      <c r="F3057">
        <f t="shared" si="143"/>
        <v>5.2272727272727207E-2</v>
      </c>
    </row>
    <row r="3058" spans="1:6" x14ac:dyDescent="0.25">
      <c r="A3058" t="s">
        <v>251</v>
      </c>
      <c r="B3058" s="1">
        <v>46125</v>
      </c>
      <c r="C3058">
        <v>94</v>
      </c>
      <c r="D3058">
        <f t="shared" si="141"/>
        <v>83.6</v>
      </c>
      <c r="E3058">
        <f t="shared" si="142"/>
        <v>5</v>
      </c>
      <c r="F3058">
        <f t="shared" si="143"/>
        <v>0.11063829787234049</v>
      </c>
    </row>
    <row r="3059" spans="1:6" x14ac:dyDescent="0.25">
      <c r="A3059" t="s">
        <v>251</v>
      </c>
      <c r="B3059" s="1">
        <v>46132</v>
      </c>
      <c r="C3059">
        <v>72</v>
      </c>
      <c r="D3059">
        <f t="shared" si="141"/>
        <v>84.8</v>
      </c>
      <c r="E3059">
        <f t="shared" si="142"/>
        <v>5</v>
      </c>
      <c r="F3059">
        <f t="shared" si="143"/>
        <v>0.17777777777777773</v>
      </c>
    </row>
    <row r="3060" spans="1:6" x14ac:dyDescent="0.25">
      <c r="A3060" t="s">
        <v>251</v>
      </c>
      <c r="B3060" s="1">
        <v>46139</v>
      </c>
      <c r="C3060">
        <v>88</v>
      </c>
      <c r="D3060">
        <f t="shared" si="141"/>
        <v>82.6</v>
      </c>
      <c r="E3060">
        <f t="shared" si="142"/>
        <v>5</v>
      </c>
      <c r="F3060">
        <f t="shared" si="143"/>
        <v>6.1363636363636426E-2</v>
      </c>
    </row>
    <row r="3061" spans="1:6" x14ac:dyDescent="0.25">
      <c r="A3061" t="s">
        <v>251</v>
      </c>
      <c r="B3061" s="1">
        <v>46146</v>
      </c>
      <c r="C3061">
        <v>103</v>
      </c>
      <c r="D3061">
        <f t="shared" si="141"/>
        <v>84.6</v>
      </c>
      <c r="E3061">
        <f t="shared" si="142"/>
        <v>5</v>
      </c>
      <c r="F3061">
        <f t="shared" si="143"/>
        <v>0.17864077669902917</v>
      </c>
    </row>
    <row r="3062" spans="1:6" x14ac:dyDescent="0.25">
      <c r="A3062" t="s">
        <v>251</v>
      </c>
      <c r="B3062" s="1">
        <v>46153</v>
      </c>
      <c r="C3062">
        <v>92</v>
      </c>
      <c r="D3062">
        <f t="shared" si="141"/>
        <v>89</v>
      </c>
      <c r="E3062">
        <f t="shared" si="142"/>
        <v>5</v>
      </c>
      <c r="F3062">
        <f t="shared" si="143"/>
        <v>3.2608695652173912E-2</v>
      </c>
    </row>
    <row r="3063" spans="1:6" x14ac:dyDescent="0.25">
      <c r="A3063" t="s">
        <v>251</v>
      </c>
      <c r="B3063" s="1">
        <v>46160</v>
      </c>
      <c r="C3063">
        <v>97</v>
      </c>
      <c r="D3063">
        <f t="shared" si="141"/>
        <v>89.8</v>
      </c>
      <c r="E3063">
        <f t="shared" si="142"/>
        <v>5</v>
      </c>
      <c r="F3063">
        <f t="shared" si="143"/>
        <v>7.4226804123711368E-2</v>
      </c>
    </row>
    <row r="3064" spans="1:6" x14ac:dyDescent="0.25">
      <c r="A3064" t="s">
        <v>251</v>
      </c>
      <c r="B3064" s="1">
        <v>46167</v>
      </c>
      <c r="C3064">
        <v>92</v>
      </c>
      <c r="D3064">
        <f t="shared" si="141"/>
        <v>90.4</v>
      </c>
      <c r="E3064">
        <f t="shared" si="142"/>
        <v>5</v>
      </c>
      <c r="F3064">
        <f t="shared" si="143"/>
        <v>1.7391304347826025E-2</v>
      </c>
    </row>
    <row r="3065" spans="1:6" x14ac:dyDescent="0.25">
      <c r="A3065" t="s">
        <v>251</v>
      </c>
      <c r="B3065" s="1">
        <v>46174</v>
      </c>
      <c r="C3065">
        <v>67</v>
      </c>
      <c r="D3065">
        <f t="shared" si="141"/>
        <v>94.4</v>
      </c>
      <c r="E3065">
        <f t="shared" si="142"/>
        <v>5</v>
      </c>
      <c r="F3065">
        <f t="shared" si="143"/>
        <v>0.40895522388059707</v>
      </c>
    </row>
    <row r="3066" spans="1:6" x14ac:dyDescent="0.25">
      <c r="A3066" t="s">
        <v>251</v>
      </c>
      <c r="B3066" s="1">
        <v>46181</v>
      </c>
      <c r="C3066">
        <v>94</v>
      </c>
      <c r="D3066">
        <f t="shared" si="141"/>
        <v>90.2</v>
      </c>
      <c r="E3066">
        <f t="shared" si="142"/>
        <v>5</v>
      </c>
      <c r="F3066">
        <f t="shared" si="143"/>
        <v>4.0425531914893585E-2</v>
      </c>
    </row>
    <row r="3067" spans="1:6" x14ac:dyDescent="0.25">
      <c r="A3067" t="s">
        <v>251</v>
      </c>
      <c r="B3067" s="1">
        <v>46188</v>
      </c>
      <c r="C3067">
        <v>91</v>
      </c>
      <c r="D3067">
        <f t="shared" si="141"/>
        <v>88.4</v>
      </c>
      <c r="E3067">
        <f t="shared" si="142"/>
        <v>5</v>
      </c>
      <c r="F3067">
        <f t="shared" si="143"/>
        <v>2.8571428571428508E-2</v>
      </c>
    </row>
    <row r="3068" spans="1:6" x14ac:dyDescent="0.25">
      <c r="A3068" t="s">
        <v>251</v>
      </c>
      <c r="B3068" s="1">
        <v>46195</v>
      </c>
      <c r="C3068">
        <v>80</v>
      </c>
      <c r="D3068">
        <f t="shared" si="141"/>
        <v>88.2</v>
      </c>
      <c r="E3068">
        <f t="shared" si="142"/>
        <v>5</v>
      </c>
      <c r="F3068">
        <f t="shared" si="143"/>
        <v>0.10250000000000004</v>
      </c>
    </row>
    <row r="3069" spans="1:6" x14ac:dyDescent="0.25">
      <c r="A3069" t="s">
        <v>251</v>
      </c>
      <c r="B3069" s="1">
        <v>46202</v>
      </c>
      <c r="C3069">
        <v>105</v>
      </c>
      <c r="D3069">
        <f t="shared" si="141"/>
        <v>84.8</v>
      </c>
      <c r="E3069">
        <f t="shared" si="142"/>
        <v>5</v>
      </c>
      <c r="F3069">
        <f t="shared" si="143"/>
        <v>0.1923809523809524</v>
      </c>
    </row>
    <row r="3070" spans="1:6" x14ac:dyDescent="0.25">
      <c r="A3070" t="s">
        <v>253</v>
      </c>
      <c r="B3070" s="1">
        <v>46027</v>
      </c>
      <c r="C3070">
        <v>22</v>
      </c>
      <c r="D3070" t="str">
        <f t="shared" si="141"/>
        <v/>
      </c>
      <c r="E3070">
        <f t="shared" si="142"/>
        <v>0</v>
      </c>
      <c r="F3070" t="str">
        <f t="shared" si="143"/>
        <v/>
      </c>
    </row>
    <row r="3071" spans="1:6" x14ac:dyDescent="0.25">
      <c r="A3071" t="s">
        <v>253</v>
      </c>
      <c r="B3071" s="1">
        <v>46034</v>
      </c>
      <c r="C3071">
        <v>20</v>
      </c>
      <c r="D3071" t="str">
        <f t="shared" si="141"/>
        <v/>
      </c>
      <c r="E3071">
        <f t="shared" si="142"/>
        <v>1</v>
      </c>
      <c r="F3071" t="str">
        <f t="shared" si="143"/>
        <v/>
      </c>
    </row>
    <row r="3072" spans="1:6" x14ac:dyDescent="0.25">
      <c r="A3072" t="s">
        <v>253</v>
      </c>
      <c r="B3072" s="1">
        <v>46041</v>
      </c>
      <c r="C3072">
        <v>18</v>
      </c>
      <c r="D3072" t="str">
        <f t="shared" si="141"/>
        <v/>
      </c>
      <c r="E3072">
        <f t="shared" si="142"/>
        <v>2</v>
      </c>
      <c r="F3072" t="str">
        <f t="shared" si="143"/>
        <v/>
      </c>
    </row>
    <row r="3073" spans="1:6" x14ac:dyDescent="0.25">
      <c r="A3073" t="s">
        <v>253</v>
      </c>
      <c r="B3073" s="1">
        <v>46048</v>
      </c>
      <c r="C3073">
        <v>19</v>
      </c>
      <c r="D3073" t="str">
        <f t="shared" si="141"/>
        <v/>
      </c>
      <c r="E3073">
        <f t="shared" si="142"/>
        <v>3</v>
      </c>
      <c r="F3073" t="str">
        <f t="shared" si="143"/>
        <v/>
      </c>
    </row>
    <row r="3074" spans="1:6" x14ac:dyDescent="0.25">
      <c r="A3074" t="s">
        <v>253</v>
      </c>
      <c r="B3074" s="1">
        <v>46055</v>
      </c>
      <c r="C3074">
        <v>21</v>
      </c>
      <c r="D3074" t="str">
        <f t="shared" ref="D3074:D3137" si="144">IF(E3074 &lt; 5, "", AVERAGEIFS(C:C, A:A, A3074, B:B, "&gt;=" &amp; (B3074-35), B:B, "&lt;=" &amp; (B3074-7)))</f>
        <v/>
      </c>
      <c r="E3074">
        <f t="shared" ref="E3074:E3137" si="145">COUNTIFS(A:A, A3074, B:B, "&gt;=" &amp; (B3074-35), B:B, "&lt;=" &amp; (B3074-7))</f>
        <v>4</v>
      </c>
      <c r="F3074" t="str">
        <f t="shared" ref="F3074:F3137" si="146">IF(OR(C3074=0, D3074=""), "", ABS(C3074 - D3074) / C3074)</f>
        <v/>
      </c>
    </row>
    <row r="3075" spans="1:6" x14ac:dyDescent="0.25">
      <c r="A3075" t="s">
        <v>253</v>
      </c>
      <c r="B3075" s="1">
        <v>46062</v>
      </c>
      <c r="C3075">
        <v>20</v>
      </c>
      <c r="D3075">
        <f t="shared" si="144"/>
        <v>20</v>
      </c>
      <c r="E3075">
        <f t="shared" si="145"/>
        <v>5</v>
      </c>
      <c r="F3075">
        <f t="shared" si="146"/>
        <v>0</v>
      </c>
    </row>
    <row r="3076" spans="1:6" x14ac:dyDescent="0.25">
      <c r="A3076" t="s">
        <v>253</v>
      </c>
      <c r="B3076" s="1">
        <v>46069</v>
      </c>
      <c r="C3076">
        <v>17</v>
      </c>
      <c r="D3076">
        <f t="shared" si="144"/>
        <v>19.600000000000001</v>
      </c>
      <c r="E3076">
        <f t="shared" si="145"/>
        <v>5</v>
      </c>
      <c r="F3076">
        <f t="shared" si="146"/>
        <v>0.15294117647058833</v>
      </c>
    </row>
    <row r="3077" spans="1:6" x14ac:dyDescent="0.25">
      <c r="A3077" t="s">
        <v>253</v>
      </c>
      <c r="B3077" s="1">
        <v>46076</v>
      </c>
      <c r="C3077">
        <v>23</v>
      </c>
      <c r="D3077">
        <f t="shared" si="144"/>
        <v>19</v>
      </c>
      <c r="E3077">
        <f t="shared" si="145"/>
        <v>5</v>
      </c>
      <c r="F3077">
        <f t="shared" si="146"/>
        <v>0.17391304347826086</v>
      </c>
    </row>
    <row r="3078" spans="1:6" x14ac:dyDescent="0.25">
      <c r="A3078" t="s">
        <v>253</v>
      </c>
      <c r="B3078" s="1">
        <v>46083</v>
      </c>
      <c r="C3078">
        <v>18</v>
      </c>
      <c r="D3078">
        <f t="shared" si="144"/>
        <v>20</v>
      </c>
      <c r="E3078">
        <f t="shared" si="145"/>
        <v>5</v>
      </c>
      <c r="F3078">
        <f t="shared" si="146"/>
        <v>0.1111111111111111</v>
      </c>
    </row>
    <row r="3079" spans="1:6" x14ac:dyDescent="0.25">
      <c r="A3079" t="s">
        <v>253</v>
      </c>
      <c r="B3079" s="1">
        <v>46090</v>
      </c>
      <c r="C3079">
        <v>15</v>
      </c>
      <c r="D3079">
        <f t="shared" si="144"/>
        <v>19.8</v>
      </c>
      <c r="E3079">
        <f t="shared" si="145"/>
        <v>5</v>
      </c>
      <c r="F3079">
        <f t="shared" si="146"/>
        <v>0.32000000000000006</v>
      </c>
    </row>
    <row r="3080" spans="1:6" x14ac:dyDescent="0.25">
      <c r="A3080" t="s">
        <v>253</v>
      </c>
      <c r="B3080" s="1">
        <v>46097</v>
      </c>
      <c r="C3080">
        <v>16</v>
      </c>
      <c r="D3080">
        <f t="shared" si="144"/>
        <v>18.600000000000001</v>
      </c>
      <c r="E3080">
        <f t="shared" si="145"/>
        <v>5</v>
      </c>
      <c r="F3080">
        <f t="shared" si="146"/>
        <v>0.16250000000000009</v>
      </c>
    </row>
    <row r="3081" spans="1:6" x14ac:dyDescent="0.25">
      <c r="A3081" t="s">
        <v>253</v>
      </c>
      <c r="B3081" s="1">
        <v>46104</v>
      </c>
      <c r="C3081">
        <v>21</v>
      </c>
      <c r="D3081">
        <f t="shared" si="144"/>
        <v>17.8</v>
      </c>
      <c r="E3081">
        <f t="shared" si="145"/>
        <v>5</v>
      </c>
      <c r="F3081">
        <f t="shared" si="146"/>
        <v>0.15238095238095234</v>
      </c>
    </row>
    <row r="3082" spans="1:6" x14ac:dyDescent="0.25">
      <c r="A3082" t="s">
        <v>253</v>
      </c>
      <c r="B3082" s="1">
        <v>46111</v>
      </c>
      <c r="C3082">
        <v>15</v>
      </c>
      <c r="D3082">
        <f t="shared" si="144"/>
        <v>18.600000000000001</v>
      </c>
      <c r="E3082">
        <f t="shared" si="145"/>
        <v>5</v>
      </c>
      <c r="F3082">
        <f t="shared" si="146"/>
        <v>0.2400000000000001</v>
      </c>
    </row>
    <row r="3083" spans="1:6" x14ac:dyDescent="0.25">
      <c r="A3083" t="s">
        <v>253</v>
      </c>
      <c r="B3083" s="1">
        <v>46118</v>
      </c>
      <c r="C3083">
        <v>19</v>
      </c>
      <c r="D3083">
        <f t="shared" si="144"/>
        <v>17</v>
      </c>
      <c r="E3083">
        <f t="shared" si="145"/>
        <v>5</v>
      </c>
      <c r="F3083">
        <f t="shared" si="146"/>
        <v>0.10526315789473684</v>
      </c>
    </row>
    <row r="3084" spans="1:6" x14ac:dyDescent="0.25">
      <c r="A3084" t="s">
        <v>253</v>
      </c>
      <c r="B3084" s="1">
        <v>46125</v>
      </c>
      <c r="C3084">
        <v>18</v>
      </c>
      <c r="D3084">
        <f t="shared" si="144"/>
        <v>17.2</v>
      </c>
      <c r="E3084">
        <f t="shared" si="145"/>
        <v>5</v>
      </c>
      <c r="F3084">
        <f t="shared" si="146"/>
        <v>4.4444444444444481E-2</v>
      </c>
    </row>
    <row r="3085" spans="1:6" x14ac:dyDescent="0.25">
      <c r="A3085" t="s">
        <v>253</v>
      </c>
      <c r="B3085" s="1">
        <v>46132</v>
      </c>
      <c r="C3085">
        <v>23</v>
      </c>
      <c r="D3085">
        <f t="shared" si="144"/>
        <v>17.8</v>
      </c>
      <c r="E3085">
        <f t="shared" si="145"/>
        <v>5</v>
      </c>
      <c r="F3085">
        <f t="shared" si="146"/>
        <v>0.2260869565217391</v>
      </c>
    </row>
    <row r="3086" spans="1:6" x14ac:dyDescent="0.25">
      <c r="A3086" t="s">
        <v>253</v>
      </c>
      <c r="B3086" s="1">
        <v>46139</v>
      </c>
      <c r="C3086">
        <v>17</v>
      </c>
      <c r="D3086">
        <f t="shared" si="144"/>
        <v>19.2</v>
      </c>
      <c r="E3086">
        <f t="shared" si="145"/>
        <v>5</v>
      </c>
      <c r="F3086">
        <f t="shared" si="146"/>
        <v>0.12941176470588231</v>
      </c>
    </row>
    <row r="3087" spans="1:6" x14ac:dyDescent="0.25">
      <c r="A3087" t="s">
        <v>253</v>
      </c>
      <c r="B3087" s="1">
        <v>46146</v>
      </c>
      <c r="C3087">
        <v>20</v>
      </c>
      <c r="D3087">
        <f t="shared" si="144"/>
        <v>18.399999999999999</v>
      </c>
      <c r="E3087">
        <f t="shared" si="145"/>
        <v>5</v>
      </c>
      <c r="F3087">
        <f t="shared" si="146"/>
        <v>8.0000000000000071E-2</v>
      </c>
    </row>
    <row r="3088" spans="1:6" x14ac:dyDescent="0.25">
      <c r="A3088" t="s">
        <v>253</v>
      </c>
      <c r="B3088" s="1">
        <v>46153</v>
      </c>
      <c r="C3088">
        <v>19</v>
      </c>
      <c r="D3088">
        <f t="shared" si="144"/>
        <v>19.399999999999999</v>
      </c>
      <c r="E3088">
        <f t="shared" si="145"/>
        <v>5</v>
      </c>
      <c r="F3088">
        <f t="shared" si="146"/>
        <v>2.1052631578947295E-2</v>
      </c>
    </row>
    <row r="3089" spans="1:6" x14ac:dyDescent="0.25">
      <c r="A3089" t="s">
        <v>253</v>
      </c>
      <c r="B3089" s="1">
        <v>46160</v>
      </c>
      <c r="C3089">
        <v>20</v>
      </c>
      <c r="D3089">
        <f t="shared" si="144"/>
        <v>19.399999999999999</v>
      </c>
      <c r="E3089">
        <f t="shared" si="145"/>
        <v>5</v>
      </c>
      <c r="F3089">
        <f t="shared" si="146"/>
        <v>3.0000000000000072E-2</v>
      </c>
    </row>
    <row r="3090" spans="1:6" x14ac:dyDescent="0.25">
      <c r="A3090" t="s">
        <v>253</v>
      </c>
      <c r="B3090" s="1">
        <v>46167</v>
      </c>
      <c r="C3090">
        <v>17</v>
      </c>
      <c r="D3090">
        <f t="shared" si="144"/>
        <v>19.8</v>
      </c>
      <c r="E3090">
        <f t="shared" si="145"/>
        <v>5</v>
      </c>
      <c r="F3090">
        <f t="shared" si="146"/>
        <v>0.16470588235294123</v>
      </c>
    </row>
    <row r="3091" spans="1:6" x14ac:dyDescent="0.25">
      <c r="A3091" t="s">
        <v>253</v>
      </c>
      <c r="B3091" s="1">
        <v>46174</v>
      </c>
      <c r="C3091">
        <v>26</v>
      </c>
      <c r="D3091">
        <f t="shared" si="144"/>
        <v>18.600000000000001</v>
      </c>
      <c r="E3091">
        <f t="shared" si="145"/>
        <v>5</v>
      </c>
      <c r="F3091">
        <f t="shared" si="146"/>
        <v>0.28461538461538455</v>
      </c>
    </row>
    <row r="3092" spans="1:6" x14ac:dyDescent="0.25">
      <c r="A3092" t="s">
        <v>253</v>
      </c>
      <c r="B3092" s="1">
        <v>46181</v>
      </c>
      <c r="C3092">
        <v>26</v>
      </c>
      <c r="D3092">
        <f t="shared" si="144"/>
        <v>20.399999999999999</v>
      </c>
      <c r="E3092">
        <f t="shared" si="145"/>
        <v>5</v>
      </c>
      <c r="F3092">
        <f t="shared" si="146"/>
        <v>0.21538461538461545</v>
      </c>
    </row>
    <row r="3093" spans="1:6" x14ac:dyDescent="0.25">
      <c r="A3093" t="s">
        <v>253</v>
      </c>
      <c r="B3093" s="1">
        <v>46188</v>
      </c>
      <c r="C3093">
        <v>21</v>
      </c>
      <c r="D3093">
        <f t="shared" si="144"/>
        <v>21.6</v>
      </c>
      <c r="E3093">
        <f t="shared" si="145"/>
        <v>5</v>
      </c>
      <c r="F3093">
        <f t="shared" si="146"/>
        <v>2.857142857142864E-2</v>
      </c>
    </row>
    <row r="3094" spans="1:6" x14ac:dyDescent="0.25">
      <c r="A3094" t="s">
        <v>253</v>
      </c>
      <c r="B3094" s="1">
        <v>46195</v>
      </c>
      <c r="C3094">
        <v>16</v>
      </c>
      <c r="D3094">
        <f t="shared" si="144"/>
        <v>22</v>
      </c>
      <c r="E3094">
        <f t="shared" si="145"/>
        <v>5</v>
      </c>
      <c r="F3094">
        <f t="shared" si="146"/>
        <v>0.375</v>
      </c>
    </row>
    <row r="3095" spans="1:6" x14ac:dyDescent="0.25">
      <c r="A3095" t="s">
        <v>253</v>
      </c>
      <c r="B3095" s="1">
        <v>46202</v>
      </c>
      <c r="C3095">
        <v>27</v>
      </c>
      <c r="D3095">
        <f t="shared" si="144"/>
        <v>21.2</v>
      </c>
      <c r="E3095">
        <f t="shared" si="145"/>
        <v>5</v>
      </c>
      <c r="F3095">
        <f t="shared" si="146"/>
        <v>0.21481481481481485</v>
      </c>
    </row>
    <row r="3096" spans="1:6" x14ac:dyDescent="0.25">
      <c r="A3096" t="s">
        <v>255</v>
      </c>
      <c r="B3096" s="1">
        <v>46027</v>
      </c>
      <c r="C3096">
        <v>58</v>
      </c>
      <c r="D3096" t="str">
        <f t="shared" si="144"/>
        <v/>
      </c>
      <c r="E3096">
        <f t="shared" si="145"/>
        <v>0</v>
      </c>
      <c r="F3096" t="str">
        <f t="shared" si="146"/>
        <v/>
      </c>
    </row>
    <row r="3097" spans="1:6" x14ac:dyDescent="0.25">
      <c r="A3097" t="s">
        <v>255</v>
      </c>
      <c r="B3097" s="1">
        <v>46034</v>
      </c>
      <c r="C3097">
        <v>53</v>
      </c>
      <c r="D3097" t="str">
        <f t="shared" si="144"/>
        <v/>
      </c>
      <c r="E3097">
        <f t="shared" si="145"/>
        <v>1</v>
      </c>
      <c r="F3097" t="str">
        <f t="shared" si="146"/>
        <v/>
      </c>
    </row>
    <row r="3098" spans="1:6" x14ac:dyDescent="0.25">
      <c r="A3098" t="s">
        <v>255</v>
      </c>
      <c r="B3098" s="1">
        <v>46041</v>
      </c>
      <c r="C3098">
        <v>42</v>
      </c>
      <c r="D3098" t="str">
        <f t="shared" si="144"/>
        <v/>
      </c>
      <c r="E3098">
        <f t="shared" si="145"/>
        <v>2</v>
      </c>
      <c r="F3098" t="str">
        <f t="shared" si="146"/>
        <v/>
      </c>
    </row>
    <row r="3099" spans="1:6" x14ac:dyDescent="0.25">
      <c r="A3099" t="s">
        <v>255</v>
      </c>
      <c r="B3099" s="1">
        <v>46048</v>
      </c>
      <c r="C3099">
        <v>43</v>
      </c>
      <c r="D3099" t="str">
        <f t="shared" si="144"/>
        <v/>
      </c>
      <c r="E3099">
        <f t="shared" si="145"/>
        <v>3</v>
      </c>
      <c r="F3099" t="str">
        <f t="shared" si="146"/>
        <v/>
      </c>
    </row>
    <row r="3100" spans="1:6" x14ac:dyDescent="0.25">
      <c r="A3100" t="s">
        <v>255</v>
      </c>
      <c r="B3100" s="1">
        <v>46055</v>
      </c>
      <c r="C3100">
        <v>43</v>
      </c>
      <c r="D3100" t="str">
        <f t="shared" si="144"/>
        <v/>
      </c>
      <c r="E3100">
        <f t="shared" si="145"/>
        <v>4</v>
      </c>
      <c r="F3100" t="str">
        <f t="shared" si="146"/>
        <v/>
      </c>
    </row>
    <row r="3101" spans="1:6" x14ac:dyDescent="0.25">
      <c r="A3101" t="s">
        <v>255</v>
      </c>
      <c r="B3101" s="1">
        <v>46062</v>
      </c>
      <c r="C3101">
        <v>38</v>
      </c>
      <c r="D3101">
        <f t="shared" si="144"/>
        <v>47.8</v>
      </c>
      <c r="E3101">
        <f t="shared" si="145"/>
        <v>5</v>
      </c>
      <c r="F3101">
        <f t="shared" si="146"/>
        <v>0.25789473684210518</v>
      </c>
    </row>
    <row r="3102" spans="1:6" x14ac:dyDescent="0.25">
      <c r="A3102" t="s">
        <v>255</v>
      </c>
      <c r="B3102" s="1">
        <v>46069</v>
      </c>
      <c r="C3102">
        <v>59</v>
      </c>
      <c r="D3102">
        <f t="shared" si="144"/>
        <v>43.8</v>
      </c>
      <c r="E3102">
        <f t="shared" si="145"/>
        <v>5</v>
      </c>
      <c r="F3102">
        <f t="shared" si="146"/>
        <v>0.25762711864406784</v>
      </c>
    </row>
    <row r="3103" spans="1:6" x14ac:dyDescent="0.25">
      <c r="A3103" t="s">
        <v>255</v>
      </c>
      <c r="B3103" s="1">
        <v>46076</v>
      </c>
      <c r="C3103">
        <v>52</v>
      </c>
      <c r="D3103">
        <f t="shared" si="144"/>
        <v>45</v>
      </c>
      <c r="E3103">
        <f t="shared" si="145"/>
        <v>5</v>
      </c>
      <c r="F3103">
        <f t="shared" si="146"/>
        <v>0.13461538461538461</v>
      </c>
    </row>
    <row r="3104" spans="1:6" x14ac:dyDescent="0.25">
      <c r="A3104" t="s">
        <v>255</v>
      </c>
      <c r="B3104" s="1">
        <v>46083</v>
      </c>
      <c r="C3104">
        <v>47</v>
      </c>
      <c r="D3104">
        <f t="shared" si="144"/>
        <v>47</v>
      </c>
      <c r="E3104">
        <f t="shared" si="145"/>
        <v>5</v>
      </c>
      <c r="F3104">
        <f t="shared" si="146"/>
        <v>0</v>
      </c>
    </row>
    <row r="3105" spans="1:6" x14ac:dyDescent="0.25">
      <c r="A3105" t="s">
        <v>255</v>
      </c>
      <c r="B3105" s="1">
        <v>46090</v>
      </c>
      <c r="C3105">
        <v>42</v>
      </c>
      <c r="D3105">
        <f t="shared" si="144"/>
        <v>47.8</v>
      </c>
      <c r="E3105">
        <f t="shared" si="145"/>
        <v>5</v>
      </c>
      <c r="F3105">
        <f t="shared" si="146"/>
        <v>0.13809523809523802</v>
      </c>
    </row>
    <row r="3106" spans="1:6" x14ac:dyDescent="0.25">
      <c r="A3106" t="s">
        <v>255</v>
      </c>
      <c r="B3106" s="1">
        <v>46097</v>
      </c>
      <c r="C3106">
        <v>50</v>
      </c>
      <c r="D3106">
        <f t="shared" si="144"/>
        <v>47.6</v>
      </c>
      <c r="E3106">
        <f t="shared" si="145"/>
        <v>5</v>
      </c>
      <c r="F3106">
        <f t="shared" si="146"/>
        <v>4.7999999999999973E-2</v>
      </c>
    </row>
    <row r="3107" spans="1:6" x14ac:dyDescent="0.25">
      <c r="A3107" t="s">
        <v>255</v>
      </c>
      <c r="B3107" s="1">
        <v>46104</v>
      </c>
      <c r="C3107">
        <v>50</v>
      </c>
      <c r="D3107">
        <f t="shared" si="144"/>
        <v>50</v>
      </c>
      <c r="E3107">
        <f t="shared" si="145"/>
        <v>5</v>
      </c>
      <c r="F3107">
        <f t="shared" si="146"/>
        <v>0</v>
      </c>
    </row>
    <row r="3108" spans="1:6" x14ac:dyDescent="0.25">
      <c r="A3108" t="s">
        <v>255</v>
      </c>
      <c r="B3108" s="1">
        <v>46111</v>
      </c>
      <c r="C3108">
        <v>67</v>
      </c>
      <c r="D3108">
        <f t="shared" si="144"/>
        <v>48.2</v>
      </c>
      <c r="E3108">
        <f t="shared" si="145"/>
        <v>5</v>
      </c>
      <c r="F3108">
        <f t="shared" si="146"/>
        <v>0.28059701492537309</v>
      </c>
    </row>
    <row r="3109" spans="1:6" x14ac:dyDescent="0.25">
      <c r="A3109" t="s">
        <v>255</v>
      </c>
      <c r="B3109" s="1">
        <v>46118</v>
      </c>
      <c r="C3109">
        <v>52</v>
      </c>
      <c r="D3109">
        <f t="shared" si="144"/>
        <v>51.2</v>
      </c>
      <c r="E3109">
        <f t="shared" si="145"/>
        <v>5</v>
      </c>
      <c r="F3109">
        <f t="shared" si="146"/>
        <v>1.538461538461533E-2</v>
      </c>
    </row>
    <row r="3110" spans="1:6" x14ac:dyDescent="0.25">
      <c r="A3110" t="s">
        <v>255</v>
      </c>
      <c r="B3110" s="1">
        <v>46125</v>
      </c>
      <c r="C3110">
        <v>57</v>
      </c>
      <c r="D3110">
        <f t="shared" si="144"/>
        <v>52.2</v>
      </c>
      <c r="E3110">
        <f t="shared" si="145"/>
        <v>5</v>
      </c>
      <c r="F3110">
        <f t="shared" si="146"/>
        <v>8.421052631578943E-2</v>
      </c>
    </row>
    <row r="3111" spans="1:6" x14ac:dyDescent="0.25">
      <c r="A3111" t="s">
        <v>255</v>
      </c>
      <c r="B3111" s="1">
        <v>46132</v>
      </c>
      <c r="C3111">
        <v>64</v>
      </c>
      <c r="D3111">
        <f t="shared" si="144"/>
        <v>55.2</v>
      </c>
      <c r="E3111">
        <f t="shared" si="145"/>
        <v>5</v>
      </c>
      <c r="F3111">
        <f t="shared" si="146"/>
        <v>0.13749999999999996</v>
      </c>
    </row>
    <row r="3112" spans="1:6" x14ac:dyDescent="0.25">
      <c r="A3112" t="s">
        <v>255</v>
      </c>
      <c r="B3112" s="1">
        <v>46139</v>
      </c>
      <c r="C3112">
        <v>62</v>
      </c>
      <c r="D3112">
        <f t="shared" si="144"/>
        <v>58</v>
      </c>
      <c r="E3112">
        <f t="shared" si="145"/>
        <v>5</v>
      </c>
      <c r="F3112">
        <f t="shared" si="146"/>
        <v>6.4516129032258063E-2</v>
      </c>
    </row>
    <row r="3113" spans="1:6" x14ac:dyDescent="0.25">
      <c r="A3113" t="s">
        <v>255</v>
      </c>
      <c r="B3113" s="1">
        <v>46146</v>
      </c>
      <c r="C3113">
        <v>56</v>
      </c>
      <c r="D3113">
        <f t="shared" si="144"/>
        <v>60.4</v>
      </c>
      <c r="E3113">
        <f t="shared" si="145"/>
        <v>5</v>
      </c>
      <c r="F3113">
        <f t="shared" si="146"/>
        <v>7.8571428571428542E-2</v>
      </c>
    </row>
    <row r="3114" spans="1:6" x14ac:dyDescent="0.25">
      <c r="A3114" t="s">
        <v>255</v>
      </c>
      <c r="B3114" s="1">
        <v>46153</v>
      </c>
      <c r="C3114">
        <v>42</v>
      </c>
      <c r="D3114">
        <f t="shared" si="144"/>
        <v>58.2</v>
      </c>
      <c r="E3114">
        <f t="shared" si="145"/>
        <v>5</v>
      </c>
      <c r="F3114">
        <f t="shared" si="146"/>
        <v>0.38571428571428579</v>
      </c>
    </row>
    <row r="3115" spans="1:6" x14ac:dyDescent="0.25">
      <c r="A3115" t="s">
        <v>255</v>
      </c>
      <c r="B3115" s="1">
        <v>46160</v>
      </c>
      <c r="C3115">
        <v>69</v>
      </c>
      <c r="D3115">
        <f t="shared" si="144"/>
        <v>56.2</v>
      </c>
      <c r="E3115">
        <f t="shared" si="145"/>
        <v>5</v>
      </c>
      <c r="F3115">
        <f t="shared" si="146"/>
        <v>0.18550724637681154</v>
      </c>
    </row>
    <row r="3116" spans="1:6" x14ac:dyDescent="0.25">
      <c r="A3116" t="s">
        <v>255</v>
      </c>
      <c r="B3116" s="1">
        <v>46167</v>
      </c>
      <c r="C3116">
        <v>64</v>
      </c>
      <c r="D3116">
        <f t="shared" si="144"/>
        <v>58.6</v>
      </c>
      <c r="E3116">
        <f t="shared" si="145"/>
        <v>5</v>
      </c>
      <c r="F3116">
        <f t="shared" si="146"/>
        <v>8.4374999999999978E-2</v>
      </c>
    </row>
    <row r="3117" spans="1:6" x14ac:dyDescent="0.25">
      <c r="A3117" t="s">
        <v>255</v>
      </c>
      <c r="B3117" s="1">
        <v>46174</v>
      </c>
      <c r="C3117">
        <v>57</v>
      </c>
      <c r="D3117">
        <f t="shared" si="144"/>
        <v>58.6</v>
      </c>
      <c r="E3117">
        <f t="shared" si="145"/>
        <v>5</v>
      </c>
      <c r="F3117">
        <f t="shared" si="146"/>
        <v>2.8070175438596516E-2</v>
      </c>
    </row>
    <row r="3118" spans="1:6" x14ac:dyDescent="0.25">
      <c r="A3118" t="s">
        <v>255</v>
      </c>
      <c r="B3118" s="1">
        <v>46181</v>
      </c>
      <c r="C3118">
        <v>60</v>
      </c>
      <c r="D3118">
        <f t="shared" si="144"/>
        <v>57.6</v>
      </c>
      <c r="E3118">
        <f t="shared" si="145"/>
        <v>5</v>
      </c>
      <c r="F3118">
        <f t="shared" si="146"/>
        <v>3.9999999999999973E-2</v>
      </c>
    </row>
    <row r="3119" spans="1:6" x14ac:dyDescent="0.25">
      <c r="A3119" t="s">
        <v>255</v>
      </c>
      <c r="B3119" s="1">
        <v>46188</v>
      </c>
      <c r="C3119">
        <v>54</v>
      </c>
      <c r="D3119">
        <f t="shared" si="144"/>
        <v>58.4</v>
      </c>
      <c r="E3119">
        <f t="shared" si="145"/>
        <v>5</v>
      </c>
      <c r="F3119">
        <f t="shared" si="146"/>
        <v>8.148148148148146E-2</v>
      </c>
    </row>
    <row r="3120" spans="1:6" x14ac:dyDescent="0.25">
      <c r="A3120" t="s">
        <v>255</v>
      </c>
      <c r="B3120" s="1">
        <v>46195</v>
      </c>
      <c r="C3120">
        <v>55</v>
      </c>
      <c r="D3120">
        <f t="shared" si="144"/>
        <v>60.8</v>
      </c>
      <c r="E3120">
        <f t="shared" si="145"/>
        <v>5</v>
      </c>
      <c r="F3120">
        <f t="shared" si="146"/>
        <v>0.1054545454545454</v>
      </c>
    </row>
    <row r="3121" spans="1:6" x14ac:dyDescent="0.25">
      <c r="A3121" t="s">
        <v>255</v>
      </c>
      <c r="B3121" s="1">
        <v>46202</v>
      </c>
      <c r="C3121">
        <v>52</v>
      </c>
      <c r="D3121">
        <f t="shared" si="144"/>
        <v>58</v>
      </c>
      <c r="E3121">
        <f t="shared" si="145"/>
        <v>5</v>
      </c>
      <c r="F3121">
        <f t="shared" si="146"/>
        <v>0.11538461538461539</v>
      </c>
    </row>
    <row r="3122" spans="1:6" x14ac:dyDescent="0.25">
      <c r="A3122" t="s">
        <v>257</v>
      </c>
      <c r="B3122" s="1">
        <v>46027</v>
      </c>
      <c r="C3122">
        <v>23</v>
      </c>
      <c r="D3122" t="str">
        <f t="shared" si="144"/>
        <v/>
      </c>
      <c r="E3122">
        <f t="shared" si="145"/>
        <v>0</v>
      </c>
      <c r="F3122" t="str">
        <f t="shared" si="146"/>
        <v/>
      </c>
    </row>
    <row r="3123" spans="1:6" x14ac:dyDescent="0.25">
      <c r="A3123" t="s">
        <v>257</v>
      </c>
      <c r="B3123" s="1">
        <v>46034</v>
      </c>
      <c r="C3123">
        <v>22</v>
      </c>
      <c r="D3123" t="str">
        <f t="shared" si="144"/>
        <v/>
      </c>
      <c r="E3123">
        <f t="shared" si="145"/>
        <v>1</v>
      </c>
      <c r="F3123" t="str">
        <f t="shared" si="146"/>
        <v/>
      </c>
    </row>
    <row r="3124" spans="1:6" x14ac:dyDescent="0.25">
      <c r="A3124" t="s">
        <v>257</v>
      </c>
      <c r="B3124" s="1">
        <v>46041</v>
      </c>
      <c r="C3124">
        <v>37</v>
      </c>
      <c r="D3124" t="str">
        <f t="shared" si="144"/>
        <v/>
      </c>
      <c r="E3124">
        <f t="shared" si="145"/>
        <v>2</v>
      </c>
      <c r="F3124" t="str">
        <f t="shared" si="146"/>
        <v/>
      </c>
    </row>
    <row r="3125" spans="1:6" x14ac:dyDescent="0.25">
      <c r="A3125" t="s">
        <v>257</v>
      </c>
      <c r="B3125" s="1">
        <v>46048</v>
      </c>
      <c r="C3125">
        <v>37</v>
      </c>
      <c r="D3125" t="str">
        <f t="shared" si="144"/>
        <v/>
      </c>
      <c r="E3125">
        <f t="shared" si="145"/>
        <v>3</v>
      </c>
      <c r="F3125" t="str">
        <f t="shared" si="146"/>
        <v/>
      </c>
    </row>
    <row r="3126" spans="1:6" x14ac:dyDescent="0.25">
      <c r="A3126" t="s">
        <v>257</v>
      </c>
      <c r="B3126" s="1">
        <v>46055</v>
      </c>
      <c r="C3126">
        <v>39</v>
      </c>
      <c r="D3126" t="str">
        <f t="shared" si="144"/>
        <v/>
      </c>
      <c r="E3126">
        <f t="shared" si="145"/>
        <v>4</v>
      </c>
      <c r="F3126" t="str">
        <f t="shared" si="146"/>
        <v/>
      </c>
    </row>
    <row r="3127" spans="1:6" x14ac:dyDescent="0.25">
      <c r="A3127" t="s">
        <v>257</v>
      </c>
      <c r="B3127" s="1">
        <v>46062</v>
      </c>
      <c r="C3127">
        <v>27</v>
      </c>
      <c r="D3127">
        <f t="shared" si="144"/>
        <v>31.6</v>
      </c>
      <c r="E3127">
        <f t="shared" si="145"/>
        <v>5</v>
      </c>
      <c r="F3127">
        <f t="shared" si="146"/>
        <v>0.17037037037037042</v>
      </c>
    </row>
    <row r="3128" spans="1:6" x14ac:dyDescent="0.25">
      <c r="A3128" t="s">
        <v>257</v>
      </c>
      <c r="B3128" s="1">
        <v>46069</v>
      </c>
      <c r="C3128">
        <v>29</v>
      </c>
      <c r="D3128">
        <f t="shared" si="144"/>
        <v>32.4</v>
      </c>
      <c r="E3128">
        <f t="shared" si="145"/>
        <v>5</v>
      </c>
      <c r="F3128">
        <f t="shared" si="146"/>
        <v>0.11724137931034478</v>
      </c>
    </row>
    <row r="3129" spans="1:6" x14ac:dyDescent="0.25">
      <c r="A3129" t="s">
        <v>257</v>
      </c>
      <c r="B3129" s="1">
        <v>46076</v>
      </c>
      <c r="C3129">
        <v>28</v>
      </c>
      <c r="D3129">
        <f t="shared" si="144"/>
        <v>33.799999999999997</v>
      </c>
      <c r="E3129">
        <f t="shared" si="145"/>
        <v>5</v>
      </c>
      <c r="F3129">
        <f t="shared" si="146"/>
        <v>0.20714285714285705</v>
      </c>
    </row>
    <row r="3130" spans="1:6" x14ac:dyDescent="0.25">
      <c r="A3130" t="s">
        <v>257</v>
      </c>
      <c r="B3130" s="1">
        <v>46083</v>
      </c>
      <c r="C3130">
        <v>29</v>
      </c>
      <c r="D3130">
        <f t="shared" si="144"/>
        <v>32</v>
      </c>
      <c r="E3130">
        <f t="shared" si="145"/>
        <v>5</v>
      </c>
      <c r="F3130">
        <f t="shared" si="146"/>
        <v>0.10344827586206896</v>
      </c>
    </row>
    <row r="3131" spans="1:6" x14ac:dyDescent="0.25">
      <c r="A3131" t="s">
        <v>257</v>
      </c>
      <c r="B3131" s="1">
        <v>46090</v>
      </c>
      <c r="C3131">
        <v>36</v>
      </c>
      <c r="D3131">
        <f t="shared" si="144"/>
        <v>30.4</v>
      </c>
      <c r="E3131">
        <f t="shared" si="145"/>
        <v>5</v>
      </c>
      <c r="F3131">
        <f t="shared" si="146"/>
        <v>0.15555555555555559</v>
      </c>
    </row>
    <row r="3132" spans="1:6" x14ac:dyDescent="0.25">
      <c r="A3132" t="s">
        <v>257</v>
      </c>
      <c r="B3132" s="1">
        <v>46097</v>
      </c>
      <c r="C3132">
        <v>30</v>
      </c>
      <c r="D3132">
        <f t="shared" si="144"/>
        <v>29.8</v>
      </c>
      <c r="E3132">
        <f t="shared" si="145"/>
        <v>5</v>
      </c>
      <c r="F3132">
        <f t="shared" si="146"/>
        <v>6.6666666666666428E-3</v>
      </c>
    </row>
    <row r="3133" spans="1:6" x14ac:dyDescent="0.25">
      <c r="A3133" t="s">
        <v>257</v>
      </c>
      <c r="B3133" s="1">
        <v>46104</v>
      </c>
      <c r="C3133">
        <v>34</v>
      </c>
      <c r="D3133">
        <f t="shared" si="144"/>
        <v>30.4</v>
      </c>
      <c r="E3133">
        <f t="shared" si="145"/>
        <v>5</v>
      </c>
      <c r="F3133">
        <f t="shared" si="146"/>
        <v>0.10588235294117651</v>
      </c>
    </row>
    <row r="3134" spans="1:6" x14ac:dyDescent="0.25">
      <c r="A3134" t="s">
        <v>257</v>
      </c>
      <c r="B3134" s="1">
        <v>46111</v>
      </c>
      <c r="C3134">
        <v>36</v>
      </c>
      <c r="D3134">
        <f t="shared" si="144"/>
        <v>31.4</v>
      </c>
      <c r="E3134">
        <f t="shared" si="145"/>
        <v>5</v>
      </c>
      <c r="F3134">
        <f t="shared" si="146"/>
        <v>0.12777777777777782</v>
      </c>
    </row>
    <row r="3135" spans="1:6" x14ac:dyDescent="0.25">
      <c r="A3135" t="s">
        <v>257</v>
      </c>
      <c r="B3135" s="1">
        <v>46118</v>
      </c>
      <c r="C3135">
        <v>31</v>
      </c>
      <c r="D3135">
        <f t="shared" si="144"/>
        <v>33</v>
      </c>
      <c r="E3135">
        <f t="shared" si="145"/>
        <v>5</v>
      </c>
      <c r="F3135">
        <f t="shared" si="146"/>
        <v>6.4516129032258063E-2</v>
      </c>
    </row>
    <row r="3136" spans="1:6" x14ac:dyDescent="0.25">
      <c r="A3136" t="s">
        <v>257</v>
      </c>
      <c r="B3136" s="1">
        <v>46125</v>
      </c>
      <c r="C3136">
        <v>40</v>
      </c>
      <c r="D3136">
        <f t="shared" si="144"/>
        <v>33.4</v>
      </c>
      <c r="E3136">
        <f t="shared" si="145"/>
        <v>5</v>
      </c>
      <c r="F3136">
        <f t="shared" si="146"/>
        <v>0.16500000000000004</v>
      </c>
    </row>
    <row r="3137" spans="1:6" x14ac:dyDescent="0.25">
      <c r="A3137" t="s">
        <v>257</v>
      </c>
      <c r="B3137" s="1">
        <v>46132</v>
      </c>
      <c r="C3137">
        <v>28</v>
      </c>
      <c r="D3137">
        <f t="shared" si="144"/>
        <v>34.200000000000003</v>
      </c>
      <c r="E3137">
        <f t="shared" si="145"/>
        <v>5</v>
      </c>
      <c r="F3137">
        <f t="shared" si="146"/>
        <v>0.22142857142857153</v>
      </c>
    </row>
    <row r="3138" spans="1:6" x14ac:dyDescent="0.25">
      <c r="A3138" t="s">
        <v>257</v>
      </c>
      <c r="B3138" s="1">
        <v>46139</v>
      </c>
      <c r="C3138">
        <v>33</v>
      </c>
      <c r="D3138">
        <f t="shared" ref="D3138:D3201" si="147">IF(E3138 &lt; 5, "", AVERAGEIFS(C:C, A:A, A3138, B:B, "&gt;=" &amp; (B3138-35), B:B, "&lt;=" &amp; (B3138-7)))</f>
        <v>33.799999999999997</v>
      </c>
      <c r="E3138">
        <f t="shared" ref="E3138:E3201" si="148">COUNTIFS(A:A, A3138, B:B, "&gt;=" &amp; (B3138-35), B:B, "&lt;=" &amp; (B3138-7))</f>
        <v>5</v>
      </c>
      <c r="F3138">
        <f t="shared" ref="F3138:F3201" si="149">IF(OR(C3138=0, D3138=""), "", ABS(C3138 - D3138) / C3138)</f>
        <v>2.4242424242424156E-2</v>
      </c>
    </row>
    <row r="3139" spans="1:6" x14ac:dyDescent="0.25">
      <c r="A3139" t="s">
        <v>257</v>
      </c>
      <c r="B3139" s="1">
        <v>46146</v>
      </c>
      <c r="C3139">
        <v>28</v>
      </c>
      <c r="D3139">
        <f t="shared" si="147"/>
        <v>33.6</v>
      </c>
      <c r="E3139">
        <f t="shared" si="148"/>
        <v>5</v>
      </c>
      <c r="F3139">
        <f t="shared" si="149"/>
        <v>0.20000000000000004</v>
      </c>
    </row>
    <row r="3140" spans="1:6" x14ac:dyDescent="0.25">
      <c r="A3140" t="s">
        <v>257</v>
      </c>
      <c r="B3140" s="1">
        <v>46153</v>
      </c>
      <c r="C3140">
        <v>36</v>
      </c>
      <c r="D3140">
        <f t="shared" si="147"/>
        <v>32</v>
      </c>
      <c r="E3140">
        <f t="shared" si="148"/>
        <v>5</v>
      </c>
      <c r="F3140">
        <f t="shared" si="149"/>
        <v>0.1111111111111111</v>
      </c>
    </row>
    <row r="3141" spans="1:6" x14ac:dyDescent="0.25">
      <c r="A3141" t="s">
        <v>257</v>
      </c>
      <c r="B3141" s="1">
        <v>46160</v>
      </c>
      <c r="C3141">
        <v>41</v>
      </c>
      <c r="D3141">
        <f t="shared" si="147"/>
        <v>33</v>
      </c>
      <c r="E3141">
        <f t="shared" si="148"/>
        <v>5</v>
      </c>
      <c r="F3141">
        <f t="shared" si="149"/>
        <v>0.1951219512195122</v>
      </c>
    </row>
    <row r="3142" spans="1:6" x14ac:dyDescent="0.25">
      <c r="A3142" t="s">
        <v>257</v>
      </c>
      <c r="B3142" s="1">
        <v>46167</v>
      </c>
      <c r="C3142">
        <v>36</v>
      </c>
      <c r="D3142">
        <f t="shared" si="147"/>
        <v>33.200000000000003</v>
      </c>
      <c r="E3142">
        <f t="shared" si="148"/>
        <v>5</v>
      </c>
      <c r="F3142">
        <f t="shared" si="149"/>
        <v>7.7777777777777696E-2</v>
      </c>
    </row>
    <row r="3143" spans="1:6" x14ac:dyDescent="0.25">
      <c r="A3143" t="s">
        <v>257</v>
      </c>
      <c r="B3143" s="1">
        <v>46174</v>
      </c>
      <c r="C3143">
        <v>36</v>
      </c>
      <c r="D3143">
        <f t="shared" si="147"/>
        <v>34.799999999999997</v>
      </c>
      <c r="E3143">
        <f t="shared" si="148"/>
        <v>5</v>
      </c>
      <c r="F3143">
        <f t="shared" si="149"/>
        <v>3.3333333333333409E-2</v>
      </c>
    </row>
    <row r="3144" spans="1:6" x14ac:dyDescent="0.25">
      <c r="A3144" t="s">
        <v>257</v>
      </c>
      <c r="B3144" s="1">
        <v>46181</v>
      </c>
      <c r="C3144">
        <v>36</v>
      </c>
      <c r="D3144">
        <f t="shared" si="147"/>
        <v>35.4</v>
      </c>
      <c r="E3144">
        <f t="shared" si="148"/>
        <v>5</v>
      </c>
      <c r="F3144">
        <f t="shared" si="149"/>
        <v>1.6666666666666705E-2</v>
      </c>
    </row>
    <row r="3145" spans="1:6" x14ac:dyDescent="0.25">
      <c r="A3145" t="s">
        <v>257</v>
      </c>
      <c r="B3145" s="1">
        <v>46188</v>
      </c>
      <c r="C3145">
        <v>39</v>
      </c>
      <c r="D3145">
        <f t="shared" si="147"/>
        <v>37</v>
      </c>
      <c r="E3145">
        <f t="shared" si="148"/>
        <v>5</v>
      </c>
      <c r="F3145">
        <f t="shared" si="149"/>
        <v>5.128205128205128E-2</v>
      </c>
    </row>
    <row r="3146" spans="1:6" x14ac:dyDescent="0.25">
      <c r="A3146" t="s">
        <v>257</v>
      </c>
      <c r="B3146" s="1">
        <v>46195</v>
      </c>
      <c r="C3146">
        <v>41</v>
      </c>
      <c r="D3146">
        <f t="shared" si="147"/>
        <v>37.6</v>
      </c>
      <c r="E3146">
        <f t="shared" si="148"/>
        <v>5</v>
      </c>
      <c r="F3146">
        <f t="shared" si="149"/>
        <v>8.2926829268292646E-2</v>
      </c>
    </row>
    <row r="3147" spans="1:6" x14ac:dyDescent="0.25">
      <c r="A3147" t="s">
        <v>257</v>
      </c>
      <c r="B3147" s="1">
        <v>46202</v>
      </c>
      <c r="C3147">
        <v>50</v>
      </c>
      <c r="D3147">
        <f t="shared" si="147"/>
        <v>37.6</v>
      </c>
      <c r="E3147">
        <f t="shared" si="148"/>
        <v>5</v>
      </c>
      <c r="F3147">
        <f t="shared" si="149"/>
        <v>0.24799999999999997</v>
      </c>
    </row>
    <row r="3148" spans="1:6" x14ac:dyDescent="0.25">
      <c r="A3148" t="s">
        <v>259</v>
      </c>
      <c r="B3148" s="1">
        <v>46027</v>
      </c>
      <c r="C3148">
        <v>114</v>
      </c>
      <c r="D3148" t="str">
        <f t="shared" si="147"/>
        <v/>
      </c>
      <c r="E3148">
        <f t="shared" si="148"/>
        <v>0</v>
      </c>
      <c r="F3148" t="str">
        <f t="shared" si="149"/>
        <v/>
      </c>
    </row>
    <row r="3149" spans="1:6" x14ac:dyDescent="0.25">
      <c r="A3149" t="s">
        <v>259</v>
      </c>
      <c r="B3149" s="1">
        <v>46034</v>
      </c>
      <c r="C3149">
        <v>105</v>
      </c>
      <c r="D3149" t="str">
        <f t="shared" si="147"/>
        <v/>
      </c>
      <c r="E3149">
        <f t="shared" si="148"/>
        <v>1</v>
      </c>
      <c r="F3149" t="str">
        <f t="shared" si="149"/>
        <v/>
      </c>
    </row>
    <row r="3150" spans="1:6" x14ac:dyDescent="0.25">
      <c r="A3150" t="s">
        <v>259</v>
      </c>
      <c r="B3150" s="1">
        <v>46041</v>
      </c>
      <c r="C3150">
        <v>115</v>
      </c>
      <c r="D3150" t="str">
        <f t="shared" si="147"/>
        <v/>
      </c>
      <c r="E3150">
        <f t="shared" si="148"/>
        <v>2</v>
      </c>
      <c r="F3150" t="str">
        <f t="shared" si="149"/>
        <v/>
      </c>
    </row>
    <row r="3151" spans="1:6" x14ac:dyDescent="0.25">
      <c r="A3151" t="s">
        <v>259</v>
      </c>
      <c r="B3151" s="1">
        <v>46048</v>
      </c>
      <c r="C3151">
        <v>139</v>
      </c>
      <c r="D3151" t="str">
        <f t="shared" si="147"/>
        <v/>
      </c>
      <c r="E3151">
        <f t="shared" si="148"/>
        <v>3</v>
      </c>
      <c r="F3151" t="str">
        <f t="shared" si="149"/>
        <v/>
      </c>
    </row>
    <row r="3152" spans="1:6" x14ac:dyDescent="0.25">
      <c r="A3152" t="s">
        <v>259</v>
      </c>
      <c r="B3152" s="1">
        <v>46055</v>
      </c>
      <c r="C3152">
        <v>101</v>
      </c>
      <c r="D3152" t="str">
        <f t="shared" si="147"/>
        <v/>
      </c>
      <c r="E3152">
        <f t="shared" si="148"/>
        <v>4</v>
      </c>
      <c r="F3152" t="str">
        <f t="shared" si="149"/>
        <v/>
      </c>
    </row>
    <row r="3153" spans="1:6" x14ac:dyDescent="0.25">
      <c r="A3153" t="s">
        <v>259</v>
      </c>
      <c r="B3153" s="1">
        <v>46062</v>
      </c>
      <c r="C3153">
        <v>107</v>
      </c>
      <c r="D3153">
        <f t="shared" si="147"/>
        <v>114.8</v>
      </c>
      <c r="E3153">
        <f t="shared" si="148"/>
        <v>5</v>
      </c>
      <c r="F3153">
        <f t="shared" si="149"/>
        <v>7.2897196261682215E-2</v>
      </c>
    </row>
    <row r="3154" spans="1:6" x14ac:dyDescent="0.25">
      <c r="A3154" t="s">
        <v>259</v>
      </c>
      <c r="B3154" s="1">
        <v>46069</v>
      </c>
      <c r="C3154">
        <v>133</v>
      </c>
      <c r="D3154">
        <f t="shared" si="147"/>
        <v>113.4</v>
      </c>
      <c r="E3154">
        <f t="shared" si="148"/>
        <v>5</v>
      </c>
      <c r="F3154">
        <f t="shared" si="149"/>
        <v>0.14736842105263154</v>
      </c>
    </row>
    <row r="3155" spans="1:6" x14ac:dyDescent="0.25">
      <c r="A3155" t="s">
        <v>259</v>
      </c>
      <c r="B3155" s="1">
        <v>46076</v>
      </c>
      <c r="C3155">
        <v>113</v>
      </c>
      <c r="D3155">
        <f t="shared" si="147"/>
        <v>119</v>
      </c>
      <c r="E3155">
        <f t="shared" si="148"/>
        <v>5</v>
      </c>
      <c r="F3155">
        <f t="shared" si="149"/>
        <v>5.3097345132743362E-2</v>
      </c>
    </row>
    <row r="3156" spans="1:6" x14ac:dyDescent="0.25">
      <c r="A3156" t="s">
        <v>259</v>
      </c>
      <c r="B3156" s="1">
        <v>46083</v>
      </c>
      <c r="C3156">
        <v>126</v>
      </c>
      <c r="D3156">
        <f t="shared" si="147"/>
        <v>118.6</v>
      </c>
      <c r="E3156">
        <f t="shared" si="148"/>
        <v>5</v>
      </c>
      <c r="F3156">
        <f t="shared" si="149"/>
        <v>5.8730158730158778E-2</v>
      </c>
    </row>
    <row r="3157" spans="1:6" x14ac:dyDescent="0.25">
      <c r="A3157" t="s">
        <v>259</v>
      </c>
      <c r="B3157" s="1">
        <v>46090</v>
      </c>
      <c r="C3157">
        <v>129</v>
      </c>
      <c r="D3157">
        <f t="shared" si="147"/>
        <v>116</v>
      </c>
      <c r="E3157">
        <f t="shared" si="148"/>
        <v>5</v>
      </c>
      <c r="F3157">
        <f t="shared" si="149"/>
        <v>0.10077519379844961</v>
      </c>
    </row>
    <row r="3158" spans="1:6" x14ac:dyDescent="0.25">
      <c r="A3158" t="s">
        <v>259</v>
      </c>
      <c r="B3158" s="1">
        <v>46097</v>
      </c>
      <c r="C3158">
        <v>110</v>
      </c>
      <c r="D3158">
        <f t="shared" si="147"/>
        <v>121.6</v>
      </c>
      <c r="E3158">
        <f t="shared" si="148"/>
        <v>5</v>
      </c>
      <c r="F3158">
        <f t="shared" si="149"/>
        <v>0.1054545454545454</v>
      </c>
    </row>
    <row r="3159" spans="1:6" x14ac:dyDescent="0.25">
      <c r="A3159" t="s">
        <v>259</v>
      </c>
      <c r="B3159" s="1">
        <v>46104</v>
      </c>
      <c r="C3159">
        <v>126</v>
      </c>
      <c r="D3159">
        <f t="shared" si="147"/>
        <v>122.2</v>
      </c>
      <c r="E3159">
        <f t="shared" si="148"/>
        <v>5</v>
      </c>
      <c r="F3159">
        <f t="shared" si="149"/>
        <v>3.0158730158730135E-2</v>
      </c>
    </row>
    <row r="3160" spans="1:6" x14ac:dyDescent="0.25">
      <c r="A3160" t="s">
        <v>259</v>
      </c>
      <c r="B3160" s="1">
        <v>46111</v>
      </c>
      <c r="C3160">
        <v>131</v>
      </c>
      <c r="D3160">
        <f t="shared" si="147"/>
        <v>120.8</v>
      </c>
      <c r="E3160">
        <f t="shared" si="148"/>
        <v>5</v>
      </c>
      <c r="F3160">
        <f t="shared" si="149"/>
        <v>7.7862595419847344E-2</v>
      </c>
    </row>
    <row r="3161" spans="1:6" x14ac:dyDescent="0.25">
      <c r="A3161" t="s">
        <v>259</v>
      </c>
      <c r="B3161" s="1">
        <v>46118</v>
      </c>
      <c r="C3161">
        <v>137</v>
      </c>
      <c r="D3161">
        <f t="shared" si="147"/>
        <v>124.4</v>
      </c>
      <c r="E3161">
        <f t="shared" si="148"/>
        <v>5</v>
      </c>
      <c r="F3161">
        <f t="shared" si="149"/>
        <v>9.1970802919707995E-2</v>
      </c>
    </row>
    <row r="3162" spans="1:6" x14ac:dyDescent="0.25">
      <c r="A3162" t="s">
        <v>259</v>
      </c>
      <c r="B3162" s="1">
        <v>46125</v>
      </c>
      <c r="C3162">
        <v>142</v>
      </c>
      <c r="D3162">
        <f t="shared" si="147"/>
        <v>126.6</v>
      </c>
      <c r="E3162">
        <f t="shared" si="148"/>
        <v>5</v>
      </c>
      <c r="F3162">
        <f t="shared" si="149"/>
        <v>0.10845070422535215</v>
      </c>
    </row>
    <row r="3163" spans="1:6" x14ac:dyDescent="0.25">
      <c r="A3163" t="s">
        <v>259</v>
      </c>
      <c r="B3163" s="1">
        <v>46132</v>
      </c>
      <c r="C3163">
        <v>136</v>
      </c>
      <c r="D3163">
        <f t="shared" si="147"/>
        <v>129.19999999999999</v>
      </c>
      <c r="E3163">
        <f t="shared" si="148"/>
        <v>5</v>
      </c>
      <c r="F3163">
        <f t="shared" si="149"/>
        <v>5.0000000000000086E-2</v>
      </c>
    </row>
    <row r="3164" spans="1:6" x14ac:dyDescent="0.25">
      <c r="A3164" t="s">
        <v>259</v>
      </c>
      <c r="B3164" s="1">
        <v>46139</v>
      </c>
      <c r="C3164">
        <v>137</v>
      </c>
      <c r="D3164">
        <f t="shared" si="147"/>
        <v>134.4</v>
      </c>
      <c r="E3164">
        <f t="shared" si="148"/>
        <v>5</v>
      </c>
      <c r="F3164">
        <f t="shared" si="149"/>
        <v>1.8978102189780979E-2</v>
      </c>
    </row>
    <row r="3165" spans="1:6" x14ac:dyDescent="0.25">
      <c r="A3165" t="s">
        <v>259</v>
      </c>
      <c r="B3165" s="1">
        <v>46146</v>
      </c>
      <c r="C3165">
        <v>138</v>
      </c>
      <c r="D3165">
        <f t="shared" si="147"/>
        <v>136.6</v>
      </c>
      <c r="E3165">
        <f t="shared" si="148"/>
        <v>5</v>
      </c>
      <c r="F3165">
        <f t="shared" si="149"/>
        <v>1.0144927536231925E-2</v>
      </c>
    </row>
    <row r="3166" spans="1:6" x14ac:dyDescent="0.25">
      <c r="A3166" t="s">
        <v>259</v>
      </c>
      <c r="B3166" s="1">
        <v>46153</v>
      </c>
      <c r="C3166">
        <v>142</v>
      </c>
      <c r="D3166">
        <f t="shared" si="147"/>
        <v>138</v>
      </c>
      <c r="E3166">
        <f t="shared" si="148"/>
        <v>5</v>
      </c>
      <c r="F3166">
        <f t="shared" si="149"/>
        <v>2.8169014084507043E-2</v>
      </c>
    </row>
    <row r="3167" spans="1:6" x14ac:dyDescent="0.25">
      <c r="A3167" t="s">
        <v>259</v>
      </c>
      <c r="B3167" s="1">
        <v>46160</v>
      </c>
      <c r="C3167">
        <v>151</v>
      </c>
      <c r="D3167">
        <f t="shared" si="147"/>
        <v>139</v>
      </c>
      <c r="E3167">
        <f t="shared" si="148"/>
        <v>5</v>
      </c>
      <c r="F3167">
        <f t="shared" si="149"/>
        <v>7.9470198675496692E-2</v>
      </c>
    </row>
    <row r="3168" spans="1:6" x14ac:dyDescent="0.25">
      <c r="A3168" t="s">
        <v>259</v>
      </c>
      <c r="B3168" s="1">
        <v>46167</v>
      </c>
      <c r="C3168">
        <v>135</v>
      </c>
      <c r="D3168">
        <f t="shared" si="147"/>
        <v>140.80000000000001</v>
      </c>
      <c r="E3168">
        <f t="shared" si="148"/>
        <v>5</v>
      </c>
      <c r="F3168">
        <f t="shared" si="149"/>
        <v>4.296296296296305E-2</v>
      </c>
    </row>
    <row r="3169" spans="1:6" x14ac:dyDescent="0.25">
      <c r="A3169" t="s">
        <v>259</v>
      </c>
      <c r="B3169" s="1">
        <v>46174</v>
      </c>
      <c r="C3169">
        <v>111</v>
      </c>
      <c r="D3169">
        <f t="shared" si="147"/>
        <v>140.6</v>
      </c>
      <c r="E3169">
        <f t="shared" si="148"/>
        <v>5</v>
      </c>
      <c r="F3169">
        <f t="shared" si="149"/>
        <v>0.26666666666666661</v>
      </c>
    </row>
    <row r="3170" spans="1:6" x14ac:dyDescent="0.25">
      <c r="A3170" t="s">
        <v>259</v>
      </c>
      <c r="B3170" s="1">
        <v>46181</v>
      </c>
      <c r="C3170">
        <v>152</v>
      </c>
      <c r="D3170">
        <f t="shared" si="147"/>
        <v>135.4</v>
      </c>
      <c r="E3170">
        <f t="shared" si="148"/>
        <v>5</v>
      </c>
      <c r="F3170">
        <f t="shared" si="149"/>
        <v>0.10921052631578944</v>
      </c>
    </row>
    <row r="3171" spans="1:6" x14ac:dyDescent="0.25">
      <c r="A3171" t="s">
        <v>259</v>
      </c>
      <c r="B3171" s="1">
        <v>46188</v>
      </c>
      <c r="C3171">
        <v>149</v>
      </c>
      <c r="D3171">
        <f t="shared" si="147"/>
        <v>138.19999999999999</v>
      </c>
      <c r="E3171">
        <f t="shared" si="148"/>
        <v>5</v>
      </c>
      <c r="F3171">
        <f t="shared" si="149"/>
        <v>7.2483221476510137E-2</v>
      </c>
    </row>
    <row r="3172" spans="1:6" x14ac:dyDescent="0.25">
      <c r="A3172" t="s">
        <v>259</v>
      </c>
      <c r="B3172" s="1">
        <v>46195</v>
      </c>
      <c r="C3172">
        <v>178</v>
      </c>
      <c r="D3172">
        <f t="shared" si="147"/>
        <v>139.6</v>
      </c>
      <c r="E3172">
        <f t="shared" si="148"/>
        <v>5</v>
      </c>
      <c r="F3172">
        <f t="shared" si="149"/>
        <v>0.21573033707865172</v>
      </c>
    </row>
    <row r="3173" spans="1:6" x14ac:dyDescent="0.25">
      <c r="A3173" t="s">
        <v>259</v>
      </c>
      <c r="B3173" s="1">
        <v>46202</v>
      </c>
      <c r="C3173">
        <v>139</v>
      </c>
      <c r="D3173">
        <f t="shared" si="147"/>
        <v>145</v>
      </c>
      <c r="E3173">
        <f t="shared" si="148"/>
        <v>5</v>
      </c>
      <c r="F3173">
        <f t="shared" si="149"/>
        <v>4.3165467625899283E-2</v>
      </c>
    </row>
    <row r="3174" spans="1:6" x14ac:dyDescent="0.25">
      <c r="A3174" t="s">
        <v>261</v>
      </c>
      <c r="B3174" s="1">
        <v>46027</v>
      </c>
      <c r="C3174">
        <v>38</v>
      </c>
      <c r="D3174" t="str">
        <f t="shared" si="147"/>
        <v/>
      </c>
      <c r="E3174">
        <f t="shared" si="148"/>
        <v>0</v>
      </c>
      <c r="F3174" t="str">
        <f t="shared" si="149"/>
        <v/>
      </c>
    </row>
    <row r="3175" spans="1:6" x14ac:dyDescent="0.25">
      <c r="A3175" t="s">
        <v>261</v>
      </c>
      <c r="B3175" s="1">
        <v>46034</v>
      </c>
      <c r="C3175">
        <v>36</v>
      </c>
      <c r="D3175" t="str">
        <f t="shared" si="147"/>
        <v/>
      </c>
      <c r="E3175">
        <f t="shared" si="148"/>
        <v>1</v>
      </c>
      <c r="F3175" t="str">
        <f t="shared" si="149"/>
        <v/>
      </c>
    </row>
    <row r="3176" spans="1:6" x14ac:dyDescent="0.25">
      <c r="A3176" t="s">
        <v>261</v>
      </c>
      <c r="B3176" s="1">
        <v>46041</v>
      </c>
      <c r="C3176">
        <v>33</v>
      </c>
      <c r="D3176" t="str">
        <f t="shared" si="147"/>
        <v/>
      </c>
      <c r="E3176">
        <f t="shared" si="148"/>
        <v>2</v>
      </c>
      <c r="F3176" t="str">
        <f t="shared" si="149"/>
        <v/>
      </c>
    </row>
    <row r="3177" spans="1:6" x14ac:dyDescent="0.25">
      <c r="A3177" t="s">
        <v>261</v>
      </c>
      <c r="B3177" s="1">
        <v>46048</v>
      </c>
      <c r="C3177">
        <v>43</v>
      </c>
      <c r="D3177" t="str">
        <f t="shared" si="147"/>
        <v/>
      </c>
      <c r="E3177">
        <f t="shared" si="148"/>
        <v>3</v>
      </c>
      <c r="F3177" t="str">
        <f t="shared" si="149"/>
        <v/>
      </c>
    </row>
    <row r="3178" spans="1:6" x14ac:dyDescent="0.25">
      <c r="A3178" t="s">
        <v>261</v>
      </c>
      <c r="B3178" s="1">
        <v>46055</v>
      </c>
      <c r="C3178">
        <v>39</v>
      </c>
      <c r="D3178" t="str">
        <f t="shared" si="147"/>
        <v/>
      </c>
      <c r="E3178">
        <f t="shared" si="148"/>
        <v>4</v>
      </c>
      <c r="F3178" t="str">
        <f t="shared" si="149"/>
        <v/>
      </c>
    </row>
    <row r="3179" spans="1:6" x14ac:dyDescent="0.25">
      <c r="A3179" t="s">
        <v>261</v>
      </c>
      <c r="B3179" s="1">
        <v>46062</v>
      </c>
      <c r="C3179">
        <v>33</v>
      </c>
      <c r="D3179">
        <f t="shared" si="147"/>
        <v>37.799999999999997</v>
      </c>
      <c r="E3179">
        <f t="shared" si="148"/>
        <v>5</v>
      </c>
      <c r="F3179">
        <f t="shared" si="149"/>
        <v>0.14545454545454536</v>
      </c>
    </row>
    <row r="3180" spans="1:6" x14ac:dyDescent="0.25">
      <c r="A3180" t="s">
        <v>261</v>
      </c>
      <c r="B3180" s="1">
        <v>46069</v>
      </c>
      <c r="C3180">
        <v>40</v>
      </c>
      <c r="D3180">
        <f t="shared" si="147"/>
        <v>36.799999999999997</v>
      </c>
      <c r="E3180">
        <f t="shared" si="148"/>
        <v>5</v>
      </c>
      <c r="F3180">
        <f t="shared" si="149"/>
        <v>8.0000000000000071E-2</v>
      </c>
    </row>
    <row r="3181" spans="1:6" x14ac:dyDescent="0.25">
      <c r="A3181" t="s">
        <v>261</v>
      </c>
      <c r="B3181" s="1">
        <v>46076</v>
      </c>
      <c r="C3181">
        <v>36</v>
      </c>
      <c r="D3181">
        <f t="shared" si="147"/>
        <v>37.6</v>
      </c>
      <c r="E3181">
        <f t="shared" si="148"/>
        <v>5</v>
      </c>
      <c r="F3181">
        <f t="shared" si="149"/>
        <v>4.4444444444444481E-2</v>
      </c>
    </row>
    <row r="3182" spans="1:6" x14ac:dyDescent="0.25">
      <c r="A3182" t="s">
        <v>261</v>
      </c>
      <c r="B3182" s="1">
        <v>46083</v>
      </c>
      <c r="C3182">
        <v>37</v>
      </c>
      <c r="D3182">
        <f t="shared" si="147"/>
        <v>38.200000000000003</v>
      </c>
      <c r="E3182">
        <f t="shared" si="148"/>
        <v>5</v>
      </c>
      <c r="F3182">
        <f t="shared" si="149"/>
        <v>3.2432432432432511E-2</v>
      </c>
    </row>
    <row r="3183" spans="1:6" x14ac:dyDescent="0.25">
      <c r="A3183" t="s">
        <v>261</v>
      </c>
      <c r="B3183" s="1">
        <v>46090</v>
      </c>
      <c r="C3183">
        <v>40</v>
      </c>
      <c r="D3183">
        <f t="shared" si="147"/>
        <v>37</v>
      </c>
      <c r="E3183">
        <f t="shared" si="148"/>
        <v>5</v>
      </c>
      <c r="F3183">
        <f t="shared" si="149"/>
        <v>7.4999999999999997E-2</v>
      </c>
    </row>
    <row r="3184" spans="1:6" x14ac:dyDescent="0.25">
      <c r="A3184" t="s">
        <v>261</v>
      </c>
      <c r="B3184" s="1">
        <v>46097</v>
      </c>
      <c r="C3184">
        <v>50</v>
      </c>
      <c r="D3184">
        <f t="shared" si="147"/>
        <v>37.200000000000003</v>
      </c>
      <c r="E3184">
        <f t="shared" si="148"/>
        <v>5</v>
      </c>
      <c r="F3184">
        <f t="shared" si="149"/>
        <v>0.25599999999999995</v>
      </c>
    </row>
    <row r="3185" spans="1:6" x14ac:dyDescent="0.25">
      <c r="A3185" t="s">
        <v>261</v>
      </c>
      <c r="B3185" s="1">
        <v>46104</v>
      </c>
      <c r="C3185">
        <v>43</v>
      </c>
      <c r="D3185">
        <f t="shared" si="147"/>
        <v>40.6</v>
      </c>
      <c r="E3185">
        <f t="shared" si="148"/>
        <v>5</v>
      </c>
      <c r="F3185">
        <f t="shared" si="149"/>
        <v>5.5813953488372058E-2</v>
      </c>
    </row>
    <row r="3186" spans="1:6" x14ac:dyDescent="0.25">
      <c r="A3186" t="s">
        <v>261</v>
      </c>
      <c r="B3186" s="1">
        <v>46111</v>
      </c>
      <c r="C3186">
        <v>46</v>
      </c>
      <c r="D3186">
        <f t="shared" si="147"/>
        <v>41.2</v>
      </c>
      <c r="E3186">
        <f t="shared" si="148"/>
        <v>5</v>
      </c>
      <c r="F3186">
        <f t="shared" si="149"/>
        <v>0.10434782608695646</v>
      </c>
    </row>
    <row r="3187" spans="1:6" x14ac:dyDescent="0.25">
      <c r="A3187" t="s">
        <v>261</v>
      </c>
      <c r="B3187" s="1">
        <v>46118</v>
      </c>
      <c r="C3187">
        <v>47</v>
      </c>
      <c r="D3187">
        <f t="shared" si="147"/>
        <v>43.2</v>
      </c>
      <c r="E3187">
        <f t="shared" si="148"/>
        <v>5</v>
      </c>
      <c r="F3187">
        <f t="shared" si="149"/>
        <v>8.085106382978717E-2</v>
      </c>
    </row>
    <row r="3188" spans="1:6" x14ac:dyDescent="0.25">
      <c r="A3188" t="s">
        <v>261</v>
      </c>
      <c r="B3188" s="1">
        <v>46125</v>
      </c>
      <c r="C3188">
        <v>38</v>
      </c>
      <c r="D3188">
        <f t="shared" si="147"/>
        <v>45.2</v>
      </c>
      <c r="E3188">
        <f t="shared" si="148"/>
        <v>5</v>
      </c>
      <c r="F3188">
        <f t="shared" si="149"/>
        <v>0.18947368421052638</v>
      </c>
    </row>
    <row r="3189" spans="1:6" x14ac:dyDescent="0.25">
      <c r="A3189" t="s">
        <v>261</v>
      </c>
      <c r="B3189" s="1">
        <v>46132</v>
      </c>
      <c r="C3189">
        <v>46</v>
      </c>
      <c r="D3189">
        <f t="shared" si="147"/>
        <v>44.8</v>
      </c>
      <c r="E3189">
        <f t="shared" si="148"/>
        <v>5</v>
      </c>
      <c r="F3189">
        <f t="shared" si="149"/>
        <v>2.6086956521739191E-2</v>
      </c>
    </row>
    <row r="3190" spans="1:6" x14ac:dyDescent="0.25">
      <c r="A3190" t="s">
        <v>261</v>
      </c>
      <c r="B3190" s="1">
        <v>46139</v>
      </c>
      <c r="C3190">
        <v>45</v>
      </c>
      <c r="D3190">
        <f t="shared" si="147"/>
        <v>44</v>
      </c>
      <c r="E3190">
        <f t="shared" si="148"/>
        <v>5</v>
      </c>
      <c r="F3190">
        <f t="shared" si="149"/>
        <v>2.2222222222222223E-2</v>
      </c>
    </row>
    <row r="3191" spans="1:6" x14ac:dyDescent="0.25">
      <c r="A3191" t="s">
        <v>261</v>
      </c>
      <c r="B3191" s="1">
        <v>46146</v>
      </c>
      <c r="C3191">
        <v>47</v>
      </c>
      <c r="D3191">
        <f t="shared" si="147"/>
        <v>44.4</v>
      </c>
      <c r="E3191">
        <f t="shared" si="148"/>
        <v>5</v>
      </c>
      <c r="F3191">
        <f t="shared" si="149"/>
        <v>5.5319148936170244E-2</v>
      </c>
    </row>
    <row r="3192" spans="1:6" x14ac:dyDescent="0.25">
      <c r="A3192" t="s">
        <v>261</v>
      </c>
      <c r="B3192" s="1">
        <v>46153</v>
      </c>
      <c r="C3192">
        <v>51</v>
      </c>
      <c r="D3192">
        <f t="shared" si="147"/>
        <v>44.6</v>
      </c>
      <c r="E3192">
        <f t="shared" si="148"/>
        <v>5</v>
      </c>
      <c r="F3192">
        <f t="shared" si="149"/>
        <v>0.12549019607843134</v>
      </c>
    </row>
    <row r="3193" spans="1:6" x14ac:dyDescent="0.25">
      <c r="A3193" t="s">
        <v>261</v>
      </c>
      <c r="B3193" s="1">
        <v>46160</v>
      </c>
      <c r="C3193">
        <v>42</v>
      </c>
      <c r="D3193">
        <f t="shared" si="147"/>
        <v>45.4</v>
      </c>
      <c r="E3193">
        <f t="shared" si="148"/>
        <v>5</v>
      </c>
      <c r="F3193">
        <f t="shared" si="149"/>
        <v>8.0952380952380915E-2</v>
      </c>
    </row>
    <row r="3194" spans="1:6" x14ac:dyDescent="0.25">
      <c r="A3194" t="s">
        <v>261</v>
      </c>
      <c r="B3194" s="1">
        <v>46167</v>
      </c>
      <c r="C3194">
        <v>43</v>
      </c>
      <c r="D3194">
        <f t="shared" si="147"/>
        <v>46.2</v>
      </c>
      <c r="E3194">
        <f t="shared" si="148"/>
        <v>5</v>
      </c>
      <c r="F3194">
        <f t="shared" si="149"/>
        <v>7.4418604651162859E-2</v>
      </c>
    </row>
    <row r="3195" spans="1:6" x14ac:dyDescent="0.25">
      <c r="A3195" t="s">
        <v>261</v>
      </c>
      <c r="B3195" s="1">
        <v>46174</v>
      </c>
      <c r="C3195">
        <v>35</v>
      </c>
      <c r="D3195">
        <f t="shared" si="147"/>
        <v>45.6</v>
      </c>
      <c r="E3195">
        <f t="shared" si="148"/>
        <v>5</v>
      </c>
      <c r="F3195">
        <f t="shared" si="149"/>
        <v>0.30285714285714288</v>
      </c>
    </row>
    <row r="3196" spans="1:6" x14ac:dyDescent="0.25">
      <c r="A3196" t="s">
        <v>261</v>
      </c>
      <c r="B3196" s="1">
        <v>46181</v>
      </c>
      <c r="C3196">
        <v>41</v>
      </c>
      <c r="D3196">
        <f t="shared" si="147"/>
        <v>43.6</v>
      </c>
      <c r="E3196">
        <f t="shared" si="148"/>
        <v>5</v>
      </c>
      <c r="F3196">
        <f t="shared" si="149"/>
        <v>6.3414634146341492E-2</v>
      </c>
    </row>
    <row r="3197" spans="1:6" x14ac:dyDescent="0.25">
      <c r="A3197" t="s">
        <v>261</v>
      </c>
      <c r="B3197" s="1">
        <v>46188</v>
      </c>
      <c r="C3197">
        <v>46</v>
      </c>
      <c r="D3197">
        <f t="shared" si="147"/>
        <v>42.4</v>
      </c>
      <c r="E3197">
        <f t="shared" si="148"/>
        <v>5</v>
      </c>
      <c r="F3197">
        <f t="shared" si="149"/>
        <v>7.8260869565217425E-2</v>
      </c>
    </row>
    <row r="3198" spans="1:6" x14ac:dyDescent="0.25">
      <c r="A3198" t="s">
        <v>261</v>
      </c>
      <c r="B3198" s="1">
        <v>46195</v>
      </c>
      <c r="C3198">
        <v>49</v>
      </c>
      <c r="D3198">
        <f t="shared" si="147"/>
        <v>41.4</v>
      </c>
      <c r="E3198">
        <f t="shared" si="148"/>
        <v>5</v>
      </c>
      <c r="F3198">
        <f t="shared" si="149"/>
        <v>0.15510204081632656</v>
      </c>
    </row>
    <row r="3199" spans="1:6" x14ac:dyDescent="0.25">
      <c r="A3199" t="s">
        <v>261</v>
      </c>
      <c r="B3199" s="1">
        <v>46202</v>
      </c>
      <c r="C3199">
        <v>46</v>
      </c>
      <c r="D3199">
        <f t="shared" si="147"/>
        <v>42.8</v>
      </c>
      <c r="E3199">
        <f t="shared" si="148"/>
        <v>5</v>
      </c>
      <c r="F3199">
        <f t="shared" si="149"/>
        <v>6.9565217391304404E-2</v>
      </c>
    </row>
    <row r="3200" spans="1:6" x14ac:dyDescent="0.25">
      <c r="A3200" t="s">
        <v>263</v>
      </c>
      <c r="B3200" s="1">
        <v>46027</v>
      </c>
      <c r="C3200">
        <v>29</v>
      </c>
      <c r="D3200" t="str">
        <f t="shared" si="147"/>
        <v/>
      </c>
      <c r="E3200">
        <f t="shared" si="148"/>
        <v>0</v>
      </c>
      <c r="F3200" t="str">
        <f t="shared" si="149"/>
        <v/>
      </c>
    </row>
    <row r="3201" spans="1:6" x14ac:dyDescent="0.25">
      <c r="A3201" t="s">
        <v>263</v>
      </c>
      <c r="B3201" s="1">
        <v>46034</v>
      </c>
      <c r="C3201">
        <v>27</v>
      </c>
      <c r="D3201" t="str">
        <f t="shared" si="147"/>
        <v/>
      </c>
      <c r="E3201">
        <f t="shared" si="148"/>
        <v>1</v>
      </c>
      <c r="F3201" t="str">
        <f t="shared" si="149"/>
        <v/>
      </c>
    </row>
    <row r="3202" spans="1:6" x14ac:dyDescent="0.25">
      <c r="A3202" t="s">
        <v>263</v>
      </c>
      <c r="B3202" s="1">
        <v>46041</v>
      </c>
      <c r="C3202">
        <v>27</v>
      </c>
      <c r="D3202" t="str">
        <f t="shared" ref="D3202:D3265" si="150">IF(E3202 &lt; 5, "", AVERAGEIFS(C:C, A:A, A3202, B:B, "&gt;=" &amp; (B3202-35), B:B, "&lt;=" &amp; (B3202-7)))</f>
        <v/>
      </c>
      <c r="E3202">
        <f t="shared" ref="E3202:E3265" si="151">COUNTIFS(A:A, A3202, B:B, "&gt;=" &amp; (B3202-35), B:B, "&lt;=" &amp; (B3202-7))</f>
        <v>2</v>
      </c>
      <c r="F3202" t="str">
        <f t="shared" ref="F3202:F3265" si="152">IF(OR(C3202=0, D3202=""), "", ABS(C3202 - D3202) / C3202)</f>
        <v/>
      </c>
    </row>
    <row r="3203" spans="1:6" x14ac:dyDescent="0.25">
      <c r="A3203" t="s">
        <v>263</v>
      </c>
      <c r="B3203" s="1">
        <v>46048</v>
      </c>
      <c r="C3203">
        <v>31</v>
      </c>
      <c r="D3203" t="str">
        <f t="shared" si="150"/>
        <v/>
      </c>
      <c r="E3203">
        <f t="shared" si="151"/>
        <v>3</v>
      </c>
      <c r="F3203" t="str">
        <f t="shared" si="152"/>
        <v/>
      </c>
    </row>
    <row r="3204" spans="1:6" x14ac:dyDescent="0.25">
      <c r="A3204" t="s">
        <v>263</v>
      </c>
      <c r="B3204" s="1">
        <v>46055</v>
      </c>
      <c r="C3204">
        <v>28</v>
      </c>
      <c r="D3204" t="str">
        <f t="shared" si="150"/>
        <v/>
      </c>
      <c r="E3204">
        <f t="shared" si="151"/>
        <v>4</v>
      </c>
      <c r="F3204" t="str">
        <f t="shared" si="152"/>
        <v/>
      </c>
    </row>
    <row r="3205" spans="1:6" x14ac:dyDescent="0.25">
      <c r="A3205" t="s">
        <v>263</v>
      </c>
      <c r="B3205" s="1">
        <v>46062</v>
      </c>
      <c r="C3205">
        <v>19</v>
      </c>
      <c r="D3205">
        <f t="shared" si="150"/>
        <v>28.4</v>
      </c>
      <c r="E3205">
        <f t="shared" si="151"/>
        <v>5</v>
      </c>
      <c r="F3205">
        <f t="shared" si="152"/>
        <v>0.49473684210526309</v>
      </c>
    </row>
    <row r="3206" spans="1:6" x14ac:dyDescent="0.25">
      <c r="A3206" t="s">
        <v>263</v>
      </c>
      <c r="B3206" s="1">
        <v>46069</v>
      </c>
      <c r="C3206">
        <v>26</v>
      </c>
      <c r="D3206">
        <f t="shared" si="150"/>
        <v>26.4</v>
      </c>
      <c r="E3206">
        <f t="shared" si="151"/>
        <v>5</v>
      </c>
      <c r="F3206">
        <f t="shared" si="152"/>
        <v>1.538461538461533E-2</v>
      </c>
    </row>
    <row r="3207" spans="1:6" x14ac:dyDescent="0.25">
      <c r="A3207" t="s">
        <v>263</v>
      </c>
      <c r="B3207" s="1">
        <v>46076</v>
      </c>
      <c r="C3207">
        <v>28</v>
      </c>
      <c r="D3207">
        <f t="shared" si="150"/>
        <v>26.2</v>
      </c>
      <c r="E3207">
        <f t="shared" si="151"/>
        <v>5</v>
      </c>
      <c r="F3207">
        <f t="shared" si="152"/>
        <v>6.4285714285714307E-2</v>
      </c>
    </row>
    <row r="3208" spans="1:6" x14ac:dyDescent="0.25">
      <c r="A3208" t="s">
        <v>263</v>
      </c>
      <c r="B3208" s="1">
        <v>46083</v>
      </c>
      <c r="C3208">
        <v>24</v>
      </c>
      <c r="D3208">
        <f t="shared" si="150"/>
        <v>26.4</v>
      </c>
      <c r="E3208">
        <f t="shared" si="151"/>
        <v>5</v>
      </c>
      <c r="F3208">
        <f t="shared" si="152"/>
        <v>9.9999999999999936E-2</v>
      </c>
    </row>
    <row r="3209" spans="1:6" x14ac:dyDescent="0.25">
      <c r="A3209" t="s">
        <v>263</v>
      </c>
      <c r="B3209" s="1">
        <v>46090</v>
      </c>
      <c r="C3209">
        <v>22</v>
      </c>
      <c r="D3209">
        <f t="shared" si="150"/>
        <v>25</v>
      </c>
      <c r="E3209">
        <f t="shared" si="151"/>
        <v>5</v>
      </c>
      <c r="F3209">
        <f t="shared" si="152"/>
        <v>0.13636363636363635</v>
      </c>
    </row>
    <row r="3210" spans="1:6" x14ac:dyDescent="0.25">
      <c r="A3210" t="s">
        <v>263</v>
      </c>
      <c r="B3210" s="1">
        <v>46097</v>
      </c>
      <c r="C3210">
        <v>29</v>
      </c>
      <c r="D3210">
        <f t="shared" si="150"/>
        <v>23.8</v>
      </c>
      <c r="E3210">
        <f t="shared" si="151"/>
        <v>5</v>
      </c>
      <c r="F3210">
        <f t="shared" si="152"/>
        <v>0.17931034482758618</v>
      </c>
    </row>
    <row r="3211" spans="1:6" x14ac:dyDescent="0.25">
      <c r="A3211" t="s">
        <v>263</v>
      </c>
      <c r="B3211" s="1">
        <v>46104</v>
      </c>
      <c r="C3211">
        <v>30</v>
      </c>
      <c r="D3211">
        <f t="shared" si="150"/>
        <v>25.8</v>
      </c>
      <c r="E3211">
        <f t="shared" si="151"/>
        <v>5</v>
      </c>
      <c r="F3211">
        <f t="shared" si="152"/>
        <v>0.13999999999999999</v>
      </c>
    </row>
    <row r="3212" spans="1:6" x14ac:dyDescent="0.25">
      <c r="A3212" t="s">
        <v>263</v>
      </c>
      <c r="B3212" s="1">
        <v>46111</v>
      </c>
      <c r="C3212">
        <v>26</v>
      </c>
      <c r="D3212">
        <f t="shared" si="150"/>
        <v>26.6</v>
      </c>
      <c r="E3212">
        <f t="shared" si="151"/>
        <v>5</v>
      </c>
      <c r="F3212">
        <f t="shared" si="152"/>
        <v>2.307692307692313E-2</v>
      </c>
    </row>
    <row r="3213" spans="1:6" x14ac:dyDescent="0.25">
      <c r="A3213" t="s">
        <v>263</v>
      </c>
      <c r="B3213" s="1">
        <v>46118</v>
      </c>
      <c r="C3213">
        <v>27</v>
      </c>
      <c r="D3213">
        <f t="shared" si="150"/>
        <v>26.2</v>
      </c>
      <c r="E3213">
        <f t="shared" si="151"/>
        <v>5</v>
      </c>
      <c r="F3213">
        <f t="shared" si="152"/>
        <v>2.9629629629629655E-2</v>
      </c>
    </row>
    <row r="3214" spans="1:6" x14ac:dyDescent="0.25">
      <c r="A3214" t="s">
        <v>263</v>
      </c>
      <c r="B3214" s="1">
        <v>46125</v>
      </c>
      <c r="C3214">
        <v>26</v>
      </c>
      <c r="D3214">
        <f t="shared" si="150"/>
        <v>26.8</v>
      </c>
      <c r="E3214">
        <f t="shared" si="151"/>
        <v>5</v>
      </c>
      <c r="F3214">
        <f t="shared" si="152"/>
        <v>3.0769230769230795E-2</v>
      </c>
    </row>
    <row r="3215" spans="1:6" x14ac:dyDescent="0.25">
      <c r="A3215" t="s">
        <v>263</v>
      </c>
      <c r="B3215" s="1">
        <v>46132</v>
      </c>
      <c r="C3215">
        <v>27</v>
      </c>
      <c r="D3215">
        <f t="shared" si="150"/>
        <v>27.6</v>
      </c>
      <c r="E3215">
        <f t="shared" si="151"/>
        <v>5</v>
      </c>
      <c r="F3215">
        <f t="shared" si="152"/>
        <v>2.2222222222222275E-2</v>
      </c>
    </row>
    <row r="3216" spans="1:6" x14ac:dyDescent="0.25">
      <c r="A3216" t="s">
        <v>263</v>
      </c>
      <c r="B3216" s="1">
        <v>46139</v>
      </c>
      <c r="C3216">
        <v>29</v>
      </c>
      <c r="D3216">
        <f t="shared" si="150"/>
        <v>27.2</v>
      </c>
      <c r="E3216">
        <f t="shared" si="151"/>
        <v>5</v>
      </c>
      <c r="F3216">
        <f t="shared" si="152"/>
        <v>6.2068965517241406E-2</v>
      </c>
    </row>
    <row r="3217" spans="1:6" x14ac:dyDescent="0.25">
      <c r="A3217" t="s">
        <v>263</v>
      </c>
      <c r="B3217" s="1">
        <v>46146</v>
      </c>
      <c r="C3217">
        <v>34</v>
      </c>
      <c r="D3217">
        <f t="shared" si="150"/>
        <v>27</v>
      </c>
      <c r="E3217">
        <f t="shared" si="151"/>
        <v>5</v>
      </c>
      <c r="F3217">
        <f t="shared" si="152"/>
        <v>0.20588235294117646</v>
      </c>
    </row>
    <row r="3218" spans="1:6" x14ac:dyDescent="0.25">
      <c r="A3218" t="s">
        <v>263</v>
      </c>
      <c r="B3218" s="1">
        <v>46153</v>
      </c>
      <c r="C3218">
        <v>23</v>
      </c>
      <c r="D3218">
        <f t="shared" si="150"/>
        <v>28.6</v>
      </c>
      <c r="E3218">
        <f t="shared" si="151"/>
        <v>5</v>
      </c>
      <c r="F3218">
        <f t="shared" si="152"/>
        <v>0.24347826086956528</v>
      </c>
    </row>
    <row r="3219" spans="1:6" x14ac:dyDescent="0.25">
      <c r="A3219" t="s">
        <v>263</v>
      </c>
      <c r="B3219" s="1">
        <v>46160</v>
      </c>
      <c r="C3219">
        <v>29</v>
      </c>
      <c r="D3219">
        <f t="shared" si="150"/>
        <v>27.8</v>
      </c>
      <c r="E3219">
        <f t="shared" si="151"/>
        <v>5</v>
      </c>
      <c r="F3219">
        <f t="shared" si="152"/>
        <v>4.1379310344827565E-2</v>
      </c>
    </row>
    <row r="3220" spans="1:6" x14ac:dyDescent="0.25">
      <c r="A3220" t="s">
        <v>263</v>
      </c>
      <c r="B3220" s="1">
        <v>46167</v>
      </c>
      <c r="C3220">
        <v>37</v>
      </c>
      <c r="D3220">
        <f t="shared" si="150"/>
        <v>28.4</v>
      </c>
      <c r="E3220">
        <f t="shared" si="151"/>
        <v>5</v>
      </c>
      <c r="F3220">
        <f t="shared" si="152"/>
        <v>0.23243243243243247</v>
      </c>
    </row>
    <row r="3221" spans="1:6" x14ac:dyDescent="0.25">
      <c r="A3221" t="s">
        <v>263</v>
      </c>
      <c r="B3221" s="1">
        <v>46174</v>
      </c>
      <c r="C3221">
        <v>32</v>
      </c>
      <c r="D3221">
        <f t="shared" si="150"/>
        <v>30.4</v>
      </c>
      <c r="E3221">
        <f t="shared" si="151"/>
        <v>5</v>
      </c>
      <c r="F3221">
        <f t="shared" si="152"/>
        <v>5.0000000000000044E-2</v>
      </c>
    </row>
    <row r="3222" spans="1:6" x14ac:dyDescent="0.25">
      <c r="A3222" t="s">
        <v>263</v>
      </c>
      <c r="B3222" s="1">
        <v>46181</v>
      </c>
      <c r="C3222">
        <v>32</v>
      </c>
      <c r="D3222">
        <f t="shared" si="150"/>
        <v>31</v>
      </c>
      <c r="E3222">
        <f t="shared" si="151"/>
        <v>5</v>
      </c>
      <c r="F3222">
        <f t="shared" si="152"/>
        <v>3.125E-2</v>
      </c>
    </row>
    <row r="3223" spans="1:6" x14ac:dyDescent="0.25">
      <c r="A3223" t="s">
        <v>263</v>
      </c>
      <c r="B3223" s="1">
        <v>46188</v>
      </c>
      <c r="C3223">
        <v>35</v>
      </c>
      <c r="D3223">
        <f t="shared" si="150"/>
        <v>30.6</v>
      </c>
      <c r="E3223">
        <f t="shared" si="151"/>
        <v>5</v>
      </c>
      <c r="F3223">
        <f t="shared" si="152"/>
        <v>0.12571428571428567</v>
      </c>
    </row>
    <row r="3224" spans="1:6" x14ac:dyDescent="0.25">
      <c r="A3224" t="s">
        <v>263</v>
      </c>
      <c r="B3224" s="1">
        <v>46195</v>
      </c>
      <c r="C3224">
        <v>28</v>
      </c>
      <c r="D3224">
        <f t="shared" si="150"/>
        <v>33</v>
      </c>
      <c r="E3224">
        <f t="shared" si="151"/>
        <v>5</v>
      </c>
      <c r="F3224">
        <f t="shared" si="152"/>
        <v>0.17857142857142858</v>
      </c>
    </row>
    <row r="3225" spans="1:6" x14ac:dyDescent="0.25">
      <c r="A3225" t="s">
        <v>263</v>
      </c>
      <c r="B3225" s="1">
        <v>46202</v>
      </c>
      <c r="C3225">
        <v>27</v>
      </c>
      <c r="D3225">
        <f t="shared" si="150"/>
        <v>32.799999999999997</v>
      </c>
      <c r="E3225">
        <f t="shared" si="151"/>
        <v>5</v>
      </c>
      <c r="F3225">
        <f t="shared" si="152"/>
        <v>0.21481481481481471</v>
      </c>
    </row>
    <row r="3226" spans="1:6" x14ac:dyDescent="0.25">
      <c r="A3226" t="s">
        <v>265</v>
      </c>
      <c r="B3226" s="1">
        <v>46027</v>
      </c>
      <c r="C3226">
        <v>104</v>
      </c>
      <c r="D3226" t="str">
        <f t="shared" si="150"/>
        <v/>
      </c>
      <c r="E3226">
        <f t="shared" si="151"/>
        <v>0</v>
      </c>
      <c r="F3226" t="str">
        <f t="shared" si="152"/>
        <v/>
      </c>
    </row>
    <row r="3227" spans="1:6" x14ac:dyDescent="0.25">
      <c r="A3227" t="s">
        <v>265</v>
      </c>
      <c r="B3227" s="1">
        <v>46034</v>
      </c>
      <c r="C3227">
        <v>120</v>
      </c>
      <c r="D3227" t="str">
        <f t="shared" si="150"/>
        <v/>
      </c>
      <c r="E3227">
        <f t="shared" si="151"/>
        <v>1</v>
      </c>
      <c r="F3227" t="str">
        <f t="shared" si="152"/>
        <v/>
      </c>
    </row>
    <row r="3228" spans="1:6" x14ac:dyDescent="0.25">
      <c r="A3228" t="s">
        <v>265</v>
      </c>
      <c r="B3228" s="1">
        <v>46041</v>
      </c>
      <c r="C3228">
        <v>116</v>
      </c>
      <c r="D3228" t="str">
        <f t="shared" si="150"/>
        <v/>
      </c>
      <c r="E3228">
        <f t="shared" si="151"/>
        <v>2</v>
      </c>
      <c r="F3228" t="str">
        <f t="shared" si="152"/>
        <v/>
      </c>
    </row>
    <row r="3229" spans="1:6" x14ac:dyDescent="0.25">
      <c r="A3229" t="s">
        <v>265</v>
      </c>
      <c r="B3229" s="1">
        <v>46048</v>
      </c>
      <c r="C3229">
        <v>96</v>
      </c>
      <c r="D3229" t="str">
        <f t="shared" si="150"/>
        <v/>
      </c>
      <c r="E3229">
        <f t="shared" si="151"/>
        <v>3</v>
      </c>
      <c r="F3229" t="str">
        <f t="shared" si="152"/>
        <v/>
      </c>
    </row>
    <row r="3230" spans="1:6" x14ac:dyDescent="0.25">
      <c r="A3230" t="s">
        <v>265</v>
      </c>
      <c r="B3230" s="1">
        <v>46055</v>
      </c>
      <c r="C3230">
        <v>100</v>
      </c>
      <c r="D3230" t="str">
        <f t="shared" si="150"/>
        <v/>
      </c>
      <c r="E3230">
        <f t="shared" si="151"/>
        <v>4</v>
      </c>
      <c r="F3230" t="str">
        <f t="shared" si="152"/>
        <v/>
      </c>
    </row>
    <row r="3231" spans="1:6" x14ac:dyDescent="0.25">
      <c r="A3231" t="s">
        <v>265</v>
      </c>
      <c r="B3231" s="1">
        <v>46062</v>
      </c>
      <c r="C3231">
        <v>102</v>
      </c>
      <c r="D3231">
        <f t="shared" si="150"/>
        <v>107.2</v>
      </c>
      <c r="E3231">
        <f t="shared" si="151"/>
        <v>5</v>
      </c>
      <c r="F3231">
        <f t="shared" si="152"/>
        <v>5.0980392156862772E-2</v>
      </c>
    </row>
    <row r="3232" spans="1:6" x14ac:dyDescent="0.25">
      <c r="A3232" t="s">
        <v>265</v>
      </c>
      <c r="B3232" s="1">
        <v>46069</v>
      </c>
      <c r="C3232">
        <v>92</v>
      </c>
      <c r="D3232">
        <f t="shared" si="150"/>
        <v>106.8</v>
      </c>
      <c r="E3232">
        <f t="shared" si="151"/>
        <v>5</v>
      </c>
      <c r="F3232">
        <f t="shared" si="152"/>
        <v>0.16086956521739126</v>
      </c>
    </row>
    <row r="3233" spans="1:6" x14ac:dyDescent="0.25">
      <c r="A3233" t="s">
        <v>265</v>
      </c>
      <c r="B3233" s="1">
        <v>46076</v>
      </c>
      <c r="C3233">
        <v>104</v>
      </c>
      <c r="D3233">
        <f t="shared" si="150"/>
        <v>101.2</v>
      </c>
      <c r="E3233">
        <f t="shared" si="151"/>
        <v>5</v>
      </c>
      <c r="F3233">
        <f t="shared" si="152"/>
        <v>2.6923076923076897E-2</v>
      </c>
    </row>
    <row r="3234" spans="1:6" x14ac:dyDescent="0.25">
      <c r="A3234" t="s">
        <v>265</v>
      </c>
      <c r="B3234" s="1">
        <v>46083</v>
      </c>
      <c r="C3234">
        <v>99</v>
      </c>
      <c r="D3234">
        <f t="shared" si="150"/>
        <v>98.8</v>
      </c>
      <c r="E3234">
        <f t="shared" si="151"/>
        <v>5</v>
      </c>
      <c r="F3234">
        <f t="shared" si="152"/>
        <v>2.0202020202020488E-3</v>
      </c>
    </row>
    <row r="3235" spans="1:6" x14ac:dyDescent="0.25">
      <c r="A3235" t="s">
        <v>265</v>
      </c>
      <c r="B3235" s="1">
        <v>46090</v>
      </c>
      <c r="C3235">
        <v>90</v>
      </c>
      <c r="D3235">
        <f t="shared" si="150"/>
        <v>99.4</v>
      </c>
      <c r="E3235">
        <f t="shared" si="151"/>
        <v>5</v>
      </c>
      <c r="F3235">
        <f t="shared" si="152"/>
        <v>0.10444444444444451</v>
      </c>
    </row>
    <row r="3236" spans="1:6" x14ac:dyDescent="0.25">
      <c r="A3236" t="s">
        <v>265</v>
      </c>
      <c r="B3236" s="1">
        <v>46097</v>
      </c>
      <c r="C3236">
        <v>100</v>
      </c>
      <c r="D3236">
        <f t="shared" si="150"/>
        <v>97.4</v>
      </c>
      <c r="E3236">
        <f t="shared" si="151"/>
        <v>5</v>
      </c>
      <c r="F3236">
        <f t="shared" si="152"/>
        <v>2.5999999999999943E-2</v>
      </c>
    </row>
    <row r="3237" spans="1:6" x14ac:dyDescent="0.25">
      <c r="A3237" t="s">
        <v>265</v>
      </c>
      <c r="B3237" s="1">
        <v>46104</v>
      </c>
      <c r="C3237">
        <v>90</v>
      </c>
      <c r="D3237">
        <f t="shared" si="150"/>
        <v>97</v>
      </c>
      <c r="E3237">
        <f t="shared" si="151"/>
        <v>5</v>
      </c>
      <c r="F3237">
        <f t="shared" si="152"/>
        <v>7.7777777777777779E-2</v>
      </c>
    </row>
    <row r="3238" spans="1:6" x14ac:dyDescent="0.25">
      <c r="A3238" t="s">
        <v>265</v>
      </c>
      <c r="B3238" s="1">
        <v>46111</v>
      </c>
      <c r="C3238">
        <v>99</v>
      </c>
      <c r="D3238">
        <f t="shared" si="150"/>
        <v>96.6</v>
      </c>
      <c r="E3238">
        <f t="shared" si="151"/>
        <v>5</v>
      </c>
      <c r="F3238">
        <f t="shared" si="152"/>
        <v>2.4242424242424301E-2</v>
      </c>
    </row>
    <row r="3239" spans="1:6" x14ac:dyDescent="0.25">
      <c r="A3239" t="s">
        <v>265</v>
      </c>
      <c r="B3239" s="1">
        <v>46118</v>
      </c>
      <c r="C3239">
        <v>116</v>
      </c>
      <c r="D3239">
        <f t="shared" si="150"/>
        <v>95.6</v>
      </c>
      <c r="E3239">
        <f t="shared" si="151"/>
        <v>5</v>
      </c>
      <c r="F3239">
        <f t="shared" si="152"/>
        <v>0.17586206896551729</v>
      </c>
    </row>
    <row r="3240" spans="1:6" x14ac:dyDescent="0.25">
      <c r="A3240" t="s">
        <v>265</v>
      </c>
      <c r="B3240" s="1">
        <v>46125</v>
      </c>
      <c r="C3240">
        <v>105</v>
      </c>
      <c r="D3240">
        <f t="shared" si="150"/>
        <v>99</v>
      </c>
      <c r="E3240">
        <f t="shared" si="151"/>
        <v>5</v>
      </c>
      <c r="F3240">
        <f t="shared" si="152"/>
        <v>5.7142857142857141E-2</v>
      </c>
    </row>
    <row r="3241" spans="1:6" x14ac:dyDescent="0.25">
      <c r="A3241" t="s">
        <v>265</v>
      </c>
      <c r="B3241" s="1">
        <v>46132</v>
      </c>
      <c r="C3241">
        <v>127</v>
      </c>
      <c r="D3241">
        <f t="shared" si="150"/>
        <v>102</v>
      </c>
      <c r="E3241">
        <f t="shared" si="151"/>
        <v>5</v>
      </c>
      <c r="F3241">
        <f t="shared" si="152"/>
        <v>0.19685039370078741</v>
      </c>
    </row>
    <row r="3242" spans="1:6" x14ac:dyDescent="0.25">
      <c r="A3242" t="s">
        <v>265</v>
      </c>
      <c r="B3242" s="1">
        <v>46139</v>
      </c>
      <c r="C3242">
        <v>110</v>
      </c>
      <c r="D3242">
        <f t="shared" si="150"/>
        <v>107.4</v>
      </c>
      <c r="E3242">
        <f t="shared" si="151"/>
        <v>5</v>
      </c>
      <c r="F3242">
        <f t="shared" si="152"/>
        <v>2.3636363636363584E-2</v>
      </c>
    </row>
    <row r="3243" spans="1:6" x14ac:dyDescent="0.25">
      <c r="A3243" t="s">
        <v>265</v>
      </c>
      <c r="B3243" s="1">
        <v>46146</v>
      </c>
      <c r="C3243">
        <v>122</v>
      </c>
      <c r="D3243">
        <f t="shared" si="150"/>
        <v>111.4</v>
      </c>
      <c r="E3243">
        <f t="shared" si="151"/>
        <v>5</v>
      </c>
      <c r="F3243">
        <f t="shared" si="152"/>
        <v>8.6885245901639291E-2</v>
      </c>
    </row>
    <row r="3244" spans="1:6" x14ac:dyDescent="0.25">
      <c r="A3244" t="s">
        <v>265</v>
      </c>
      <c r="B3244" s="1">
        <v>46153</v>
      </c>
      <c r="C3244">
        <v>112</v>
      </c>
      <c r="D3244">
        <f t="shared" si="150"/>
        <v>116</v>
      </c>
      <c r="E3244">
        <f t="shared" si="151"/>
        <v>5</v>
      </c>
      <c r="F3244">
        <f t="shared" si="152"/>
        <v>3.5714285714285712E-2</v>
      </c>
    </row>
    <row r="3245" spans="1:6" x14ac:dyDescent="0.25">
      <c r="A3245" t="s">
        <v>265</v>
      </c>
      <c r="B3245" s="1">
        <v>46160</v>
      </c>
      <c r="C3245">
        <v>123</v>
      </c>
      <c r="D3245">
        <f t="shared" si="150"/>
        <v>115.2</v>
      </c>
      <c r="E3245">
        <f t="shared" si="151"/>
        <v>5</v>
      </c>
      <c r="F3245">
        <f t="shared" si="152"/>
        <v>6.3414634146341436E-2</v>
      </c>
    </row>
    <row r="3246" spans="1:6" x14ac:dyDescent="0.25">
      <c r="A3246" t="s">
        <v>265</v>
      </c>
      <c r="B3246" s="1">
        <v>46167</v>
      </c>
      <c r="C3246">
        <v>124</v>
      </c>
      <c r="D3246">
        <f t="shared" si="150"/>
        <v>118.8</v>
      </c>
      <c r="E3246">
        <f t="shared" si="151"/>
        <v>5</v>
      </c>
      <c r="F3246">
        <f t="shared" si="152"/>
        <v>4.1935483870967766E-2</v>
      </c>
    </row>
    <row r="3247" spans="1:6" x14ac:dyDescent="0.25">
      <c r="A3247" t="s">
        <v>265</v>
      </c>
      <c r="B3247" s="1">
        <v>46174</v>
      </c>
      <c r="C3247">
        <v>131</v>
      </c>
      <c r="D3247">
        <f t="shared" si="150"/>
        <v>118.2</v>
      </c>
      <c r="E3247">
        <f t="shared" si="151"/>
        <v>5</v>
      </c>
      <c r="F3247">
        <f t="shared" si="152"/>
        <v>9.7709923664122122E-2</v>
      </c>
    </row>
    <row r="3248" spans="1:6" x14ac:dyDescent="0.25">
      <c r="A3248" t="s">
        <v>265</v>
      </c>
      <c r="B3248" s="1">
        <v>46181</v>
      </c>
      <c r="C3248">
        <v>121</v>
      </c>
      <c r="D3248">
        <f t="shared" si="150"/>
        <v>122.4</v>
      </c>
      <c r="E3248">
        <f t="shared" si="151"/>
        <v>5</v>
      </c>
      <c r="F3248">
        <f t="shared" si="152"/>
        <v>1.1570247933884344E-2</v>
      </c>
    </row>
    <row r="3249" spans="1:6" x14ac:dyDescent="0.25">
      <c r="A3249" t="s">
        <v>265</v>
      </c>
      <c r="B3249" s="1">
        <v>46188</v>
      </c>
      <c r="C3249">
        <v>124</v>
      </c>
      <c r="D3249">
        <f t="shared" si="150"/>
        <v>122.2</v>
      </c>
      <c r="E3249">
        <f t="shared" si="151"/>
        <v>5</v>
      </c>
      <c r="F3249">
        <f t="shared" si="152"/>
        <v>1.4516129032258041E-2</v>
      </c>
    </row>
    <row r="3250" spans="1:6" x14ac:dyDescent="0.25">
      <c r="A3250" t="s">
        <v>265</v>
      </c>
      <c r="B3250" s="1">
        <v>46195</v>
      </c>
      <c r="C3250">
        <v>116</v>
      </c>
      <c r="D3250">
        <f t="shared" si="150"/>
        <v>124.6</v>
      </c>
      <c r="E3250">
        <f t="shared" si="151"/>
        <v>5</v>
      </c>
      <c r="F3250">
        <f t="shared" si="152"/>
        <v>7.4137931034482712E-2</v>
      </c>
    </row>
    <row r="3251" spans="1:6" x14ac:dyDescent="0.25">
      <c r="A3251" t="s">
        <v>265</v>
      </c>
      <c r="B3251" s="1">
        <v>46202</v>
      </c>
      <c r="C3251">
        <v>139</v>
      </c>
      <c r="D3251">
        <f t="shared" si="150"/>
        <v>123.2</v>
      </c>
      <c r="E3251">
        <f t="shared" si="151"/>
        <v>5</v>
      </c>
      <c r="F3251">
        <f t="shared" si="152"/>
        <v>0.11366906474820142</v>
      </c>
    </row>
    <row r="3252" spans="1:6" x14ac:dyDescent="0.25">
      <c r="A3252" t="s">
        <v>267</v>
      </c>
      <c r="B3252" s="1">
        <v>46027</v>
      </c>
      <c r="C3252">
        <v>90</v>
      </c>
      <c r="D3252" t="str">
        <f t="shared" si="150"/>
        <v/>
      </c>
      <c r="E3252">
        <f t="shared" si="151"/>
        <v>0</v>
      </c>
      <c r="F3252" t="str">
        <f t="shared" si="152"/>
        <v/>
      </c>
    </row>
    <row r="3253" spans="1:6" x14ac:dyDescent="0.25">
      <c r="A3253" t="s">
        <v>267</v>
      </c>
      <c r="B3253" s="1">
        <v>46034</v>
      </c>
      <c r="C3253">
        <v>126</v>
      </c>
      <c r="D3253" t="str">
        <f t="shared" si="150"/>
        <v/>
      </c>
      <c r="E3253">
        <f t="shared" si="151"/>
        <v>1</v>
      </c>
      <c r="F3253" t="str">
        <f t="shared" si="152"/>
        <v/>
      </c>
    </row>
    <row r="3254" spans="1:6" x14ac:dyDescent="0.25">
      <c r="A3254" t="s">
        <v>267</v>
      </c>
      <c r="B3254" s="1">
        <v>46041</v>
      </c>
      <c r="C3254">
        <v>83</v>
      </c>
      <c r="D3254" t="str">
        <f t="shared" si="150"/>
        <v/>
      </c>
      <c r="E3254">
        <f t="shared" si="151"/>
        <v>2</v>
      </c>
      <c r="F3254" t="str">
        <f t="shared" si="152"/>
        <v/>
      </c>
    </row>
    <row r="3255" spans="1:6" x14ac:dyDescent="0.25">
      <c r="A3255" t="s">
        <v>267</v>
      </c>
      <c r="B3255" s="1">
        <v>46048</v>
      </c>
      <c r="C3255">
        <v>106</v>
      </c>
      <c r="D3255" t="str">
        <f t="shared" si="150"/>
        <v/>
      </c>
      <c r="E3255">
        <f t="shared" si="151"/>
        <v>3</v>
      </c>
      <c r="F3255" t="str">
        <f t="shared" si="152"/>
        <v/>
      </c>
    </row>
    <row r="3256" spans="1:6" x14ac:dyDescent="0.25">
      <c r="A3256" t="s">
        <v>267</v>
      </c>
      <c r="B3256" s="1">
        <v>46055</v>
      </c>
      <c r="C3256">
        <v>116</v>
      </c>
      <c r="D3256" t="str">
        <f t="shared" si="150"/>
        <v/>
      </c>
      <c r="E3256">
        <f t="shared" si="151"/>
        <v>4</v>
      </c>
      <c r="F3256" t="str">
        <f t="shared" si="152"/>
        <v/>
      </c>
    </row>
    <row r="3257" spans="1:6" x14ac:dyDescent="0.25">
      <c r="A3257" t="s">
        <v>267</v>
      </c>
      <c r="B3257" s="1">
        <v>46062</v>
      </c>
      <c r="C3257">
        <v>117</v>
      </c>
      <c r="D3257">
        <f t="shared" si="150"/>
        <v>104.2</v>
      </c>
      <c r="E3257">
        <f t="shared" si="151"/>
        <v>5</v>
      </c>
      <c r="F3257">
        <f t="shared" si="152"/>
        <v>0.10940170940170937</v>
      </c>
    </row>
    <row r="3258" spans="1:6" x14ac:dyDescent="0.25">
      <c r="A3258" t="s">
        <v>267</v>
      </c>
      <c r="B3258" s="1">
        <v>46069</v>
      </c>
      <c r="C3258">
        <v>101</v>
      </c>
      <c r="D3258">
        <f t="shared" si="150"/>
        <v>109.6</v>
      </c>
      <c r="E3258">
        <f t="shared" si="151"/>
        <v>5</v>
      </c>
      <c r="F3258">
        <f t="shared" si="152"/>
        <v>8.5148514851485085E-2</v>
      </c>
    </row>
    <row r="3259" spans="1:6" x14ac:dyDescent="0.25">
      <c r="A3259" t="s">
        <v>267</v>
      </c>
      <c r="B3259" s="1">
        <v>46076</v>
      </c>
      <c r="C3259">
        <v>127</v>
      </c>
      <c r="D3259">
        <f t="shared" si="150"/>
        <v>104.6</v>
      </c>
      <c r="E3259">
        <f t="shared" si="151"/>
        <v>5</v>
      </c>
      <c r="F3259">
        <f t="shared" si="152"/>
        <v>0.17637795275590556</v>
      </c>
    </row>
    <row r="3260" spans="1:6" x14ac:dyDescent="0.25">
      <c r="A3260" t="s">
        <v>267</v>
      </c>
      <c r="B3260" s="1">
        <v>46083</v>
      </c>
      <c r="C3260">
        <v>117</v>
      </c>
      <c r="D3260">
        <f t="shared" si="150"/>
        <v>113.4</v>
      </c>
      <c r="E3260">
        <f t="shared" si="151"/>
        <v>5</v>
      </c>
      <c r="F3260">
        <f t="shared" si="152"/>
        <v>3.0769230769230722E-2</v>
      </c>
    </row>
    <row r="3261" spans="1:6" x14ac:dyDescent="0.25">
      <c r="A3261" t="s">
        <v>267</v>
      </c>
      <c r="B3261" s="1">
        <v>46090</v>
      </c>
      <c r="C3261">
        <v>141</v>
      </c>
      <c r="D3261">
        <f t="shared" si="150"/>
        <v>115.6</v>
      </c>
      <c r="E3261">
        <f t="shared" si="151"/>
        <v>5</v>
      </c>
      <c r="F3261">
        <f t="shared" si="152"/>
        <v>0.18014184397163124</v>
      </c>
    </row>
    <row r="3262" spans="1:6" x14ac:dyDescent="0.25">
      <c r="A3262" t="s">
        <v>267</v>
      </c>
      <c r="B3262" s="1">
        <v>46097</v>
      </c>
      <c r="C3262">
        <v>123</v>
      </c>
      <c r="D3262">
        <f t="shared" si="150"/>
        <v>120.6</v>
      </c>
      <c r="E3262">
        <f t="shared" si="151"/>
        <v>5</v>
      </c>
      <c r="F3262">
        <f t="shared" si="152"/>
        <v>1.9512195121951265E-2</v>
      </c>
    </row>
    <row r="3263" spans="1:6" x14ac:dyDescent="0.25">
      <c r="A3263" t="s">
        <v>267</v>
      </c>
      <c r="B3263" s="1">
        <v>46104</v>
      </c>
      <c r="C3263">
        <v>135</v>
      </c>
      <c r="D3263">
        <f t="shared" si="150"/>
        <v>121.8</v>
      </c>
      <c r="E3263">
        <f t="shared" si="151"/>
        <v>5</v>
      </c>
      <c r="F3263">
        <f t="shared" si="152"/>
        <v>9.7777777777777797E-2</v>
      </c>
    </row>
    <row r="3264" spans="1:6" x14ac:dyDescent="0.25">
      <c r="A3264" t="s">
        <v>267</v>
      </c>
      <c r="B3264" s="1">
        <v>46111</v>
      </c>
      <c r="C3264">
        <v>100</v>
      </c>
      <c r="D3264">
        <f t="shared" si="150"/>
        <v>128.6</v>
      </c>
      <c r="E3264">
        <f t="shared" si="151"/>
        <v>5</v>
      </c>
      <c r="F3264">
        <f t="shared" si="152"/>
        <v>0.28599999999999992</v>
      </c>
    </row>
    <row r="3265" spans="1:6" x14ac:dyDescent="0.25">
      <c r="A3265" t="s">
        <v>267</v>
      </c>
      <c r="B3265" s="1">
        <v>46118</v>
      </c>
      <c r="C3265">
        <v>128</v>
      </c>
      <c r="D3265">
        <f t="shared" si="150"/>
        <v>123.2</v>
      </c>
      <c r="E3265">
        <f t="shared" si="151"/>
        <v>5</v>
      </c>
      <c r="F3265">
        <f t="shared" si="152"/>
        <v>3.7499999999999978E-2</v>
      </c>
    </row>
    <row r="3266" spans="1:6" x14ac:dyDescent="0.25">
      <c r="A3266" t="s">
        <v>267</v>
      </c>
      <c r="B3266" s="1">
        <v>46125</v>
      </c>
      <c r="C3266">
        <v>128</v>
      </c>
      <c r="D3266">
        <f t="shared" ref="D3266:D3329" si="153">IF(E3266 &lt; 5, "", AVERAGEIFS(C:C, A:A, A3266, B:B, "&gt;=" &amp; (B3266-35), B:B, "&lt;=" &amp; (B3266-7)))</f>
        <v>125.4</v>
      </c>
      <c r="E3266">
        <f t="shared" ref="E3266:E3329" si="154">COUNTIFS(A:A, A3266, B:B, "&gt;=" &amp; (B3266-35), B:B, "&lt;=" &amp; (B3266-7))</f>
        <v>5</v>
      </c>
      <c r="F3266">
        <f t="shared" ref="F3266:F3329" si="155">IF(OR(C3266=0, D3266=""), "", ABS(C3266 - D3266) / C3266)</f>
        <v>2.0312499999999956E-2</v>
      </c>
    </row>
    <row r="3267" spans="1:6" x14ac:dyDescent="0.25">
      <c r="A3267" t="s">
        <v>267</v>
      </c>
      <c r="B3267" s="1">
        <v>46132</v>
      </c>
      <c r="C3267">
        <v>113</v>
      </c>
      <c r="D3267">
        <f t="shared" si="153"/>
        <v>122.8</v>
      </c>
      <c r="E3267">
        <f t="shared" si="154"/>
        <v>5</v>
      </c>
      <c r="F3267">
        <f t="shared" si="155"/>
        <v>8.672566371681413E-2</v>
      </c>
    </row>
    <row r="3268" spans="1:6" x14ac:dyDescent="0.25">
      <c r="A3268" t="s">
        <v>267</v>
      </c>
      <c r="B3268" s="1">
        <v>46139</v>
      </c>
      <c r="C3268">
        <v>96</v>
      </c>
      <c r="D3268">
        <f t="shared" si="153"/>
        <v>120.8</v>
      </c>
      <c r="E3268">
        <f t="shared" si="154"/>
        <v>5</v>
      </c>
      <c r="F3268">
        <f t="shared" si="155"/>
        <v>0.2583333333333333</v>
      </c>
    </row>
    <row r="3269" spans="1:6" x14ac:dyDescent="0.25">
      <c r="A3269" t="s">
        <v>267</v>
      </c>
      <c r="B3269" s="1">
        <v>46146</v>
      </c>
      <c r="C3269">
        <v>142</v>
      </c>
      <c r="D3269">
        <f t="shared" si="153"/>
        <v>113</v>
      </c>
      <c r="E3269">
        <f t="shared" si="154"/>
        <v>5</v>
      </c>
      <c r="F3269">
        <f t="shared" si="155"/>
        <v>0.20422535211267606</v>
      </c>
    </row>
    <row r="3270" spans="1:6" x14ac:dyDescent="0.25">
      <c r="A3270" t="s">
        <v>267</v>
      </c>
      <c r="B3270" s="1">
        <v>46153</v>
      </c>
      <c r="C3270">
        <v>151</v>
      </c>
      <c r="D3270">
        <f t="shared" si="153"/>
        <v>121.4</v>
      </c>
      <c r="E3270">
        <f t="shared" si="154"/>
        <v>5</v>
      </c>
      <c r="F3270">
        <f t="shared" si="155"/>
        <v>0.19602649006622513</v>
      </c>
    </row>
    <row r="3271" spans="1:6" x14ac:dyDescent="0.25">
      <c r="A3271" t="s">
        <v>267</v>
      </c>
      <c r="B3271" s="1">
        <v>46160</v>
      </c>
      <c r="C3271">
        <v>125</v>
      </c>
      <c r="D3271">
        <f t="shared" si="153"/>
        <v>126</v>
      </c>
      <c r="E3271">
        <f t="shared" si="154"/>
        <v>5</v>
      </c>
      <c r="F3271">
        <f t="shared" si="155"/>
        <v>8.0000000000000002E-3</v>
      </c>
    </row>
    <row r="3272" spans="1:6" x14ac:dyDescent="0.25">
      <c r="A3272" t="s">
        <v>267</v>
      </c>
      <c r="B3272" s="1">
        <v>46167</v>
      </c>
      <c r="C3272">
        <v>148</v>
      </c>
      <c r="D3272">
        <f t="shared" si="153"/>
        <v>125.4</v>
      </c>
      <c r="E3272">
        <f t="shared" si="154"/>
        <v>5</v>
      </c>
      <c r="F3272">
        <f t="shared" si="155"/>
        <v>0.15270270270270267</v>
      </c>
    </row>
    <row r="3273" spans="1:6" x14ac:dyDescent="0.25">
      <c r="A3273" t="s">
        <v>267</v>
      </c>
      <c r="B3273" s="1">
        <v>46174</v>
      </c>
      <c r="C3273">
        <v>146</v>
      </c>
      <c r="D3273">
        <f t="shared" si="153"/>
        <v>132.4</v>
      </c>
      <c r="E3273">
        <f t="shared" si="154"/>
        <v>5</v>
      </c>
      <c r="F3273">
        <f t="shared" si="155"/>
        <v>9.3150684931506814E-2</v>
      </c>
    </row>
    <row r="3274" spans="1:6" x14ac:dyDescent="0.25">
      <c r="A3274" t="s">
        <v>267</v>
      </c>
      <c r="B3274" s="1">
        <v>46181</v>
      </c>
      <c r="C3274">
        <v>129</v>
      </c>
      <c r="D3274">
        <f t="shared" si="153"/>
        <v>142.4</v>
      </c>
      <c r="E3274">
        <f t="shared" si="154"/>
        <v>5</v>
      </c>
      <c r="F3274">
        <f t="shared" si="155"/>
        <v>0.1038759689922481</v>
      </c>
    </row>
    <row r="3275" spans="1:6" x14ac:dyDescent="0.25">
      <c r="A3275" t="s">
        <v>267</v>
      </c>
      <c r="B3275" s="1">
        <v>46188</v>
      </c>
      <c r="C3275">
        <v>130</v>
      </c>
      <c r="D3275">
        <f t="shared" si="153"/>
        <v>139.80000000000001</v>
      </c>
      <c r="E3275">
        <f t="shared" si="154"/>
        <v>5</v>
      </c>
      <c r="F3275">
        <f t="shared" si="155"/>
        <v>7.5384615384615467E-2</v>
      </c>
    </row>
    <row r="3276" spans="1:6" x14ac:dyDescent="0.25">
      <c r="A3276" t="s">
        <v>267</v>
      </c>
      <c r="B3276" s="1">
        <v>46195</v>
      </c>
      <c r="C3276">
        <v>182</v>
      </c>
      <c r="D3276">
        <f t="shared" si="153"/>
        <v>135.6</v>
      </c>
      <c r="E3276">
        <f t="shared" si="154"/>
        <v>5</v>
      </c>
      <c r="F3276">
        <f t="shared" si="155"/>
        <v>0.25494505494505498</v>
      </c>
    </row>
    <row r="3277" spans="1:6" x14ac:dyDescent="0.25">
      <c r="A3277" t="s">
        <v>267</v>
      </c>
      <c r="B3277" s="1">
        <v>46202</v>
      </c>
      <c r="C3277">
        <v>152</v>
      </c>
      <c r="D3277">
        <f t="shared" si="153"/>
        <v>147</v>
      </c>
      <c r="E3277">
        <f t="shared" si="154"/>
        <v>5</v>
      </c>
      <c r="F3277">
        <f t="shared" si="155"/>
        <v>3.2894736842105261E-2</v>
      </c>
    </row>
    <row r="3278" spans="1:6" x14ac:dyDescent="0.25">
      <c r="A3278" t="s">
        <v>269</v>
      </c>
      <c r="B3278" s="1">
        <v>46027</v>
      </c>
      <c r="C3278">
        <v>75</v>
      </c>
      <c r="D3278" t="str">
        <f t="shared" si="153"/>
        <v/>
      </c>
      <c r="E3278">
        <f t="shared" si="154"/>
        <v>0</v>
      </c>
      <c r="F3278" t="str">
        <f t="shared" si="155"/>
        <v/>
      </c>
    </row>
    <row r="3279" spans="1:6" x14ac:dyDescent="0.25">
      <c r="A3279" t="s">
        <v>269</v>
      </c>
      <c r="B3279" s="1">
        <v>46034</v>
      </c>
      <c r="C3279">
        <v>90</v>
      </c>
      <c r="D3279" t="str">
        <f t="shared" si="153"/>
        <v/>
      </c>
      <c r="E3279">
        <f t="shared" si="154"/>
        <v>1</v>
      </c>
      <c r="F3279" t="str">
        <f t="shared" si="155"/>
        <v/>
      </c>
    </row>
    <row r="3280" spans="1:6" x14ac:dyDescent="0.25">
      <c r="A3280" t="s">
        <v>269</v>
      </c>
      <c r="B3280" s="1">
        <v>46041</v>
      </c>
      <c r="C3280">
        <v>87</v>
      </c>
      <c r="D3280" t="str">
        <f t="shared" si="153"/>
        <v/>
      </c>
      <c r="E3280">
        <f t="shared" si="154"/>
        <v>2</v>
      </c>
      <c r="F3280" t="str">
        <f t="shared" si="155"/>
        <v/>
      </c>
    </row>
    <row r="3281" spans="1:6" x14ac:dyDescent="0.25">
      <c r="A3281" t="s">
        <v>269</v>
      </c>
      <c r="B3281" s="1">
        <v>46048</v>
      </c>
      <c r="C3281">
        <v>92</v>
      </c>
      <c r="D3281" t="str">
        <f t="shared" si="153"/>
        <v/>
      </c>
      <c r="E3281">
        <f t="shared" si="154"/>
        <v>3</v>
      </c>
      <c r="F3281" t="str">
        <f t="shared" si="155"/>
        <v/>
      </c>
    </row>
    <row r="3282" spans="1:6" x14ac:dyDescent="0.25">
      <c r="A3282" t="s">
        <v>269</v>
      </c>
      <c r="B3282" s="1">
        <v>46055</v>
      </c>
      <c r="C3282">
        <v>91</v>
      </c>
      <c r="D3282" t="str">
        <f t="shared" si="153"/>
        <v/>
      </c>
      <c r="E3282">
        <f t="shared" si="154"/>
        <v>4</v>
      </c>
      <c r="F3282" t="str">
        <f t="shared" si="155"/>
        <v/>
      </c>
    </row>
    <row r="3283" spans="1:6" x14ac:dyDescent="0.25">
      <c r="A3283" t="s">
        <v>269</v>
      </c>
      <c r="B3283" s="1">
        <v>46062</v>
      </c>
      <c r="C3283">
        <v>78</v>
      </c>
      <c r="D3283">
        <f t="shared" si="153"/>
        <v>87</v>
      </c>
      <c r="E3283">
        <f t="shared" si="154"/>
        <v>5</v>
      </c>
      <c r="F3283">
        <f t="shared" si="155"/>
        <v>0.11538461538461539</v>
      </c>
    </row>
    <row r="3284" spans="1:6" x14ac:dyDescent="0.25">
      <c r="A3284" t="s">
        <v>269</v>
      </c>
      <c r="B3284" s="1">
        <v>46069</v>
      </c>
      <c r="C3284">
        <v>90</v>
      </c>
      <c r="D3284">
        <f t="shared" si="153"/>
        <v>87.6</v>
      </c>
      <c r="E3284">
        <f t="shared" si="154"/>
        <v>5</v>
      </c>
      <c r="F3284">
        <f t="shared" si="155"/>
        <v>2.6666666666666731E-2</v>
      </c>
    </row>
    <row r="3285" spans="1:6" x14ac:dyDescent="0.25">
      <c r="A3285" t="s">
        <v>269</v>
      </c>
      <c r="B3285" s="1">
        <v>46076</v>
      </c>
      <c r="C3285">
        <v>95</v>
      </c>
      <c r="D3285">
        <f t="shared" si="153"/>
        <v>87.6</v>
      </c>
      <c r="E3285">
        <f t="shared" si="154"/>
        <v>5</v>
      </c>
      <c r="F3285">
        <f t="shared" si="155"/>
        <v>7.7894736842105322E-2</v>
      </c>
    </row>
    <row r="3286" spans="1:6" x14ac:dyDescent="0.25">
      <c r="A3286" t="s">
        <v>269</v>
      </c>
      <c r="B3286" s="1">
        <v>46083</v>
      </c>
      <c r="C3286">
        <v>92</v>
      </c>
      <c r="D3286">
        <f t="shared" si="153"/>
        <v>89.2</v>
      </c>
      <c r="E3286">
        <f t="shared" si="154"/>
        <v>5</v>
      </c>
      <c r="F3286">
        <f t="shared" si="155"/>
        <v>3.0434782608695622E-2</v>
      </c>
    </row>
    <row r="3287" spans="1:6" x14ac:dyDescent="0.25">
      <c r="A3287" t="s">
        <v>269</v>
      </c>
      <c r="B3287" s="1">
        <v>46090</v>
      </c>
      <c r="C3287">
        <v>99</v>
      </c>
      <c r="D3287">
        <f t="shared" si="153"/>
        <v>89.2</v>
      </c>
      <c r="E3287">
        <f t="shared" si="154"/>
        <v>5</v>
      </c>
      <c r="F3287">
        <f t="shared" si="155"/>
        <v>9.8989898989898961E-2</v>
      </c>
    </row>
    <row r="3288" spans="1:6" x14ac:dyDescent="0.25">
      <c r="A3288" t="s">
        <v>269</v>
      </c>
      <c r="B3288" s="1">
        <v>46097</v>
      </c>
      <c r="C3288">
        <v>100</v>
      </c>
      <c r="D3288">
        <f t="shared" si="153"/>
        <v>90.8</v>
      </c>
      <c r="E3288">
        <f t="shared" si="154"/>
        <v>5</v>
      </c>
      <c r="F3288">
        <f t="shared" si="155"/>
        <v>9.2000000000000026E-2</v>
      </c>
    </row>
    <row r="3289" spans="1:6" x14ac:dyDescent="0.25">
      <c r="A3289" t="s">
        <v>269</v>
      </c>
      <c r="B3289" s="1">
        <v>46104</v>
      </c>
      <c r="C3289">
        <v>98</v>
      </c>
      <c r="D3289">
        <f t="shared" si="153"/>
        <v>95.2</v>
      </c>
      <c r="E3289">
        <f t="shared" si="154"/>
        <v>5</v>
      </c>
      <c r="F3289">
        <f t="shared" si="155"/>
        <v>2.8571428571428543E-2</v>
      </c>
    </row>
    <row r="3290" spans="1:6" x14ac:dyDescent="0.25">
      <c r="A3290" t="s">
        <v>269</v>
      </c>
      <c r="B3290" s="1">
        <v>46111</v>
      </c>
      <c r="C3290">
        <v>97</v>
      </c>
      <c r="D3290">
        <f t="shared" si="153"/>
        <v>96.8</v>
      </c>
      <c r="E3290">
        <f t="shared" si="154"/>
        <v>5</v>
      </c>
      <c r="F3290">
        <f t="shared" si="155"/>
        <v>2.0618556701031219E-3</v>
      </c>
    </row>
    <row r="3291" spans="1:6" x14ac:dyDescent="0.25">
      <c r="A3291" t="s">
        <v>269</v>
      </c>
      <c r="B3291" s="1">
        <v>46118</v>
      </c>
      <c r="C3291">
        <v>115</v>
      </c>
      <c r="D3291">
        <f t="shared" si="153"/>
        <v>97.2</v>
      </c>
      <c r="E3291">
        <f t="shared" si="154"/>
        <v>5</v>
      </c>
      <c r="F3291">
        <f t="shared" si="155"/>
        <v>0.15478260869565216</v>
      </c>
    </row>
    <row r="3292" spans="1:6" x14ac:dyDescent="0.25">
      <c r="A3292" t="s">
        <v>269</v>
      </c>
      <c r="B3292" s="1">
        <v>46125</v>
      </c>
      <c r="C3292">
        <v>105</v>
      </c>
      <c r="D3292">
        <f t="shared" si="153"/>
        <v>101.8</v>
      </c>
      <c r="E3292">
        <f t="shared" si="154"/>
        <v>5</v>
      </c>
      <c r="F3292">
        <f t="shared" si="155"/>
        <v>3.0476190476190504E-2</v>
      </c>
    </row>
    <row r="3293" spans="1:6" x14ac:dyDescent="0.25">
      <c r="A3293" t="s">
        <v>269</v>
      </c>
      <c r="B3293" s="1">
        <v>46132</v>
      </c>
      <c r="C3293">
        <v>106</v>
      </c>
      <c r="D3293">
        <f t="shared" si="153"/>
        <v>103</v>
      </c>
      <c r="E3293">
        <f t="shared" si="154"/>
        <v>5</v>
      </c>
      <c r="F3293">
        <f t="shared" si="155"/>
        <v>2.8301886792452831E-2</v>
      </c>
    </row>
    <row r="3294" spans="1:6" x14ac:dyDescent="0.25">
      <c r="A3294" t="s">
        <v>269</v>
      </c>
      <c r="B3294" s="1">
        <v>46139</v>
      </c>
      <c r="C3294">
        <v>109</v>
      </c>
      <c r="D3294">
        <f t="shared" si="153"/>
        <v>104.2</v>
      </c>
      <c r="E3294">
        <f t="shared" si="154"/>
        <v>5</v>
      </c>
      <c r="F3294">
        <f t="shared" si="155"/>
        <v>4.4036697247706397E-2</v>
      </c>
    </row>
    <row r="3295" spans="1:6" x14ac:dyDescent="0.25">
      <c r="A3295" t="s">
        <v>269</v>
      </c>
      <c r="B3295" s="1">
        <v>46146</v>
      </c>
      <c r="C3295">
        <v>108</v>
      </c>
      <c r="D3295">
        <f t="shared" si="153"/>
        <v>106.4</v>
      </c>
      <c r="E3295">
        <f t="shared" si="154"/>
        <v>5</v>
      </c>
      <c r="F3295">
        <f t="shared" si="155"/>
        <v>1.4814814814814762E-2</v>
      </c>
    </row>
    <row r="3296" spans="1:6" x14ac:dyDescent="0.25">
      <c r="A3296" t="s">
        <v>269</v>
      </c>
      <c r="B3296" s="1">
        <v>46153</v>
      </c>
      <c r="C3296">
        <v>92</v>
      </c>
      <c r="D3296">
        <f t="shared" si="153"/>
        <v>108.6</v>
      </c>
      <c r="E3296">
        <f t="shared" si="154"/>
        <v>5</v>
      </c>
      <c r="F3296">
        <f t="shared" si="155"/>
        <v>0.18043478260869558</v>
      </c>
    </row>
    <row r="3297" spans="1:6" x14ac:dyDescent="0.25">
      <c r="A3297" t="s">
        <v>269</v>
      </c>
      <c r="B3297" s="1">
        <v>46160</v>
      </c>
      <c r="C3297">
        <v>105</v>
      </c>
      <c r="D3297">
        <f t="shared" si="153"/>
        <v>104</v>
      </c>
      <c r="E3297">
        <f t="shared" si="154"/>
        <v>5</v>
      </c>
      <c r="F3297">
        <f t="shared" si="155"/>
        <v>9.5238095238095247E-3</v>
      </c>
    </row>
    <row r="3298" spans="1:6" x14ac:dyDescent="0.25">
      <c r="A3298" t="s">
        <v>269</v>
      </c>
      <c r="B3298" s="1">
        <v>46167</v>
      </c>
      <c r="C3298">
        <v>112</v>
      </c>
      <c r="D3298">
        <f t="shared" si="153"/>
        <v>104</v>
      </c>
      <c r="E3298">
        <f t="shared" si="154"/>
        <v>5</v>
      </c>
      <c r="F3298">
        <f t="shared" si="155"/>
        <v>7.1428571428571425E-2</v>
      </c>
    </row>
    <row r="3299" spans="1:6" x14ac:dyDescent="0.25">
      <c r="A3299" t="s">
        <v>269</v>
      </c>
      <c r="B3299" s="1">
        <v>46174</v>
      </c>
      <c r="C3299">
        <v>115</v>
      </c>
      <c r="D3299">
        <f t="shared" si="153"/>
        <v>105.2</v>
      </c>
      <c r="E3299">
        <f t="shared" si="154"/>
        <v>5</v>
      </c>
      <c r="F3299">
        <f t="shared" si="155"/>
        <v>8.52173913043478E-2</v>
      </c>
    </row>
    <row r="3300" spans="1:6" x14ac:dyDescent="0.25">
      <c r="A3300" t="s">
        <v>269</v>
      </c>
      <c r="B3300" s="1">
        <v>46181</v>
      </c>
      <c r="C3300">
        <v>112</v>
      </c>
      <c r="D3300">
        <f t="shared" si="153"/>
        <v>106.4</v>
      </c>
      <c r="E3300">
        <f t="shared" si="154"/>
        <v>5</v>
      </c>
      <c r="F3300">
        <f t="shared" si="155"/>
        <v>4.9999999999999947E-2</v>
      </c>
    </row>
    <row r="3301" spans="1:6" x14ac:dyDescent="0.25">
      <c r="A3301" t="s">
        <v>269</v>
      </c>
      <c r="B3301" s="1">
        <v>46188</v>
      </c>
      <c r="C3301">
        <v>104</v>
      </c>
      <c r="D3301">
        <f t="shared" si="153"/>
        <v>107.2</v>
      </c>
      <c r="E3301">
        <f t="shared" si="154"/>
        <v>5</v>
      </c>
      <c r="F3301">
        <f t="shared" si="155"/>
        <v>3.0769230769230795E-2</v>
      </c>
    </row>
    <row r="3302" spans="1:6" x14ac:dyDescent="0.25">
      <c r="A3302" t="s">
        <v>269</v>
      </c>
      <c r="B3302" s="1">
        <v>46195</v>
      </c>
      <c r="C3302">
        <v>112</v>
      </c>
      <c r="D3302">
        <f t="shared" si="153"/>
        <v>109.6</v>
      </c>
      <c r="E3302">
        <f t="shared" si="154"/>
        <v>5</v>
      </c>
      <c r="F3302">
        <f t="shared" si="155"/>
        <v>2.1428571428571481E-2</v>
      </c>
    </row>
    <row r="3303" spans="1:6" x14ac:dyDescent="0.25">
      <c r="A3303" t="s">
        <v>269</v>
      </c>
      <c r="B3303" s="1">
        <v>46202</v>
      </c>
      <c r="C3303">
        <v>119</v>
      </c>
      <c r="D3303">
        <f t="shared" si="153"/>
        <v>111</v>
      </c>
      <c r="E3303">
        <f t="shared" si="154"/>
        <v>5</v>
      </c>
      <c r="F3303">
        <f t="shared" si="155"/>
        <v>6.7226890756302518E-2</v>
      </c>
    </row>
    <row r="3304" spans="1:6" x14ac:dyDescent="0.25">
      <c r="A3304" t="s">
        <v>271</v>
      </c>
      <c r="B3304" s="1">
        <v>46027</v>
      </c>
      <c r="C3304">
        <v>43</v>
      </c>
      <c r="D3304" t="str">
        <f t="shared" si="153"/>
        <v/>
      </c>
      <c r="E3304">
        <f t="shared" si="154"/>
        <v>0</v>
      </c>
      <c r="F3304" t="str">
        <f t="shared" si="155"/>
        <v/>
      </c>
    </row>
    <row r="3305" spans="1:6" x14ac:dyDescent="0.25">
      <c r="A3305" t="s">
        <v>271</v>
      </c>
      <c r="B3305" s="1">
        <v>46034</v>
      </c>
      <c r="C3305">
        <v>46</v>
      </c>
      <c r="D3305" t="str">
        <f t="shared" si="153"/>
        <v/>
      </c>
      <c r="E3305">
        <f t="shared" si="154"/>
        <v>1</v>
      </c>
      <c r="F3305" t="str">
        <f t="shared" si="155"/>
        <v/>
      </c>
    </row>
    <row r="3306" spans="1:6" x14ac:dyDescent="0.25">
      <c r="A3306" t="s">
        <v>271</v>
      </c>
      <c r="B3306" s="1">
        <v>46041</v>
      </c>
      <c r="C3306">
        <v>61</v>
      </c>
      <c r="D3306" t="str">
        <f t="shared" si="153"/>
        <v/>
      </c>
      <c r="E3306">
        <f t="shared" si="154"/>
        <v>2</v>
      </c>
      <c r="F3306" t="str">
        <f t="shared" si="155"/>
        <v/>
      </c>
    </row>
    <row r="3307" spans="1:6" x14ac:dyDescent="0.25">
      <c r="A3307" t="s">
        <v>271</v>
      </c>
      <c r="B3307" s="1">
        <v>46048</v>
      </c>
      <c r="C3307">
        <v>43</v>
      </c>
      <c r="D3307" t="str">
        <f t="shared" si="153"/>
        <v/>
      </c>
      <c r="E3307">
        <f t="shared" si="154"/>
        <v>3</v>
      </c>
      <c r="F3307" t="str">
        <f t="shared" si="155"/>
        <v/>
      </c>
    </row>
    <row r="3308" spans="1:6" x14ac:dyDescent="0.25">
      <c r="A3308" t="s">
        <v>271</v>
      </c>
      <c r="B3308" s="1">
        <v>46055</v>
      </c>
      <c r="C3308">
        <v>47</v>
      </c>
      <c r="D3308" t="str">
        <f t="shared" si="153"/>
        <v/>
      </c>
      <c r="E3308">
        <f t="shared" si="154"/>
        <v>4</v>
      </c>
      <c r="F3308" t="str">
        <f t="shared" si="155"/>
        <v/>
      </c>
    </row>
    <row r="3309" spans="1:6" x14ac:dyDescent="0.25">
      <c r="A3309" t="s">
        <v>271</v>
      </c>
      <c r="B3309" s="1">
        <v>46062</v>
      </c>
      <c r="C3309">
        <v>43</v>
      </c>
      <c r="D3309">
        <f t="shared" si="153"/>
        <v>48</v>
      </c>
      <c r="E3309">
        <f t="shared" si="154"/>
        <v>5</v>
      </c>
      <c r="F3309">
        <f t="shared" si="155"/>
        <v>0.11627906976744186</v>
      </c>
    </row>
    <row r="3310" spans="1:6" x14ac:dyDescent="0.25">
      <c r="A3310" t="s">
        <v>271</v>
      </c>
      <c r="B3310" s="1">
        <v>46069</v>
      </c>
      <c r="C3310">
        <v>50</v>
      </c>
      <c r="D3310">
        <f t="shared" si="153"/>
        <v>48</v>
      </c>
      <c r="E3310">
        <f t="shared" si="154"/>
        <v>5</v>
      </c>
      <c r="F3310">
        <f t="shared" si="155"/>
        <v>0.04</v>
      </c>
    </row>
    <row r="3311" spans="1:6" x14ac:dyDescent="0.25">
      <c r="A3311" t="s">
        <v>271</v>
      </c>
      <c r="B3311" s="1">
        <v>46076</v>
      </c>
      <c r="C3311">
        <v>54</v>
      </c>
      <c r="D3311">
        <f t="shared" si="153"/>
        <v>48.8</v>
      </c>
      <c r="E3311">
        <f t="shared" si="154"/>
        <v>5</v>
      </c>
      <c r="F3311">
        <f t="shared" si="155"/>
        <v>9.6296296296296352E-2</v>
      </c>
    </row>
    <row r="3312" spans="1:6" x14ac:dyDescent="0.25">
      <c r="A3312" t="s">
        <v>271</v>
      </c>
      <c r="B3312" s="1">
        <v>46083</v>
      </c>
      <c r="C3312">
        <v>55</v>
      </c>
      <c r="D3312">
        <f t="shared" si="153"/>
        <v>47.4</v>
      </c>
      <c r="E3312">
        <f t="shared" si="154"/>
        <v>5</v>
      </c>
      <c r="F3312">
        <f t="shared" si="155"/>
        <v>0.13818181818181821</v>
      </c>
    </row>
    <row r="3313" spans="1:6" x14ac:dyDescent="0.25">
      <c r="A3313" t="s">
        <v>271</v>
      </c>
      <c r="B3313" s="1">
        <v>46090</v>
      </c>
      <c r="C3313">
        <v>42</v>
      </c>
      <c r="D3313">
        <f t="shared" si="153"/>
        <v>49.8</v>
      </c>
      <c r="E3313">
        <f t="shared" si="154"/>
        <v>5</v>
      </c>
      <c r="F3313">
        <f t="shared" si="155"/>
        <v>0.18571428571428564</v>
      </c>
    </row>
    <row r="3314" spans="1:6" x14ac:dyDescent="0.25">
      <c r="A3314" t="s">
        <v>271</v>
      </c>
      <c r="B3314" s="1">
        <v>46097</v>
      </c>
      <c r="C3314">
        <v>49</v>
      </c>
      <c r="D3314">
        <f t="shared" si="153"/>
        <v>48.8</v>
      </c>
      <c r="E3314">
        <f t="shared" si="154"/>
        <v>5</v>
      </c>
      <c r="F3314">
        <f t="shared" si="155"/>
        <v>4.0816326530612821E-3</v>
      </c>
    </row>
    <row r="3315" spans="1:6" x14ac:dyDescent="0.25">
      <c r="A3315" t="s">
        <v>271</v>
      </c>
      <c r="B3315" s="1">
        <v>46104</v>
      </c>
      <c r="C3315">
        <v>55</v>
      </c>
      <c r="D3315">
        <f t="shared" si="153"/>
        <v>50</v>
      </c>
      <c r="E3315">
        <f t="shared" si="154"/>
        <v>5</v>
      </c>
      <c r="F3315">
        <f t="shared" si="155"/>
        <v>9.0909090909090912E-2</v>
      </c>
    </row>
    <row r="3316" spans="1:6" x14ac:dyDescent="0.25">
      <c r="A3316" t="s">
        <v>271</v>
      </c>
      <c r="B3316" s="1">
        <v>46111</v>
      </c>
      <c r="C3316">
        <v>56</v>
      </c>
      <c r="D3316">
        <f t="shared" si="153"/>
        <v>51</v>
      </c>
      <c r="E3316">
        <f t="shared" si="154"/>
        <v>5</v>
      </c>
      <c r="F3316">
        <f t="shared" si="155"/>
        <v>8.9285714285714288E-2</v>
      </c>
    </row>
    <row r="3317" spans="1:6" x14ac:dyDescent="0.25">
      <c r="A3317" t="s">
        <v>271</v>
      </c>
      <c r="B3317" s="1">
        <v>46118</v>
      </c>
      <c r="C3317">
        <v>44</v>
      </c>
      <c r="D3317">
        <f t="shared" si="153"/>
        <v>51.4</v>
      </c>
      <c r="E3317">
        <f t="shared" si="154"/>
        <v>5</v>
      </c>
      <c r="F3317">
        <f t="shared" si="155"/>
        <v>0.16818181818181815</v>
      </c>
    </row>
    <row r="3318" spans="1:6" x14ac:dyDescent="0.25">
      <c r="A3318" t="s">
        <v>271</v>
      </c>
      <c r="B3318" s="1">
        <v>46125</v>
      </c>
      <c r="C3318">
        <v>61</v>
      </c>
      <c r="D3318">
        <f t="shared" si="153"/>
        <v>49.2</v>
      </c>
      <c r="E3318">
        <f t="shared" si="154"/>
        <v>5</v>
      </c>
      <c r="F3318">
        <f t="shared" si="155"/>
        <v>0.19344262295081963</v>
      </c>
    </row>
    <row r="3319" spans="1:6" x14ac:dyDescent="0.25">
      <c r="A3319" t="s">
        <v>271</v>
      </c>
      <c r="B3319" s="1">
        <v>46132</v>
      </c>
      <c r="C3319">
        <v>52</v>
      </c>
      <c r="D3319">
        <f t="shared" si="153"/>
        <v>53</v>
      </c>
      <c r="E3319">
        <f t="shared" si="154"/>
        <v>5</v>
      </c>
      <c r="F3319">
        <f t="shared" si="155"/>
        <v>1.9230769230769232E-2</v>
      </c>
    </row>
    <row r="3320" spans="1:6" x14ac:dyDescent="0.25">
      <c r="A3320" t="s">
        <v>271</v>
      </c>
      <c r="B3320" s="1">
        <v>46139</v>
      </c>
      <c r="C3320">
        <v>61</v>
      </c>
      <c r="D3320">
        <f t="shared" si="153"/>
        <v>53.6</v>
      </c>
      <c r="E3320">
        <f t="shared" si="154"/>
        <v>5</v>
      </c>
      <c r="F3320">
        <f t="shared" si="155"/>
        <v>0.12131147540983604</v>
      </c>
    </row>
    <row r="3321" spans="1:6" x14ac:dyDescent="0.25">
      <c r="A3321" t="s">
        <v>271</v>
      </c>
      <c r="B3321" s="1">
        <v>46146</v>
      </c>
      <c r="C3321">
        <v>51</v>
      </c>
      <c r="D3321">
        <f t="shared" si="153"/>
        <v>54.8</v>
      </c>
      <c r="E3321">
        <f t="shared" si="154"/>
        <v>5</v>
      </c>
      <c r="F3321">
        <f t="shared" si="155"/>
        <v>7.4509803921568571E-2</v>
      </c>
    </row>
    <row r="3322" spans="1:6" x14ac:dyDescent="0.25">
      <c r="A3322" t="s">
        <v>271</v>
      </c>
      <c r="B3322" s="1">
        <v>46153</v>
      </c>
      <c r="C3322">
        <v>58</v>
      </c>
      <c r="D3322">
        <f t="shared" si="153"/>
        <v>53.8</v>
      </c>
      <c r="E3322">
        <f t="shared" si="154"/>
        <v>5</v>
      </c>
      <c r="F3322">
        <f t="shared" si="155"/>
        <v>7.2413793103448323E-2</v>
      </c>
    </row>
    <row r="3323" spans="1:6" x14ac:dyDescent="0.25">
      <c r="A3323" t="s">
        <v>271</v>
      </c>
      <c r="B3323" s="1">
        <v>46160</v>
      </c>
      <c r="C3323">
        <v>56</v>
      </c>
      <c r="D3323">
        <f t="shared" si="153"/>
        <v>56.6</v>
      </c>
      <c r="E3323">
        <f t="shared" si="154"/>
        <v>5</v>
      </c>
      <c r="F3323">
        <f t="shared" si="155"/>
        <v>1.071428571428574E-2</v>
      </c>
    </row>
    <row r="3324" spans="1:6" x14ac:dyDescent="0.25">
      <c r="A3324" t="s">
        <v>271</v>
      </c>
      <c r="B3324" s="1">
        <v>46167</v>
      </c>
      <c r="C3324">
        <v>47</v>
      </c>
      <c r="D3324">
        <f t="shared" si="153"/>
        <v>55.6</v>
      </c>
      <c r="E3324">
        <f t="shared" si="154"/>
        <v>5</v>
      </c>
      <c r="F3324">
        <f t="shared" si="155"/>
        <v>0.18297872340425536</v>
      </c>
    </row>
    <row r="3325" spans="1:6" x14ac:dyDescent="0.25">
      <c r="A3325" t="s">
        <v>271</v>
      </c>
      <c r="B3325" s="1">
        <v>46174</v>
      </c>
      <c r="C3325">
        <v>58</v>
      </c>
      <c r="D3325">
        <f t="shared" si="153"/>
        <v>54.6</v>
      </c>
      <c r="E3325">
        <f t="shared" si="154"/>
        <v>5</v>
      </c>
      <c r="F3325">
        <f t="shared" si="155"/>
        <v>5.8620689655172392E-2</v>
      </c>
    </row>
    <row r="3326" spans="1:6" x14ac:dyDescent="0.25">
      <c r="A3326" t="s">
        <v>271</v>
      </c>
      <c r="B3326" s="1">
        <v>46181</v>
      </c>
      <c r="C3326">
        <v>54</v>
      </c>
      <c r="D3326">
        <f t="shared" si="153"/>
        <v>54</v>
      </c>
      <c r="E3326">
        <f t="shared" si="154"/>
        <v>5</v>
      </c>
      <c r="F3326">
        <f t="shared" si="155"/>
        <v>0</v>
      </c>
    </row>
    <row r="3327" spans="1:6" x14ac:dyDescent="0.25">
      <c r="A3327" t="s">
        <v>271</v>
      </c>
      <c r="B3327" s="1">
        <v>46188</v>
      </c>
      <c r="C3327">
        <v>44</v>
      </c>
      <c r="D3327">
        <f t="shared" si="153"/>
        <v>54.6</v>
      </c>
      <c r="E3327">
        <f t="shared" si="154"/>
        <v>5</v>
      </c>
      <c r="F3327">
        <f t="shared" si="155"/>
        <v>0.24090909090909093</v>
      </c>
    </row>
    <row r="3328" spans="1:6" x14ac:dyDescent="0.25">
      <c r="A3328" t="s">
        <v>271</v>
      </c>
      <c r="B3328" s="1">
        <v>46195</v>
      </c>
      <c r="C3328">
        <v>57</v>
      </c>
      <c r="D3328">
        <f t="shared" si="153"/>
        <v>51.8</v>
      </c>
      <c r="E3328">
        <f t="shared" si="154"/>
        <v>5</v>
      </c>
      <c r="F3328">
        <f t="shared" si="155"/>
        <v>9.1228070175438644E-2</v>
      </c>
    </row>
    <row r="3329" spans="1:6" x14ac:dyDescent="0.25">
      <c r="A3329" t="s">
        <v>271</v>
      </c>
      <c r="B3329" s="1">
        <v>46202</v>
      </c>
      <c r="C3329">
        <v>58</v>
      </c>
      <c r="D3329">
        <f t="shared" si="153"/>
        <v>52</v>
      </c>
      <c r="E3329">
        <f t="shared" si="154"/>
        <v>5</v>
      </c>
      <c r="F3329">
        <f t="shared" si="155"/>
        <v>0.10344827586206896</v>
      </c>
    </row>
    <row r="3330" spans="1:6" x14ac:dyDescent="0.25">
      <c r="A3330" t="s">
        <v>273</v>
      </c>
      <c r="B3330" s="1">
        <v>46027</v>
      </c>
      <c r="C3330">
        <v>102</v>
      </c>
      <c r="D3330" t="str">
        <f t="shared" ref="D3330:D3393" si="156">IF(E3330 &lt; 5, "", AVERAGEIFS(C:C, A:A, A3330, B:B, "&gt;=" &amp; (B3330-35), B:B, "&lt;=" &amp; (B3330-7)))</f>
        <v/>
      </c>
      <c r="E3330">
        <f t="shared" ref="E3330:E3393" si="157">COUNTIFS(A:A, A3330, B:B, "&gt;=" &amp; (B3330-35), B:B, "&lt;=" &amp; (B3330-7))</f>
        <v>0</v>
      </c>
      <c r="F3330" t="str">
        <f t="shared" ref="F3330:F3393" si="158">IF(OR(C3330=0, D3330=""), "", ABS(C3330 - D3330) / C3330)</f>
        <v/>
      </c>
    </row>
    <row r="3331" spans="1:6" x14ac:dyDescent="0.25">
      <c r="A3331" t="s">
        <v>273</v>
      </c>
      <c r="B3331" s="1">
        <v>46034</v>
      </c>
      <c r="C3331">
        <v>119</v>
      </c>
      <c r="D3331" t="str">
        <f t="shared" si="156"/>
        <v/>
      </c>
      <c r="E3331">
        <f t="shared" si="157"/>
        <v>1</v>
      </c>
      <c r="F3331" t="str">
        <f t="shared" si="158"/>
        <v/>
      </c>
    </row>
    <row r="3332" spans="1:6" x14ac:dyDescent="0.25">
      <c r="A3332" t="s">
        <v>273</v>
      </c>
      <c r="B3332" s="1">
        <v>46041</v>
      </c>
      <c r="C3332">
        <v>81</v>
      </c>
      <c r="D3332" t="str">
        <f t="shared" si="156"/>
        <v/>
      </c>
      <c r="E3332">
        <f t="shared" si="157"/>
        <v>2</v>
      </c>
      <c r="F3332" t="str">
        <f t="shared" si="158"/>
        <v/>
      </c>
    </row>
    <row r="3333" spans="1:6" x14ac:dyDescent="0.25">
      <c r="A3333" t="s">
        <v>273</v>
      </c>
      <c r="B3333" s="1">
        <v>46048</v>
      </c>
      <c r="C3333">
        <v>129</v>
      </c>
      <c r="D3333" t="str">
        <f t="shared" si="156"/>
        <v/>
      </c>
      <c r="E3333">
        <f t="shared" si="157"/>
        <v>3</v>
      </c>
      <c r="F3333" t="str">
        <f t="shared" si="158"/>
        <v/>
      </c>
    </row>
    <row r="3334" spans="1:6" x14ac:dyDescent="0.25">
      <c r="A3334" t="s">
        <v>273</v>
      </c>
      <c r="B3334" s="1">
        <v>46055</v>
      </c>
      <c r="C3334">
        <v>129</v>
      </c>
      <c r="D3334" t="str">
        <f t="shared" si="156"/>
        <v/>
      </c>
      <c r="E3334">
        <f t="shared" si="157"/>
        <v>4</v>
      </c>
      <c r="F3334" t="str">
        <f t="shared" si="158"/>
        <v/>
      </c>
    </row>
    <row r="3335" spans="1:6" x14ac:dyDescent="0.25">
      <c r="A3335" t="s">
        <v>273</v>
      </c>
      <c r="B3335" s="1">
        <v>46062</v>
      </c>
      <c r="C3335">
        <v>97</v>
      </c>
      <c r="D3335">
        <f t="shared" si="156"/>
        <v>112</v>
      </c>
      <c r="E3335">
        <f t="shared" si="157"/>
        <v>5</v>
      </c>
      <c r="F3335">
        <f t="shared" si="158"/>
        <v>0.15463917525773196</v>
      </c>
    </row>
    <row r="3336" spans="1:6" x14ac:dyDescent="0.25">
      <c r="A3336" t="s">
        <v>273</v>
      </c>
      <c r="B3336" s="1">
        <v>46069</v>
      </c>
      <c r="C3336">
        <v>148</v>
      </c>
      <c r="D3336">
        <f t="shared" si="156"/>
        <v>111</v>
      </c>
      <c r="E3336">
        <f t="shared" si="157"/>
        <v>5</v>
      </c>
      <c r="F3336">
        <f t="shared" si="158"/>
        <v>0.25</v>
      </c>
    </row>
    <row r="3337" spans="1:6" x14ac:dyDescent="0.25">
      <c r="A3337" t="s">
        <v>273</v>
      </c>
      <c r="B3337" s="1">
        <v>46076</v>
      </c>
      <c r="C3337">
        <v>120</v>
      </c>
      <c r="D3337">
        <f t="shared" si="156"/>
        <v>116.8</v>
      </c>
      <c r="E3337">
        <f t="shared" si="157"/>
        <v>5</v>
      </c>
      <c r="F3337">
        <f t="shared" si="158"/>
        <v>2.6666666666666689E-2</v>
      </c>
    </row>
    <row r="3338" spans="1:6" x14ac:dyDescent="0.25">
      <c r="A3338" t="s">
        <v>273</v>
      </c>
      <c r="B3338" s="1">
        <v>46083</v>
      </c>
      <c r="C3338">
        <v>89</v>
      </c>
      <c r="D3338">
        <f t="shared" si="156"/>
        <v>124.6</v>
      </c>
      <c r="E3338">
        <f t="shared" si="157"/>
        <v>5</v>
      </c>
      <c r="F3338">
        <f t="shared" si="158"/>
        <v>0.39999999999999991</v>
      </c>
    </row>
    <row r="3339" spans="1:6" x14ac:dyDescent="0.25">
      <c r="A3339" t="s">
        <v>273</v>
      </c>
      <c r="B3339" s="1">
        <v>46090</v>
      </c>
      <c r="C3339">
        <v>97</v>
      </c>
      <c r="D3339">
        <f t="shared" si="156"/>
        <v>116.6</v>
      </c>
      <c r="E3339">
        <f t="shared" si="157"/>
        <v>5</v>
      </c>
      <c r="F3339">
        <f t="shared" si="158"/>
        <v>0.20206185567010304</v>
      </c>
    </row>
    <row r="3340" spans="1:6" x14ac:dyDescent="0.25">
      <c r="A3340" t="s">
        <v>273</v>
      </c>
      <c r="B3340" s="1">
        <v>46097</v>
      </c>
      <c r="C3340">
        <v>138</v>
      </c>
      <c r="D3340">
        <f t="shared" si="156"/>
        <v>110.2</v>
      </c>
      <c r="E3340">
        <f t="shared" si="157"/>
        <v>5</v>
      </c>
      <c r="F3340">
        <f t="shared" si="158"/>
        <v>0.20144927536231882</v>
      </c>
    </row>
    <row r="3341" spans="1:6" x14ac:dyDescent="0.25">
      <c r="A3341" t="s">
        <v>273</v>
      </c>
      <c r="B3341" s="1">
        <v>46104</v>
      </c>
      <c r="C3341">
        <v>119</v>
      </c>
      <c r="D3341">
        <f t="shared" si="156"/>
        <v>118.4</v>
      </c>
      <c r="E3341">
        <f t="shared" si="157"/>
        <v>5</v>
      </c>
      <c r="F3341">
        <f t="shared" si="158"/>
        <v>5.0420168067226417E-3</v>
      </c>
    </row>
    <row r="3342" spans="1:6" x14ac:dyDescent="0.25">
      <c r="A3342" t="s">
        <v>273</v>
      </c>
      <c r="B3342" s="1">
        <v>46111</v>
      </c>
      <c r="C3342">
        <v>145</v>
      </c>
      <c r="D3342">
        <f t="shared" si="156"/>
        <v>112.6</v>
      </c>
      <c r="E3342">
        <f t="shared" si="157"/>
        <v>5</v>
      </c>
      <c r="F3342">
        <f t="shared" si="158"/>
        <v>0.223448275862069</v>
      </c>
    </row>
    <row r="3343" spans="1:6" x14ac:dyDescent="0.25">
      <c r="A3343" t="s">
        <v>273</v>
      </c>
      <c r="B3343" s="1">
        <v>46118</v>
      </c>
      <c r="C3343">
        <v>99</v>
      </c>
      <c r="D3343">
        <f t="shared" si="156"/>
        <v>117.6</v>
      </c>
      <c r="E3343">
        <f t="shared" si="157"/>
        <v>5</v>
      </c>
      <c r="F3343">
        <f t="shared" si="158"/>
        <v>0.18787878787878781</v>
      </c>
    </row>
    <row r="3344" spans="1:6" x14ac:dyDescent="0.25">
      <c r="A3344" t="s">
        <v>273</v>
      </c>
      <c r="B3344" s="1">
        <v>46125</v>
      </c>
      <c r="C3344">
        <v>127</v>
      </c>
      <c r="D3344">
        <f t="shared" si="156"/>
        <v>119.6</v>
      </c>
      <c r="E3344">
        <f t="shared" si="157"/>
        <v>5</v>
      </c>
      <c r="F3344">
        <f t="shared" si="158"/>
        <v>5.8267716535433119E-2</v>
      </c>
    </row>
    <row r="3345" spans="1:6" x14ac:dyDescent="0.25">
      <c r="A3345" t="s">
        <v>273</v>
      </c>
      <c r="B3345" s="1">
        <v>46132</v>
      </c>
      <c r="C3345">
        <v>147</v>
      </c>
      <c r="D3345">
        <f t="shared" si="156"/>
        <v>125.6</v>
      </c>
      <c r="E3345">
        <f t="shared" si="157"/>
        <v>5</v>
      </c>
      <c r="F3345">
        <f t="shared" si="158"/>
        <v>0.14557823129251704</v>
      </c>
    </row>
    <row r="3346" spans="1:6" x14ac:dyDescent="0.25">
      <c r="A3346" t="s">
        <v>273</v>
      </c>
      <c r="B3346" s="1">
        <v>46139</v>
      </c>
      <c r="C3346">
        <v>119</v>
      </c>
      <c r="D3346">
        <f t="shared" si="156"/>
        <v>127.4</v>
      </c>
      <c r="E3346">
        <f t="shared" si="157"/>
        <v>5</v>
      </c>
      <c r="F3346">
        <f t="shared" si="158"/>
        <v>7.0588235294117702E-2</v>
      </c>
    </row>
    <row r="3347" spans="1:6" x14ac:dyDescent="0.25">
      <c r="A3347" t="s">
        <v>273</v>
      </c>
      <c r="B3347" s="1">
        <v>46146</v>
      </c>
      <c r="C3347">
        <v>145</v>
      </c>
      <c r="D3347">
        <f t="shared" si="156"/>
        <v>127.4</v>
      </c>
      <c r="E3347">
        <f t="shared" si="157"/>
        <v>5</v>
      </c>
      <c r="F3347">
        <f t="shared" si="158"/>
        <v>0.12137931034482755</v>
      </c>
    </row>
    <row r="3348" spans="1:6" x14ac:dyDescent="0.25">
      <c r="A3348" t="s">
        <v>273</v>
      </c>
      <c r="B3348" s="1">
        <v>46153</v>
      </c>
      <c r="C3348">
        <v>128</v>
      </c>
      <c r="D3348">
        <f t="shared" si="156"/>
        <v>127.4</v>
      </c>
      <c r="E3348">
        <f t="shared" si="157"/>
        <v>5</v>
      </c>
      <c r="F3348">
        <f t="shared" si="158"/>
        <v>4.6874999999999556E-3</v>
      </c>
    </row>
    <row r="3349" spans="1:6" x14ac:dyDescent="0.25">
      <c r="A3349" t="s">
        <v>273</v>
      </c>
      <c r="B3349" s="1">
        <v>46160</v>
      </c>
      <c r="C3349">
        <v>142</v>
      </c>
      <c r="D3349">
        <f t="shared" si="156"/>
        <v>133.19999999999999</v>
      </c>
      <c r="E3349">
        <f t="shared" si="157"/>
        <v>5</v>
      </c>
      <c r="F3349">
        <f t="shared" si="158"/>
        <v>6.197183098591557E-2</v>
      </c>
    </row>
    <row r="3350" spans="1:6" x14ac:dyDescent="0.25">
      <c r="A3350" t="s">
        <v>273</v>
      </c>
      <c r="B3350" s="1">
        <v>46167</v>
      </c>
      <c r="C3350">
        <v>143</v>
      </c>
      <c r="D3350">
        <f t="shared" si="156"/>
        <v>136.19999999999999</v>
      </c>
      <c r="E3350">
        <f t="shared" si="157"/>
        <v>5</v>
      </c>
      <c r="F3350">
        <f t="shared" si="158"/>
        <v>4.7552447552447634E-2</v>
      </c>
    </row>
    <row r="3351" spans="1:6" x14ac:dyDescent="0.25">
      <c r="A3351" t="s">
        <v>273</v>
      </c>
      <c r="B3351" s="1">
        <v>46174</v>
      </c>
      <c r="C3351">
        <v>178</v>
      </c>
      <c r="D3351">
        <f t="shared" si="156"/>
        <v>135.4</v>
      </c>
      <c r="E3351">
        <f t="shared" si="157"/>
        <v>5</v>
      </c>
      <c r="F3351">
        <f t="shared" si="158"/>
        <v>0.23932584269662918</v>
      </c>
    </row>
    <row r="3352" spans="1:6" x14ac:dyDescent="0.25">
      <c r="A3352" t="s">
        <v>273</v>
      </c>
      <c r="B3352" s="1">
        <v>46181</v>
      </c>
      <c r="C3352">
        <v>118</v>
      </c>
      <c r="D3352">
        <f t="shared" si="156"/>
        <v>147.19999999999999</v>
      </c>
      <c r="E3352">
        <f t="shared" si="157"/>
        <v>5</v>
      </c>
      <c r="F3352">
        <f t="shared" si="158"/>
        <v>0.24745762711864397</v>
      </c>
    </row>
    <row r="3353" spans="1:6" x14ac:dyDescent="0.25">
      <c r="A3353" t="s">
        <v>273</v>
      </c>
      <c r="B3353" s="1">
        <v>46188</v>
      </c>
      <c r="C3353">
        <v>155</v>
      </c>
      <c r="D3353">
        <f t="shared" si="156"/>
        <v>141.80000000000001</v>
      </c>
      <c r="E3353">
        <f t="shared" si="157"/>
        <v>5</v>
      </c>
      <c r="F3353">
        <f t="shared" si="158"/>
        <v>8.5161290322580574E-2</v>
      </c>
    </row>
    <row r="3354" spans="1:6" x14ac:dyDescent="0.25">
      <c r="A3354" t="s">
        <v>273</v>
      </c>
      <c r="B3354" s="1">
        <v>46195</v>
      </c>
      <c r="C3354">
        <v>166</v>
      </c>
      <c r="D3354">
        <f t="shared" si="156"/>
        <v>147.19999999999999</v>
      </c>
      <c r="E3354">
        <f t="shared" si="157"/>
        <v>5</v>
      </c>
      <c r="F3354">
        <f t="shared" si="158"/>
        <v>0.11325301204819284</v>
      </c>
    </row>
    <row r="3355" spans="1:6" x14ac:dyDescent="0.25">
      <c r="A3355" t="s">
        <v>273</v>
      </c>
      <c r="B3355" s="1">
        <v>46202</v>
      </c>
      <c r="C3355">
        <v>124</v>
      </c>
      <c r="D3355">
        <f t="shared" si="156"/>
        <v>152</v>
      </c>
      <c r="E3355">
        <f t="shared" si="157"/>
        <v>5</v>
      </c>
      <c r="F3355">
        <f t="shared" si="158"/>
        <v>0.22580645161290322</v>
      </c>
    </row>
    <row r="3356" spans="1:6" x14ac:dyDescent="0.25">
      <c r="A3356" t="s">
        <v>275</v>
      </c>
      <c r="B3356" s="1">
        <v>46027</v>
      </c>
      <c r="C3356">
        <v>41</v>
      </c>
      <c r="D3356" t="str">
        <f t="shared" si="156"/>
        <v/>
      </c>
      <c r="E3356">
        <f t="shared" si="157"/>
        <v>0</v>
      </c>
      <c r="F3356" t="str">
        <f t="shared" si="158"/>
        <v/>
      </c>
    </row>
    <row r="3357" spans="1:6" x14ac:dyDescent="0.25">
      <c r="A3357" t="s">
        <v>275</v>
      </c>
      <c r="B3357" s="1">
        <v>46034</v>
      </c>
      <c r="C3357">
        <v>41</v>
      </c>
      <c r="D3357" t="str">
        <f t="shared" si="156"/>
        <v/>
      </c>
      <c r="E3357">
        <f t="shared" si="157"/>
        <v>1</v>
      </c>
      <c r="F3357" t="str">
        <f t="shared" si="158"/>
        <v/>
      </c>
    </row>
    <row r="3358" spans="1:6" x14ac:dyDescent="0.25">
      <c r="A3358" t="s">
        <v>275</v>
      </c>
      <c r="B3358" s="1">
        <v>46041</v>
      </c>
      <c r="C3358">
        <v>58</v>
      </c>
      <c r="D3358" t="str">
        <f t="shared" si="156"/>
        <v/>
      </c>
      <c r="E3358">
        <f t="shared" si="157"/>
        <v>2</v>
      </c>
      <c r="F3358" t="str">
        <f t="shared" si="158"/>
        <v/>
      </c>
    </row>
    <row r="3359" spans="1:6" x14ac:dyDescent="0.25">
      <c r="A3359" t="s">
        <v>275</v>
      </c>
      <c r="B3359" s="1">
        <v>46048</v>
      </c>
      <c r="C3359">
        <v>39</v>
      </c>
      <c r="D3359" t="str">
        <f t="shared" si="156"/>
        <v/>
      </c>
      <c r="E3359">
        <f t="shared" si="157"/>
        <v>3</v>
      </c>
      <c r="F3359" t="str">
        <f t="shared" si="158"/>
        <v/>
      </c>
    </row>
    <row r="3360" spans="1:6" x14ac:dyDescent="0.25">
      <c r="A3360" t="s">
        <v>275</v>
      </c>
      <c r="B3360" s="1">
        <v>46055</v>
      </c>
      <c r="C3360">
        <v>60</v>
      </c>
      <c r="D3360" t="str">
        <f t="shared" si="156"/>
        <v/>
      </c>
      <c r="E3360">
        <f t="shared" si="157"/>
        <v>4</v>
      </c>
      <c r="F3360" t="str">
        <f t="shared" si="158"/>
        <v/>
      </c>
    </row>
    <row r="3361" spans="1:6" x14ac:dyDescent="0.25">
      <c r="A3361" t="s">
        <v>275</v>
      </c>
      <c r="B3361" s="1">
        <v>46062</v>
      </c>
      <c r="C3361">
        <v>65</v>
      </c>
      <c r="D3361">
        <f t="shared" si="156"/>
        <v>47.8</v>
      </c>
      <c r="E3361">
        <f t="shared" si="157"/>
        <v>5</v>
      </c>
      <c r="F3361">
        <f t="shared" si="158"/>
        <v>0.26461538461538464</v>
      </c>
    </row>
    <row r="3362" spans="1:6" x14ac:dyDescent="0.25">
      <c r="A3362" t="s">
        <v>275</v>
      </c>
      <c r="B3362" s="1">
        <v>46069</v>
      </c>
      <c r="C3362">
        <v>29</v>
      </c>
      <c r="D3362">
        <f t="shared" si="156"/>
        <v>52.6</v>
      </c>
      <c r="E3362">
        <f t="shared" si="157"/>
        <v>5</v>
      </c>
      <c r="F3362">
        <f t="shared" si="158"/>
        <v>0.81379310344827593</v>
      </c>
    </row>
    <row r="3363" spans="1:6" x14ac:dyDescent="0.25">
      <c r="A3363" t="s">
        <v>275</v>
      </c>
      <c r="B3363" s="1">
        <v>46076</v>
      </c>
      <c r="C3363">
        <v>50</v>
      </c>
      <c r="D3363">
        <f t="shared" si="156"/>
        <v>50.2</v>
      </c>
      <c r="E3363">
        <f t="shared" si="157"/>
        <v>5</v>
      </c>
      <c r="F3363">
        <f t="shared" si="158"/>
        <v>4.0000000000000565E-3</v>
      </c>
    </row>
    <row r="3364" spans="1:6" x14ac:dyDescent="0.25">
      <c r="A3364" t="s">
        <v>275</v>
      </c>
      <c r="B3364" s="1">
        <v>46083</v>
      </c>
      <c r="C3364">
        <v>32</v>
      </c>
      <c r="D3364">
        <f t="shared" si="156"/>
        <v>48.6</v>
      </c>
      <c r="E3364">
        <f t="shared" si="157"/>
        <v>5</v>
      </c>
      <c r="F3364">
        <f t="shared" si="158"/>
        <v>0.51875000000000004</v>
      </c>
    </row>
    <row r="3365" spans="1:6" x14ac:dyDescent="0.25">
      <c r="A3365" t="s">
        <v>275</v>
      </c>
      <c r="B3365" s="1">
        <v>46090</v>
      </c>
      <c r="C3365">
        <v>59</v>
      </c>
      <c r="D3365">
        <f t="shared" si="156"/>
        <v>47.2</v>
      </c>
      <c r="E3365">
        <f t="shared" si="157"/>
        <v>5</v>
      </c>
      <c r="F3365">
        <f t="shared" si="158"/>
        <v>0.19999999999999996</v>
      </c>
    </row>
    <row r="3366" spans="1:6" x14ac:dyDescent="0.25">
      <c r="A3366" t="s">
        <v>275</v>
      </c>
      <c r="B3366" s="1">
        <v>46097</v>
      </c>
      <c r="C3366">
        <v>55</v>
      </c>
      <c r="D3366">
        <f t="shared" si="156"/>
        <v>47</v>
      </c>
      <c r="E3366">
        <f t="shared" si="157"/>
        <v>5</v>
      </c>
      <c r="F3366">
        <f t="shared" si="158"/>
        <v>0.14545454545454545</v>
      </c>
    </row>
    <row r="3367" spans="1:6" x14ac:dyDescent="0.25">
      <c r="A3367" t="s">
        <v>275</v>
      </c>
      <c r="B3367" s="1">
        <v>46104</v>
      </c>
      <c r="C3367">
        <v>90</v>
      </c>
      <c r="D3367">
        <f t="shared" si="156"/>
        <v>45</v>
      </c>
      <c r="E3367">
        <f t="shared" si="157"/>
        <v>5</v>
      </c>
      <c r="F3367">
        <f t="shared" si="158"/>
        <v>0.5</v>
      </c>
    </row>
    <row r="3368" spans="1:6" x14ac:dyDescent="0.25">
      <c r="A3368" t="s">
        <v>275</v>
      </c>
      <c r="B3368" s="1">
        <v>46111</v>
      </c>
      <c r="C3368">
        <v>50</v>
      </c>
      <c r="D3368">
        <f t="shared" si="156"/>
        <v>57.2</v>
      </c>
      <c r="E3368">
        <f t="shared" si="157"/>
        <v>5</v>
      </c>
      <c r="F3368">
        <f t="shared" si="158"/>
        <v>0.14400000000000004</v>
      </c>
    </row>
    <row r="3369" spans="1:6" x14ac:dyDescent="0.25">
      <c r="A3369" t="s">
        <v>275</v>
      </c>
      <c r="B3369" s="1">
        <v>46118</v>
      </c>
      <c r="C3369">
        <v>47</v>
      </c>
      <c r="D3369">
        <f t="shared" si="156"/>
        <v>57.2</v>
      </c>
      <c r="E3369">
        <f t="shared" si="157"/>
        <v>5</v>
      </c>
      <c r="F3369">
        <f t="shared" si="158"/>
        <v>0.21702127659574474</v>
      </c>
    </row>
    <row r="3370" spans="1:6" x14ac:dyDescent="0.25">
      <c r="A3370" t="s">
        <v>275</v>
      </c>
      <c r="B3370" s="1">
        <v>46125</v>
      </c>
      <c r="C3370">
        <v>66</v>
      </c>
      <c r="D3370">
        <f t="shared" si="156"/>
        <v>60.2</v>
      </c>
      <c r="E3370">
        <f t="shared" si="157"/>
        <v>5</v>
      </c>
      <c r="F3370">
        <f t="shared" si="158"/>
        <v>8.7878787878787834E-2</v>
      </c>
    </row>
    <row r="3371" spans="1:6" x14ac:dyDescent="0.25">
      <c r="A3371" t="s">
        <v>275</v>
      </c>
      <c r="B3371" s="1">
        <v>46132</v>
      </c>
      <c r="C3371">
        <v>46</v>
      </c>
      <c r="D3371">
        <f t="shared" si="156"/>
        <v>61.6</v>
      </c>
      <c r="E3371">
        <f t="shared" si="157"/>
        <v>5</v>
      </c>
      <c r="F3371">
        <f t="shared" si="158"/>
        <v>0.33913043478260874</v>
      </c>
    </row>
    <row r="3372" spans="1:6" x14ac:dyDescent="0.25">
      <c r="A3372" t="s">
        <v>275</v>
      </c>
      <c r="B3372" s="1">
        <v>46139</v>
      </c>
      <c r="C3372">
        <v>39</v>
      </c>
      <c r="D3372">
        <f t="shared" si="156"/>
        <v>59.8</v>
      </c>
      <c r="E3372">
        <f t="shared" si="157"/>
        <v>5</v>
      </c>
      <c r="F3372">
        <f t="shared" si="158"/>
        <v>0.53333333333333321</v>
      </c>
    </row>
    <row r="3373" spans="1:6" x14ac:dyDescent="0.25">
      <c r="A3373" t="s">
        <v>275</v>
      </c>
      <c r="B3373" s="1">
        <v>46146</v>
      </c>
      <c r="C3373">
        <v>93</v>
      </c>
      <c r="D3373">
        <f t="shared" si="156"/>
        <v>49.6</v>
      </c>
      <c r="E3373">
        <f t="shared" si="157"/>
        <v>5</v>
      </c>
      <c r="F3373">
        <f t="shared" si="158"/>
        <v>0.46666666666666667</v>
      </c>
    </row>
    <row r="3374" spans="1:6" x14ac:dyDescent="0.25">
      <c r="A3374" t="s">
        <v>275</v>
      </c>
      <c r="B3374" s="1">
        <v>46153</v>
      </c>
      <c r="C3374">
        <v>94</v>
      </c>
      <c r="D3374">
        <f t="shared" si="156"/>
        <v>58.2</v>
      </c>
      <c r="E3374">
        <f t="shared" si="157"/>
        <v>5</v>
      </c>
      <c r="F3374">
        <f t="shared" si="158"/>
        <v>0.38085106382978723</v>
      </c>
    </row>
    <row r="3375" spans="1:6" x14ac:dyDescent="0.25">
      <c r="A3375" t="s">
        <v>275</v>
      </c>
      <c r="B3375" s="1">
        <v>46160</v>
      </c>
      <c r="C3375">
        <v>12</v>
      </c>
      <c r="D3375">
        <f t="shared" si="156"/>
        <v>67.599999999999994</v>
      </c>
      <c r="E3375">
        <f t="shared" si="157"/>
        <v>5</v>
      </c>
      <c r="F3375">
        <f t="shared" si="158"/>
        <v>4.6333333333333329</v>
      </c>
    </row>
    <row r="3376" spans="1:6" x14ac:dyDescent="0.25">
      <c r="A3376" t="s">
        <v>275</v>
      </c>
      <c r="B3376" s="1">
        <v>46167</v>
      </c>
      <c r="C3376">
        <v>79</v>
      </c>
      <c r="D3376">
        <f t="shared" si="156"/>
        <v>56.8</v>
      </c>
      <c r="E3376">
        <f t="shared" si="157"/>
        <v>5</v>
      </c>
      <c r="F3376">
        <f t="shared" si="158"/>
        <v>0.28101265822784816</v>
      </c>
    </row>
    <row r="3377" spans="1:6" x14ac:dyDescent="0.25">
      <c r="A3377" t="s">
        <v>275</v>
      </c>
      <c r="B3377" s="1">
        <v>46174</v>
      </c>
      <c r="C3377">
        <v>38</v>
      </c>
      <c r="D3377">
        <f t="shared" si="156"/>
        <v>63.4</v>
      </c>
      <c r="E3377">
        <f t="shared" si="157"/>
        <v>5</v>
      </c>
      <c r="F3377">
        <f t="shared" si="158"/>
        <v>0.66842105263157892</v>
      </c>
    </row>
    <row r="3378" spans="1:6" x14ac:dyDescent="0.25">
      <c r="A3378" t="s">
        <v>275</v>
      </c>
      <c r="B3378" s="1">
        <v>46181</v>
      </c>
      <c r="C3378">
        <v>95</v>
      </c>
      <c r="D3378">
        <f t="shared" si="156"/>
        <v>63.2</v>
      </c>
      <c r="E3378">
        <f t="shared" si="157"/>
        <v>5</v>
      </c>
      <c r="F3378">
        <f t="shared" si="158"/>
        <v>0.33473684210526311</v>
      </c>
    </row>
    <row r="3379" spans="1:6" x14ac:dyDescent="0.25">
      <c r="A3379" t="s">
        <v>275</v>
      </c>
      <c r="B3379" s="1">
        <v>46188</v>
      </c>
      <c r="C3379">
        <v>38</v>
      </c>
      <c r="D3379">
        <f t="shared" si="156"/>
        <v>63.6</v>
      </c>
      <c r="E3379">
        <f t="shared" si="157"/>
        <v>5</v>
      </c>
      <c r="F3379">
        <f t="shared" si="158"/>
        <v>0.67368421052631577</v>
      </c>
    </row>
    <row r="3380" spans="1:6" x14ac:dyDescent="0.25">
      <c r="A3380" t="s">
        <v>275</v>
      </c>
      <c r="B3380" s="1">
        <v>46195</v>
      </c>
      <c r="C3380">
        <v>97</v>
      </c>
      <c r="D3380">
        <f t="shared" si="156"/>
        <v>52.4</v>
      </c>
      <c r="E3380">
        <f t="shared" si="157"/>
        <v>5</v>
      </c>
      <c r="F3380">
        <f t="shared" si="158"/>
        <v>0.45979381443298972</v>
      </c>
    </row>
    <row r="3381" spans="1:6" x14ac:dyDescent="0.25">
      <c r="A3381" t="s">
        <v>275</v>
      </c>
      <c r="B3381" s="1">
        <v>46202</v>
      </c>
      <c r="C3381">
        <v>7</v>
      </c>
      <c r="D3381">
        <f t="shared" si="156"/>
        <v>69.400000000000006</v>
      </c>
      <c r="E3381">
        <f t="shared" si="157"/>
        <v>5</v>
      </c>
      <c r="F3381">
        <f t="shared" si="158"/>
        <v>8.9142857142857146</v>
      </c>
    </row>
    <row r="3382" spans="1:6" x14ac:dyDescent="0.25">
      <c r="A3382" t="s">
        <v>277</v>
      </c>
      <c r="B3382" s="1">
        <v>46027</v>
      </c>
      <c r="C3382">
        <v>45</v>
      </c>
      <c r="D3382" t="str">
        <f t="shared" si="156"/>
        <v/>
      </c>
      <c r="E3382">
        <f t="shared" si="157"/>
        <v>0</v>
      </c>
      <c r="F3382" t="str">
        <f t="shared" si="158"/>
        <v/>
      </c>
    </row>
    <row r="3383" spans="1:6" x14ac:dyDescent="0.25">
      <c r="A3383" t="s">
        <v>277</v>
      </c>
      <c r="B3383" s="1">
        <v>46034</v>
      </c>
      <c r="C3383">
        <v>62</v>
      </c>
      <c r="D3383" t="str">
        <f t="shared" si="156"/>
        <v/>
      </c>
      <c r="E3383">
        <f t="shared" si="157"/>
        <v>1</v>
      </c>
      <c r="F3383" t="str">
        <f t="shared" si="158"/>
        <v/>
      </c>
    </row>
    <row r="3384" spans="1:6" x14ac:dyDescent="0.25">
      <c r="A3384" t="s">
        <v>277</v>
      </c>
      <c r="B3384" s="1">
        <v>46041</v>
      </c>
      <c r="C3384">
        <v>66</v>
      </c>
      <c r="D3384" t="str">
        <f t="shared" si="156"/>
        <v/>
      </c>
      <c r="E3384">
        <f t="shared" si="157"/>
        <v>2</v>
      </c>
      <c r="F3384" t="str">
        <f t="shared" si="158"/>
        <v/>
      </c>
    </row>
    <row r="3385" spans="1:6" x14ac:dyDescent="0.25">
      <c r="A3385" t="s">
        <v>277</v>
      </c>
      <c r="B3385" s="1">
        <v>46048</v>
      </c>
      <c r="C3385">
        <v>49</v>
      </c>
      <c r="D3385" t="str">
        <f t="shared" si="156"/>
        <v/>
      </c>
      <c r="E3385">
        <f t="shared" si="157"/>
        <v>3</v>
      </c>
      <c r="F3385" t="str">
        <f t="shared" si="158"/>
        <v/>
      </c>
    </row>
    <row r="3386" spans="1:6" x14ac:dyDescent="0.25">
      <c r="A3386" t="s">
        <v>277</v>
      </c>
      <c r="B3386" s="1">
        <v>46055</v>
      </c>
      <c r="C3386">
        <v>59</v>
      </c>
      <c r="D3386" t="str">
        <f t="shared" si="156"/>
        <v/>
      </c>
      <c r="E3386">
        <f t="shared" si="157"/>
        <v>4</v>
      </c>
      <c r="F3386" t="str">
        <f t="shared" si="158"/>
        <v/>
      </c>
    </row>
    <row r="3387" spans="1:6" x14ac:dyDescent="0.25">
      <c r="A3387" t="s">
        <v>277</v>
      </c>
      <c r="B3387" s="1">
        <v>46062</v>
      </c>
      <c r="C3387">
        <v>64</v>
      </c>
      <c r="D3387">
        <f t="shared" si="156"/>
        <v>56.2</v>
      </c>
      <c r="E3387">
        <f t="shared" si="157"/>
        <v>5</v>
      </c>
      <c r="F3387">
        <f t="shared" si="158"/>
        <v>0.12187499999999996</v>
      </c>
    </row>
    <row r="3388" spans="1:6" x14ac:dyDescent="0.25">
      <c r="A3388" t="s">
        <v>277</v>
      </c>
      <c r="B3388" s="1">
        <v>46069</v>
      </c>
      <c r="C3388">
        <v>75</v>
      </c>
      <c r="D3388">
        <f t="shared" si="156"/>
        <v>60</v>
      </c>
      <c r="E3388">
        <f t="shared" si="157"/>
        <v>5</v>
      </c>
      <c r="F3388">
        <f t="shared" si="158"/>
        <v>0.2</v>
      </c>
    </row>
    <row r="3389" spans="1:6" x14ac:dyDescent="0.25">
      <c r="A3389" t="s">
        <v>277</v>
      </c>
      <c r="B3389" s="1">
        <v>46076</v>
      </c>
      <c r="C3389">
        <v>75</v>
      </c>
      <c r="D3389">
        <f t="shared" si="156"/>
        <v>62.6</v>
      </c>
      <c r="E3389">
        <f t="shared" si="157"/>
        <v>5</v>
      </c>
      <c r="F3389">
        <f t="shared" si="158"/>
        <v>0.1653333333333333</v>
      </c>
    </row>
    <row r="3390" spans="1:6" x14ac:dyDescent="0.25">
      <c r="A3390" t="s">
        <v>277</v>
      </c>
      <c r="B3390" s="1">
        <v>46083</v>
      </c>
      <c r="C3390">
        <v>66</v>
      </c>
      <c r="D3390">
        <f t="shared" si="156"/>
        <v>64.400000000000006</v>
      </c>
      <c r="E3390">
        <f t="shared" si="157"/>
        <v>5</v>
      </c>
      <c r="F3390">
        <f t="shared" si="158"/>
        <v>2.4242424242424156E-2</v>
      </c>
    </row>
    <row r="3391" spans="1:6" x14ac:dyDescent="0.25">
      <c r="A3391" t="s">
        <v>277</v>
      </c>
      <c r="B3391" s="1">
        <v>46090</v>
      </c>
      <c r="C3391">
        <v>64</v>
      </c>
      <c r="D3391">
        <f t="shared" si="156"/>
        <v>67.8</v>
      </c>
      <c r="E3391">
        <f t="shared" si="157"/>
        <v>5</v>
      </c>
      <c r="F3391">
        <f t="shared" si="158"/>
        <v>5.9374999999999956E-2</v>
      </c>
    </row>
    <row r="3392" spans="1:6" x14ac:dyDescent="0.25">
      <c r="A3392" t="s">
        <v>277</v>
      </c>
      <c r="B3392" s="1">
        <v>46097</v>
      </c>
      <c r="C3392">
        <v>58</v>
      </c>
      <c r="D3392">
        <f t="shared" si="156"/>
        <v>68.8</v>
      </c>
      <c r="E3392">
        <f t="shared" si="157"/>
        <v>5</v>
      </c>
      <c r="F3392">
        <f t="shared" si="158"/>
        <v>0.18620689655172409</v>
      </c>
    </row>
    <row r="3393" spans="1:6" x14ac:dyDescent="0.25">
      <c r="A3393" t="s">
        <v>277</v>
      </c>
      <c r="B3393" s="1">
        <v>46104</v>
      </c>
      <c r="C3393">
        <v>75</v>
      </c>
      <c r="D3393">
        <f t="shared" si="156"/>
        <v>67.599999999999994</v>
      </c>
      <c r="E3393">
        <f t="shared" si="157"/>
        <v>5</v>
      </c>
      <c r="F3393">
        <f t="shared" si="158"/>
        <v>9.8666666666666736E-2</v>
      </c>
    </row>
    <row r="3394" spans="1:6" x14ac:dyDescent="0.25">
      <c r="A3394" t="s">
        <v>277</v>
      </c>
      <c r="B3394" s="1">
        <v>46111</v>
      </c>
      <c r="C3394">
        <v>65</v>
      </c>
      <c r="D3394">
        <f t="shared" ref="D3394:D3457" si="159">IF(E3394 &lt; 5, "", AVERAGEIFS(C:C, A:A, A3394, B:B, "&gt;=" &amp; (B3394-35), B:B, "&lt;=" &amp; (B3394-7)))</f>
        <v>67.599999999999994</v>
      </c>
      <c r="E3394">
        <f t="shared" ref="E3394:E3457" si="160">COUNTIFS(A:A, A3394, B:B, "&gt;=" &amp; (B3394-35), B:B, "&lt;=" &amp; (B3394-7))</f>
        <v>5</v>
      </c>
      <c r="F3394">
        <f t="shared" ref="F3394:F3457" si="161">IF(OR(C3394=0, D3394=""), "", ABS(C3394 - D3394) / C3394)</f>
        <v>3.9999999999999911E-2</v>
      </c>
    </row>
    <row r="3395" spans="1:6" x14ac:dyDescent="0.25">
      <c r="A3395" t="s">
        <v>277</v>
      </c>
      <c r="B3395" s="1">
        <v>46118</v>
      </c>
      <c r="C3395">
        <v>68</v>
      </c>
      <c r="D3395">
        <f t="shared" si="159"/>
        <v>65.599999999999994</v>
      </c>
      <c r="E3395">
        <f t="shared" si="160"/>
        <v>5</v>
      </c>
      <c r="F3395">
        <f t="shared" si="161"/>
        <v>3.5294117647058906E-2</v>
      </c>
    </row>
    <row r="3396" spans="1:6" x14ac:dyDescent="0.25">
      <c r="A3396" t="s">
        <v>277</v>
      </c>
      <c r="B3396" s="1">
        <v>46125</v>
      </c>
      <c r="C3396">
        <v>76</v>
      </c>
      <c r="D3396">
        <f t="shared" si="159"/>
        <v>66</v>
      </c>
      <c r="E3396">
        <f t="shared" si="160"/>
        <v>5</v>
      </c>
      <c r="F3396">
        <f t="shared" si="161"/>
        <v>0.13157894736842105</v>
      </c>
    </row>
    <row r="3397" spans="1:6" x14ac:dyDescent="0.25">
      <c r="A3397" t="s">
        <v>277</v>
      </c>
      <c r="B3397" s="1">
        <v>46132</v>
      </c>
      <c r="C3397">
        <v>61</v>
      </c>
      <c r="D3397">
        <f t="shared" si="159"/>
        <v>68.400000000000006</v>
      </c>
      <c r="E3397">
        <f t="shared" si="160"/>
        <v>5</v>
      </c>
      <c r="F3397">
        <f t="shared" si="161"/>
        <v>0.12131147540983615</v>
      </c>
    </row>
    <row r="3398" spans="1:6" x14ac:dyDescent="0.25">
      <c r="A3398" t="s">
        <v>277</v>
      </c>
      <c r="B3398" s="1">
        <v>46139</v>
      </c>
      <c r="C3398">
        <v>67</v>
      </c>
      <c r="D3398">
        <f t="shared" si="159"/>
        <v>69</v>
      </c>
      <c r="E3398">
        <f t="shared" si="160"/>
        <v>5</v>
      </c>
      <c r="F3398">
        <f t="shared" si="161"/>
        <v>2.9850746268656716E-2</v>
      </c>
    </row>
    <row r="3399" spans="1:6" x14ac:dyDescent="0.25">
      <c r="A3399" t="s">
        <v>277</v>
      </c>
      <c r="B3399" s="1">
        <v>46146</v>
      </c>
      <c r="C3399">
        <v>80</v>
      </c>
      <c r="D3399">
        <f t="shared" si="159"/>
        <v>67.400000000000006</v>
      </c>
      <c r="E3399">
        <f t="shared" si="160"/>
        <v>5</v>
      </c>
      <c r="F3399">
        <f t="shared" si="161"/>
        <v>0.15749999999999992</v>
      </c>
    </row>
    <row r="3400" spans="1:6" x14ac:dyDescent="0.25">
      <c r="A3400" t="s">
        <v>277</v>
      </c>
      <c r="B3400" s="1">
        <v>46153</v>
      </c>
      <c r="C3400">
        <v>64</v>
      </c>
      <c r="D3400">
        <f t="shared" si="159"/>
        <v>70.400000000000006</v>
      </c>
      <c r="E3400">
        <f t="shared" si="160"/>
        <v>5</v>
      </c>
      <c r="F3400">
        <f t="shared" si="161"/>
        <v>0.10000000000000009</v>
      </c>
    </row>
    <row r="3401" spans="1:6" x14ac:dyDescent="0.25">
      <c r="A3401" t="s">
        <v>277</v>
      </c>
      <c r="B3401" s="1">
        <v>46160</v>
      </c>
      <c r="C3401">
        <v>81</v>
      </c>
      <c r="D3401">
        <f t="shared" si="159"/>
        <v>69.599999999999994</v>
      </c>
      <c r="E3401">
        <f t="shared" si="160"/>
        <v>5</v>
      </c>
      <c r="F3401">
        <f t="shared" si="161"/>
        <v>0.14074074074074081</v>
      </c>
    </row>
    <row r="3402" spans="1:6" x14ac:dyDescent="0.25">
      <c r="A3402" t="s">
        <v>277</v>
      </c>
      <c r="B3402" s="1">
        <v>46167</v>
      </c>
      <c r="C3402">
        <v>81</v>
      </c>
      <c r="D3402">
        <f t="shared" si="159"/>
        <v>70.599999999999994</v>
      </c>
      <c r="E3402">
        <f t="shared" si="160"/>
        <v>5</v>
      </c>
      <c r="F3402">
        <f t="shared" si="161"/>
        <v>0.12839506172839513</v>
      </c>
    </row>
    <row r="3403" spans="1:6" x14ac:dyDescent="0.25">
      <c r="A3403" t="s">
        <v>277</v>
      </c>
      <c r="B3403" s="1">
        <v>46174</v>
      </c>
      <c r="C3403">
        <v>68</v>
      </c>
      <c r="D3403">
        <f t="shared" si="159"/>
        <v>74.599999999999994</v>
      </c>
      <c r="E3403">
        <f t="shared" si="160"/>
        <v>5</v>
      </c>
      <c r="F3403">
        <f t="shared" si="161"/>
        <v>9.7058823529411684E-2</v>
      </c>
    </row>
    <row r="3404" spans="1:6" x14ac:dyDescent="0.25">
      <c r="A3404" t="s">
        <v>277</v>
      </c>
      <c r="B3404" s="1">
        <v>46181</v>
      </c>
      <c r="C3404">
        <v>72</v>
      </c>
      <c r="D3404">
        <f t="shared" si="159"/>
        <v>74.8</v>
      </c>
      <c r="E3404">
        <f t="shared" si="160"/>
        <v>5</v>
      </c>
      <c r="F3404">
        <f t="shared" si="161"/>
        <v>3.8888888888888848E-2</v>
      </c>
    </row>
    <row r="3405" spans="1:6" x14ac:dyDescent="0.25">
      <c r="A3405" t="s">
        <v>277</v>
      </c>
      <c r="B3405" s="1">
        <v>46188</v>
      </c>
      <c r="C3405">
        <v>83</v>
      </c>
      <c r="D3405">
        <f t="shared" si="159"/>
        <v>73.2</v>
      </c>
      <c r="E3405">
        <f t="shared" si="160"/>
        <v>5</v>
      </c>
      <c r="F3405">
        <f t="shared" si="161"/>
        <v>0.11807228915662647</v>
      </c>
    </row>
    <row r="3406" spans="1:6" x14ac:dyDescent="0.25">
      <c r="A3406" t="s">
        <v>277</v>
      </c>
      <c r="B3406" s="1">
        <v>46195</v>
      </c>
      <c r="C3406">
        <v>84</v>
      </c>
      <c r="D3406">
        <f t="shared" si="159"/>
        <v>77</v>
      </c>
      <c r="E3406">
        <f t="shared" si="160"/>
        <v>5</v>
      </c>
      <c r="F3406">
        <f t="shared" si="161"/>
        <v>8.3333333333333329E-2</v>
      </c>
    </row>
    <row r="3407" spans="1:6" x14ac:dyDescent="0.25">
      <c r="A3407" t="s">
        <v>277</v>
      </c>
      <c r="B3407" s="1">
        <v>46202</v>
      </c>
      <c r="C3407">
        <v>67</v>
      </c>
      <c r="D3407">
        <f t="shared" si="159"/>
        <v>77.599999999999994</v>
      </c>
      <c r="E3407">
        <f t="shared" si="160"/>
        <v>5</v>
      </c>
      <c r="F3407">
        <f t="shared" si="161"/>
        <v>0.15820895522388051</v>
      </c>
    </row>
    <row r="3408" spans="1:6" x14ac:dyDescent="0.25">
      <c r="A3408" t="s">
        <v>279</v>
      </c>
      <c r="B3408" s="1">
        <v>46027</v>
      </c>
      <c r="C3408">
        <v>69</v>
      </c>
      <c r="D3408" t="str">
        <f t="shared" si="159"/>
        <v/>
      </c>
      <c r="E3408">
        <f t="shared" si="160"/>
        <v>0</v>
      </c>
      <c r="F3408" t="str">
        <f t="shared" si="161"/>
        <v/>
      </c>
    </row>
    <row r="3409" spans="1:6" x14ac:dyDescent="0.25">
      <c r="A3409" t="s">
        <v>279</v>
      </c>
      <c r="B3409" s="1">
        <v>46034</v>
      </c>
      <c r="C3409">
        <v>68</v>
      </c>
      <c r="D3409" t="str">
        <f t="shared" si="159"/>
        <v/>
      </c>
      <c r="E3409">
        <f t="shared" si="160"/>
        <v>1</v>
      </c>
      <c r="F3409" t="str">
        <f t="shared" si="161"/>
        <v/>
      </c>
    </row>
    <row r="3410" spans="1:6" x14ac:dyDescent="0.25">
      <c r="A3410" t="s">
        <v>279</v>
      </c>
      <c r="B3410" s="1">
        <v>46041</v>
      </c>
      <c r="C3410">
        <v>67</v>
      </c>
      <c r="D3410" t="str">
        <f t="shared" si="159"/>
        <v/>
      </c>
      <c r="E3410">
        <f t="shared" si="160"/>
        <v>2</v>
      </c>
      <c r="F3410" t="str">
        <f t="shared" si="161"/>
        <v/>
      </c>
    </row>
    <row r="3411" spans="1:6" x14ac:dyDescent="0.25">
      <c r="A3411" t="s">
        <v>279</v>
      </c>
      <c r="B3411" s="1">
        <v>46048</v>
      </c>
      <c r="C3411">
        <v>53</v>
      </c>
      <c r="D3411" t="str">
        <f t="shared" si="159"/>
        <v/>
      </c>
      <c r="E3411">
        <f t="shared" si="160"/>
        <v>3</v>
      </c>
      <c r="F3411" t="str">
        <f t="shared" si="161"/>
        <v/>
      </c>
    </row>
    <row r="3412" spans="1:6" x14ac:dyDescent="0.25">
      <c r="A3412" t="s">
        <v>279</v>
      </c>
      <c r="B3412" s="1">
        <v>46055</v>
      </c>
      <c r="C3412">
        <v>54</v>
      </c>
      <c r="D3412" t="str">
        <f t="shared" si="159"/>
        <v/>
      </c>
      <c r="E3412">
        <f t="shared" si="160"/>
        <v>4</v>
      </c>
      <c r="F3412" t="str">
        <f t="shared" si="161"/>
        <v/>
      </c>
    </row>
    <row r="3413" spans="1:6" x14ac:dyDescent="0.25">
      <c r="A3413" t="s">
        <v>279</v>
      </c>
      <c r="B3413" s="1">
        <v>46062</v>
      </c>
      <c r="C3413">
        <v>65</v>
      </c>
      <c r="D3413">
        <f t="shared" si="159"/>
        <v>62.2</v>
      </c>
      <c r="E3413">
        <f t="shared" si="160"/>
        <v>5</v>
      </c>
      <c r="F3413">
        <f t="shared" si="161"/>
        <v>4.3076923076923034E-2</v>
      </c>
    </row>
    <row r="3414" spans="1:6" x14ac:dyDescent="0.25">
      <c r="A3414" t="s">
        <v>279</v>
      </c>
      <c r="B3414" s="1">
        <v>46069</v>
      </c>
      <c r="C3414">
        <v>75</v>
      </c>
      <c r="D3414">
        <f t="shared" si="159"/>
        <v>61.4</v>
      </c>
      <c r="E3414">
        <f t="shared" si="160"/>
        <v>5</v>
      </c>
      <c r="F3414">
        <f t="shared" si="161"/>
        <v>0.18133333333333335</v>
      </c>
    </row>
    <row r="3415" spans="1:6" x14ac:dyDescent="0.25">
      <c r="A3415" t="s">
        <v>279</v>
      </c>
      <c r="B3415" s="1">
        <v>46076</v>
      </c>
      <c r="C3415">
        <v>57</v>
      </c>
      <c r="D3415">
        <f t="shared" si="159"/>
        <v>62.8</v>
      </c>
      <c r="E3415">
        <f t="shared" si="160"/>
        <v>5</v>
      </c>
      <c r="F3415">
        <f t="shared" si="161"/>
        <v>0.10175438596491224</v>
      </c>
    </row>
    <row r="3416" spans="1:6" x14ac:dyDescent="0.25">
      <c r="A3416" t="s">
        <v>279</v>
      </c>
      <c r="B3416" s="1">
        <v>46083</v>
      </c>
      <c r="C3416">
        <v>69</v>
      </c>
      <c r="D3416">
        <f t="shared" si="159"/>
        <v>60.8</v>
      </c>
      <c r="E3416">
        <f t="shared" si="160"/>
        <v>5</v>
      </c>
      <c r="F3416">
        <f t="shared" si="161"/>
        <v>0.11884057971014497</v>
      </c>
    </row>
    <row r="3417" spans="1:6" x14ac:dyDescent="0.25">
      <c r="A3417" t="s">
        <v>279</v>
      </c>
      <c r="B3417" s="1">
        <v>46090</v>
      </c>
      <c r="C3417">
        <v>75</v>
      </c>
      <c r="D3417">
        <f t="shared" si="159"/>
        <v>64</v>
      </c>
      <c r="E3417">
        <f t="shared" si="160"/>
        <v>5</v>
      </c>
      <c r="F3417">
        <f t="shared" si="161"/>
        <v>0.14666666666666667</v>
      </c>
    </row>
    <row r="3418" spans="1:6" x14ac:dyDescent="0.25">
      <c r="A3418" t="s">
        <v>279</v>
      </c>
      <c r="B3418" s="1">
        <v>46097</v>
      </c>
      <c r="C3418">
        <v>53</v>
      </c>
      <c r="D3418">
        <f t="shared" si="159"/>
        <v>68.2</v>
      </c>
      <c r="E3418">
        <f t="shared" si="160"/>
        <v>5</v>
      </c>
      <c r="F3418">
        <f t="shared" si="161"/>
        <v>0.28679245283018873</v>
      </c>
    </row>
    <row r="3419" spans="1:6" x14ac:dyDescent="0.25">
      <c r="A3419" t="s">
        <v>279</v>
      </c>
      <c r="B3419" s="1">
        <v>46104</v>
      </c>
      <c r="C3419">
        <v>86</v>
      </c>
      <c r="D3419">
        <f t="shared" si="159"/>
        <v>65.8</v>
      </c>
      <c r="E3419">
        <f t="shared" si="160"/>
        <v>5</v>
      </c>
      <c r="F3419">
        <f t="shared" si="161"/>
        <v>0.2348837209302326</v>
      </c>
    </row>
    <row r="3420" spans="1:6" x14ac:dyDescent="0.25">
      <c r="A3420" t="s">
        <v>279</v>
      </c>
      <c r="B3420" s="1">
        <v>46111</v>
      </c>
      <c r="C3420">
        <v>68</v>
      </c>
      <c r="D3420">
        <f t="shared" si="159"/>
        <v>68</v>
      </c>
      <c r="E3420">
        <f t="shared" si="160"/>
        <v>5</v>
      </c>
      <c r="F3420">
        <f t="shared" si="161"/>
        <v>0</v>
      </c>
    </row>
    <row r="3421" spans="1:6" x14ac:dyDescent="0.25">
      <c r="A3421" t="s">
        <v>279</v>
      </c>
      <c r="B3421" s="1">
        <v>46118</v>
      </c>
      <c r="C3421">
        <v>66</v>
      </c>
      <c r="D3421">
        <f t="shared" si="159"/>
        <v>70.2</v>
      </c>
      <c r="E3421">
        <f t="shared" si="160"/>
        <v>5</v>
      </c>
      <c r="F3421">
        <f t="shared" si="161"/>
        <v>6.3636363636363685E-2</v>
      </c>
    </row>
    <row r="3422" spans="1:6" x14ac:dyDescent="0.25">
      <c r="A3422" t="s">
        <v>279</v>
      </c>
      <c r="B3422" s="1">
        <v>46125</v>
      </c>
      <c r="C3422">
        <v>73</v>
      </c>
      <c r="D3422">
        <f t="shared" si="159"/>
        <v>69.599999999999994</v>
      </c>
      <c r="E3422">
        <f t="shared" si="160"/>
        <v>5</v>
      </c>
      <c r="F3422">
        <f t="shared" si="161"/>
        <v>4.6575342465753504E-2</v>
      </c>
    </row>
    <row r="3423" spans="1:6" x14ac:dyDescent="0.25">
      <c r="A3423" t="s">
        <v>279</v>
      </c>
      <c r="B3423" s="1">
        <v>46132</v>
      </c>
      <c r="C3423">
        <v>71</v>
      </c>
      <c r="D3423">
        <f t="shared" si="159"/>
        <v>69.2</v>
      </c>
      <c r="E3423">
        <f t="shared" si="160"/>
        <v>5</v>
      </c>
      <c r="F3423">
        <f t="shared" si="161"/>
        <v>2.5352112676056297E-2</v>
      </c>
    </row>
    <row r="3424" spans="1:6" x14ac:dyDescent="0.25">
      <c r="A3424" t="s">
        <v>279</v>
      </c>
      <c r="B3424" s="1">
        <v>46139</v>
      </c>
      <c r="C3424">
        <v>65</v>
      </c>
      <c r="D3424">
        <f t="shared" si="159"/>
        <v>72.8</v>
      </c>
      <c r="E3424">
        <f t="shared" si="160"/>
        <v>5</v>
      </c>
      <c r="F3424">
        <f t="shared" si="161"/>
        <v>0.11999999999999995</v>
      </c>
    </row>
    <row r="3425" spans="1:6" x14ac:dyDescent="0.25">
      <c r="A3425" t="s">
        <v>279</v>
      </c>
      <c r="B3425" s="1">
        <v>46146</v>
      </c>
      <c r="C3425">
        <v>69</v>
      </c>
      <c r="D3425">
        <f t="shared" si="159"/>
        <v>68.599999999999994</v>
      </c>
      <c r="E3425">
        <f t="shared" si="160"/>
        <v>5</v>
      </c>
      <c r="F3425">
        <f t="shared" si="161"/>
        <v>5.7971014492754448E-3</v>
      </c>
    </row>
    <row r="3426" spans="1:6" x14ac:dyDescent="0.25">
      <c r="A3426" t="s">
        <v>279</v>
      </c>
      <c r="B3426" s="1">
        <v>46153</v>
      </c>
      <c r="C3426">
        <v>73</v>
      </c>
      <c r="D3426">
        <f t="shared" si="159"/>
        <v>68.8</v>
      </c>
      <c r="E3426">
        <f t="shared" si="160"/>
        <v>5</v>
      </c>
      <c r="F3426">
        <f t="shared" si="161"/>
        <v>5.7534246575342507E-2</v>
      </c>
    </row>
    <row r="3427" spans="1:6" x14ac:dyDescent="0.25">
      <c r="A3427" t="s">
        <v>279</v>
      </c>
      <c r="B3427" s="1">
        <v>46160</v>
      </c>
      <c r="C3427">
        <v>66</v>
      </c>
      <c r="D3427">
        <f t="shared" si="159"/>
        <v>70.2</v>
      </c>
      <c r="E3427">
        <f t="shared" si="160"/>
        <v>5</v>
      </c>
      <c r="F3427">
        <f t="shared" si="161"/>
        <v>6.3636363636363685E-2</v>
      </c>
    </row>
    <row r="3428" spans="1:6" x14ac:dyDescent="0.25">
      <c r="A3428" t="s">
        <v>279</v>
      </c>
      <c r="B3428" s="1">
        <v>46167</v>
      </c>
      <c r="C3428">
        <v>85</v>
      </c>
      <c r="D3428">
        <f t="shared" si="159"/>
        <v>68.8</v>
      </c>
      <c r="E3428">
        <f t="shared" si="160"/>
        <v>5</v>
      </c>
      <c r="F3428">
        <f t="shared" si="161"/>
        <v>0.19058823529411767</v>
      </c>
    </row>
    <row r="3429" spans="1:6" x14ac:dyDescent="0.25">
      <c r="A3429" t="s">
        <v>279</v>
      </c>
      <c r="B3429" s="1">
        <v>46174</v>
      </c>
      <c r="C3429">
        <v>83</v>
      </c>
      <c r="D3429">
        <f t="shared" si="159"/>
        <v>71.599999999999994</v>
      </c>
      <c r="E3429">
        <f t="shared" si="160"/>
        <v>5</v>
      </c>
      <c r="F3429">
        <f t="shared" si="161"/>
        <v>0.13734939759036152</v>
      </c>
    </row>
    <row r="3430" spans="1:6" x14ac:dyDescent="0.25">
      <c r="A3430" t="s">
        <v>279</v>
      </c>
      <c r="B3430" s="1">
        <v>46181</v>
      </c>
      <c r="C3430">
        <v>85</v>
      </c>
      <c r="D3430">
        <f t="shared" si="159"/>
        <v>75.2</v>
      </c>
      <c r="E3430">
        <f t="shared" si="160"/>
        <v>5</v>
      </c>
      <c r="F3430">
        <f t="shared" si="161"/>
        <v>0.1152941176470588</v>
      </c>
    </row>
    <row r="3431" spans="1:6" x14ac:dyDescent="0.25">
      <c r="A3431" t="s">
        <v>279</v>
      </c>
      <c r="B3431" s="1">
        <v>46188</v>
      </c>
      <c r="C3431">
        <v>64</v>
      </c>
      <c r="D3431">
        <f t="shared" si="159"/>
        <v>78.400000000000006</v>
      </c>
      <c r="E3431">
        <f t="shared" si="160"/>
        <v>5</v>
      </c>
      <c r="F3431">
        <f t="shared" si="161"/>
        <v>0.22500000000000009</v>
      </c>
    </row>
    <row r="3432" spans="1:6" x14ac:dyDescent="0.25">
      <c r="A3432" t="s">
        <v>279</v>
      </c>
      <c r="B3432" s="1">
        <v>46195</v>
      </c>
      <c r="C3432">
        <v>75</v>
      </c>
      <c r="D3432">
        <f t="shared" si="159"/>
        <v>76.599999999999994</v>
      </c>
      <c r="E3432">
        <f t="shared" si="160"/>
        <v>5</v>
      </c>
      <c r="F3432">
        <f t="shared" si="161"/>
        <v>2.1333333333333256E-2</v>
      </c>
    </row>
    <row r="3433" spans="1:6" x14ac:dyDescent="0.25">
      <c r="A3433" t="s">
        <v>279</v>
      </c>
      <c r="B3433" s="1">
        <v>46202</v>
      </c>
      <c r="C3433">
        <v>85</v>
      </c>
      <c r="D3433">
        <f t="shared" si="159"/>
        <v>78.400000000000006</v>
      </c>
      <c r="E3433">
        <f t="shared" si="160"/>
        <v>5</v>
      </c>
      <c r="F3433">
        <f t="shared" si="161"/>
        <v>7.7647058823529347E-2</v>
      </c>
    </row>
    <row r="3434" spans="1:6" x14ac:dyDescent="0.25">
      <c r="A3434" t="s">
        <v>281</v>
      </c>
      <c r="B3434" s="1">
        <v>46027</v>
      </c>
      <c r="C3434">
        <v>125</v>
      </c>
      <c r="D3434" t="str">
        <f t="shared" si="159"/>
        <v/>
      </c>
      <c r="E3434">
        <f t="shared" si="160"/>
        <v>0</v>
      </c>
      <c r="F3434" t="str">
        <f t="shared" si="161"/>
        <v/>
      </c>
    </row>
    <row r="3435" spans="1:6" x14ac:dyDescent="0.25">
      <c r="A3435" t="s">
        <v>281</v>
      </c>
      <c r="B3435" s="1">
        <v>46034</v>
      </c>
      <c r="C3435">
        <v>117</v>
      </c>
      <c r="D3435" t="str">
        <f t="shared" si="159"/>
        <v/>
      </c>
      <c r="E3435">
        <f t="shared" si="160"/>
        <v>1</v>
      </c>
      <c r="F3435" t="str">
        <f t="shared" si="161"/>
        <v/>
      </c>
    </row>
    <row r="3436" spans="1:6" x14ac:dyDescent="0.25">
      <c r="A3436" t="s">
        <v>281</v>
      </c>
      <c r="B3436" s="1">
        <v>46041</v>
      </c>
      <c r="C3436">
        <v>139</v>
      </c>
      <c r="D3436" t="str">
        <f t="shared" si="159"/>
        <v/>
      </c>
      <c r="E3436">
        <f t="shared" si="160"/>
        <v>2</v>
      </c>
      <c r="F3436" t="str">
        <f t="shared" si="161"/>
        <v/>
      </c>
    </row>
    <row r="3437" spans="1:6" x14ac:dyDescent="0.25">
      <c r="A3437" t="s">
        <v>281</v>
      </c>
      <c r="B3437" s="1">
        <v>46048</v>
      </c>
      <c r="C3437">
        <v>105</v>
      </c>
      <c r="D3437" t="str">
        <f t="shared" si="159"/>
        <v/>
      </c>
      <c r="E3437">
        <f t="shared" si="160"/>
        <v>3</v>
      </c>
      <c r="F3437" t="str">
        <f t="shared" si="161"/>
        <v/>
      </c>
    </row>
    <row r="3438" spans="1:6" x14ac:dyDescent="0.25">
      <c r="A3438" t="s">
        <v>281</v>
      </c>
      <c r="B3438" s="1">
        <v>46055</v>
      </c>
      <c r="C3438">
        <v>129</v>
      </c>
      <c r="D3438" t="str">
        <f t="shared" si="159"/>
        <v/>
      </c>
      <c r="E3438">
        <f t="shared" si="160"/>
        <v>4</v>
      </c>
      <c r="F3438" t="str">
        <f t="shared" si="161"/>
        <v/>
      </c>
    </row>
    <row r="3439" spans="1:6" x14ac:dyDescent="0.25">
      <c r="A3439" t="s">
        <v>281</v>
      </c>
      <c r="B3439" s="1">
        <v>46062</v>
      </c>
      <c r="C3439">
        <v>137</v>
      </c>
      <c r="D3439">
        <f t="shared" si="159"/>
        <v>123</v>
      </c>
      <c r="E3439">
        <f t="shared" si="160"/>
        <v>5</v>
      </c>
      <c r="F3439">
        <f t="shared" si="161"/>
        <v>0.10218978102189781</v>
      </c>
    </row>
    <row r="3440" spans="1:6" x14ac:dyDescent="0.25">
      <c r="A3440" t="s">
        <v>281</v>
      </c>
      <c r="B3440" s="1">
        <v>46069</v>
      </c>
      <c r="C3440">
        <v>134</v>
      </c>
      <c r="D3440">
        <f t="shared" si="159"/>
        <v>125.4</v>
      </c>
      <c r="E3440">
        <f t="shared" si="160"/>
        <v>5</v>
      </c>
      <c r="F3440">
        <f t="shared" si="161"/>
        <v>6.4179104477611895E-2</v>
      </c>
    </row>
    <row r="3441" spans="1:6" x14ac:dyDescent="0.25">
      <c r="A3441" t="s">
        <v>281</v>
      </c>
      <c r="B3441" s="1">
        <v>46076</v>
      </c>
      <c r="C3441">
        <v>128</v>
      </c>
      <c r="D3441">
        <f t="shared" si="159"/>
        <v>128.80000000000001</v>
      </c>
      <c r="E3441">
        <f t="shared" si="160"/>
        <v>5</v>
      </c>
      <c r="F3441">
        <f t="shared" si="161"/>
        <v>6.2500000000000888E-3</v>
      </c>
    </row>
    <row r="3442" spans="1:6" x14ac:dyDescent="0.25">
      <c r="A3442" t="s">
        <v>281</v>
      </c>
      <c r="B3442" s="1">
        <v>46083</v>
      </c>
      <c r="C3442">
        <v>98</v>
      </c>
      <c r="D3442">
        <f t="shared" si="159"/>
        <v>126.6</v>
      </c>
      <c r="E3442">
        <f t="shared" si="160"/>
        <v>5</v>
      </c>
      <c r="F3442">
        <f t="shared" si="161"/>
        <v>0.2918367346938775</v>
      </c>
    </row>
    <row r="3443" spans="1:6" x14ac:dyDescent="0.25">
      <c r="A3443" t="s">
        <v>281</v>
      </c>
      <c r="B3443" s="1">
        <v>46090</v>
      </c>
      <c r="C3443">
        <v>169</v>
      </c>
      <c r="D3443">
        <f t="shared" si="159"/>
        <v>125.2</v>
      </c>
      <c r="E3443">
        <f t="shared" si="160"/>
        <v>5</v>
      </c>
      <c r="F3443">
        <f t="shared" si="161"/>
        <v>0.25917159763313607</v>
      </c>
    </row>
    <row r="3444" spans="1:6" x14ac:dyDescent="0.25">
      <c r="A3444" t="s">
        <v>281</v>
      </c>
      <c r="B3444" s="1">
        <v>46097</v>
      </c>
      <c r="C3444">
        <v>80</v>
      </c>
      <c r="D3444">
        <f t="shared" si="159"/>
        <v>133.19999999999999</v>
      </c>
      <c r="E3444">
        <f t="shared" si="160"/>
        <v>5</v>
      </c>
      <c r="F3444">
        <f t="shared" si="161"/>
        <v>0.66499999999999981</v>
      </c>
    </row>
    <row r="3445" spans="1:6" x14ac:dyDescent="0.25">
      <c r="A3445" t="s">
        <v>281</v>
      </c>
      <c r="B3445" s="1">
        <v>46104</v>
      </c>
      <c r="C3445">
        <v>122</v>
      </c>
      <c r="D3445">
        <f t="shared" si="159"/>
        <v>121.8</v>
      </c>
      <c r="E3445">
        <f t="shared" si="160"/>
        <v>5</v>
      </c>
      <c r="F3445">
        <f t="shared" si="161"/>
        <v>1.6393442622951052E-3</v>
      </c>
    </row>
    <row r="3446" spans="1:6" x14ac:dyDescent="0.25">
      <c r="A3446" t="s">
        <v>281</v>
      </c>
      <c r="B3446" s="1">
        <v>46111</v>
      </c>
      <c r="C3446">
        <v>100</v>
      </c>
      <c r="D3446">
        <f t="shared" si="159"/>
        <v>119.4</v>
      </c>
      <c r="E3446">
        <f t="shared" si="160"/>
        <v>5</v>
      </c>
      <c r="F3446">
        <f t="shared" si="161"/>
        <v>0.19400000000000006</v>
      </c>
    </row>
    <row r="3447" spans="1:6" x14ac:dyDescent="0.25">
      <c r="A3447" t="s">
        <v>281</v>
      </c>
      <c r="B3447" s="1">
        <v>46118</v>
      </c>
      <c r="C3447">
        <v>131</v>
      </c>
      <c r="D3447">
        <f t="shared" si="159"/>
        <v>113.8</v>
      </c>
      <c r="E3447">
        <f t="shared" si="160"/>
        <v>5</v>
      </c>
      <c r="F3447">
        <f t="shared" si="161"/>
        <v>0.13129770992366416</v>
      </c>
    </row>
    <row r="3448" spans="1:6" x14ac:dyDescent="0.25">
      <c r="A3448" t="s">
        <v>281</v>
      </c>
      <c r="B3448" s="1">
        <v>46125</v>
      </c>
      <c r="C3448">
        <v>165</v>
      </c>
      <c r="D3448">
        <f t="shared" si="159"/>
        <v>120.4</v>
      </c>
      <c r="E3448">
        <f t="shared" si="160"/>
        <v>5</v>
      </c>
      <c r="F3448">
        <f t="shared" si="161"/>
        <v>0.27030303030303027</v>
      </c>
    </row>
    <row r="3449" spans="1:6" x14ac:dyDescent="0.25">
      <c r="A3449" t="s">
        <v>281</v>
      </c>
      <c r="B3449" s="1">
        <v>46132</v>
      </c>
      <c r="C3449">
        <v>135</v>
      </c>
      <c r="D3449">
        <f t="shared" si="159"/>
        <v>119.6</v>
      </c>
      <c r="E3449">
        <f t="shared" si="160"/>
        <v>5</v>
      </c>
      <c r="F3449">
        <f t="shared" si="161"/>
        <v>0.11407407407407412</v>
      </c>
    </row>
    <row r="3450" spans="1:6" x14ac:dyDescent="0.25">
      <c r="A3450" t="s">
        <v>281</v>
      </c>
      <c r="B3450" s="1">
        <v>46139</v>
      </c>
      <c r="C3450">
        <v>121</v>
      </c>
      <c r="D3450">
        <f t="shared" si="159"/>
        <v>130.6</v>
      </c>
      <c r="E3450">
        <f t="shared" si="160"/>
        <v>5</v>
      </c>
      <c r="F3450">
        <f t="shared" si="161"/>
        <v>7.9338842975206561E-2</v>
      </c>
    </row>
    <row r="3451" spans="1:6" x14ac:dyDescent="0.25">
      <c r="A3451" t="s">
        <v>281</v>
      </c>
      <c r="B3451" s="1">
        <v>46146</v>
      </c>
      <c r="C3451">
        <v>125</v>
      </c>
      <c r="D3451">
        <f t="shared" si="159"/>
        <v>130.4</v>
      </c>
      <c r="E3451">
        <f t="shared" si="160"/>
        <v>5</v>
      </c>
      <c r="F3451">
        <f t="shared" si="161"/>
        <v>4.3200000000000044E-2</v>
      </c>
    </row>
    <row r="3452" spans="1:6" x14ac:dyDescent="0.25">
      <c r="A3452" t="s">
        <v>281</v>
      </c>
      <c r="B3452" s="1">
        <v>46153</v>
      </c>
      <c r="C3452">
        <v>154</v>
      </c>
      <c r="D3452">
        <f t="shared" si="159"/>
        <v>135.4</v>
      </c>
      <c r="E3452">
        <f t="shared" si="160"/>
        <v>5</v>
      </c>
      <c r="F3452">
        <f t="shared" si="161"/>
        <v>0.12077922077922074</v>
      </c>
    </row>
    <row r="3453" spans="1:6" x14ac:dyDescent="0.25">
      <c r="A3453" t="s">
        <v>281</v>
      </c>
      <c r="B3453" s="1">
        <v>46160</v>
      </c>
      <c r="C3453">
        <v>107</v>
      </c>
      <c r="D3453">
        <f t="shared" si="159"/>
        <v>140</v>
      </c>
      <c r="E3453">
        <f t="shared" si="160"/>
        <v>5</v>
      </c>
      <c r="F3453">
        <f t="shared" si="161"/>
        <v>0.30841121495327101</v>
      </c>
    </row>
    <row r="3454" spans="1:6" x14ac:dyDescent="0.25">
      <c r="A3454" t="s">
        <v>281</v>
      </c>
      <c r="B3454" s="1">
        <v>46167</v>
      </c>
      <c r="C3454">
        <v>141</v>
      </c>
      <c r="D3454">
        <f t="shared" si="159"/>
        <v>128.4</v>
      </c>
      <c r="E3454">
        <f t="shared" si="160"/>
        <v>5</v>
      </c>
      <c r="F3454">
        <f t="shared" si="161"/>
        <v>8.9361702127659537E-2</v>
      </c>
    </row>
    <row r="3455" spans="1:6" x14ac:dyDescent="0.25">
      <c r="A3455" t="s">
        <v>281</v>
      </c>
      <c r="B3455" s="1">
        <v>46174</v>
      </c>
      <c r="C3455">
        <v>144</v>
      </c>
      <c r="D3455">
        <f t="shared" si="159"/>
        <v>129.6</v>
      </c>
      <c r="E3455">
        <f t="shared" si="160"/>
        <v>5</v>
      </c>
      <c r="F3455">
        <f t="shared" si="161"/>
        <v>0.10000000000000003</v>
      </c>
    </row>
    <row r="3456" spans="1:6" x14ac:dyDescent="0.25">
      <c r="A3456" t="s">
        <v>281</v>
      </c>
      <c r="B3456" s="1">
        <v>46181</v>
      </c>
      <c r="C3456">
        <v>122</v>
      </c>
      <c r="D3456">
        <f t="shared" si="159"/>
        <v>134.19999999999999</v>
      </c>
      <c r="E3456">
        <f t="shared" si="160"/>
        <v>5</v>
      </c>
      <c r="F3456">
        <f t="shared" si="161"/>
        <v>9.9999999999999908E-2</v>
      </c>
    </row>
    <row r="3457" spans="1:6" x14ac:dyDescent="0.25">
      <c r="A3457" t="s">
        <v>281</v>
      </c>
      <c r="B3457" s="1">
        <v>46188</v>
      </c>
      <c r="C3457">
        <v>116</v>
      </c>
      <c r="D3457">
        <f t="shared" si="159"/>
        <v>133.6</v>
      </c>
      <c r="E3457">
        <f t="shared" si="160"/>
        <v>5</v>
      </c>
      <c r="F3457">
        <f t="shared" si="161"/>
        <v>0.15172413793103443</v>
      </c>
    </row>
    <row r="3458" spans="1:6" x14ac:dyDescent="0.25">
      <c r="A3458" t="s">
        <v>281</v>
      </c>
      <c r="B3458" s="1">
        <v>46195</v>
      </c>
      <c r="C3458">
        <v>162</v>
      </c>
      <c r="D3458">
        <f t="shared" ref="D3458:D3521" si="162">IF(E3458 &lt; 5, "", AVERAGEIFS(C:C, A:A, A3458, B:B, "&gt;=" &amp; (B3458-35), B:B, "&lt;=" &amp; (B3458-7)))</f>
        <v>126</v>
      </c>
      <c r="E3458">
        <f t="shared" ref="E3458:E3521" si="163">COUNTIFS(A:A, A3458, B:B, "&gt;=" &amp; (B3458-35), B:B, "&lt;=" &amp; (B3458-7))</f>
        <v>5</v>
      </c>
      <c r="F3458">
        <f t="shared" ref="F3458:F3521" si="164">IF(OR(C3458=0, D3458=""), "", ABS(C3458 - D3458) / C3458)</f>
        <v>0.22222222222222221</v>
      </c>
    </row>
    <row r="3459" spans="1:6" x14ac:dyDescent="0.25">
      <c r="A3459" t="s">
        <v>281</v>
      </c>
      <c r="B3459" s="1">
        <v>46202</v>
      </c>
      <c r="C3459">
        <v>161</v>
      </c>
      <c r="D3459">
        <f t="shared" si="162"/>
        <v>137</v>
      </c>
      <c r="E3459">
        <f t="shared" si="163"/>
        <v>5</v>
      </c>
      <c r="F3459">
        <f t="shared" si="164"/>
        <v>0.14906832298136646</v>
      </c>
    </row>
    <row r="3460" spans="1:6" x14ac:dyDescent="0.25">
      <c r="A3460" t="s">
        <v>283</v>
      </c>
      <c r="B3460" s="1">
        <v>46027</v>
      </c>
      <c r="C3460">
        <v>21</v>
      </c>
      <c r="D3460" t="str">
        <f t="shared" si="162"/>
        <v/>
      </c>
      <c r="E3460">
        <f t="shared" si="163"/>
        <v>0</v>
      </c>
      <c r="F3460" t="str">
        <f t="shared" si="164"/>
        <v/>
      </c>
    </row>
    <row r="3461" spans="1:6" x14ac:dyDescent="0.25">
      <c r="A3461" t="s">
        <v>283</v>
      </c>
      <c r="B3461" s="1">
        <v>46034</v>
      </c>
      <c r="C3461">
        <v>22</v>
      </c>
      <c r="D3461" t="str">
        <f t="shared" si="162"/>
        <v/>
      </c>
      <c r="E3461">
        <f t="shared" si="163"/>
        <v>1</v>
      </c>
      <c r="F3461" t="str">
        <f t="shared" si="164"/>
        <v/>
      </c>
    </row>
    <row r="3462" spans="1:6" x14ac:dyDescent="0.25">
      <c r="A3462" t="s">
        <v>283</v>
      </c>
      <c r="B3462" s="1">
        <v>46041</v>
      </c>
      <c r="C3462">
        <v>13</v>
      </c>
      <c r="D3462" t="str">
        <f t="shared" si="162"/>
        <v/>
      </c>
      <c r="E3462">
        <f t="shared" si="163"/>
        <v>2</v>
      </c>
      <c r="F3462" t="str">
        <f t="shared" si="164"/>
        <v/>
      </c>
    </row>
    <row r="3463" spans="1:6" x14ac:dyDescent="0.25">
      <c r="A3463" t="s">
        <v>283</v>
      </c>
      <c r="B3463" s="1">
        <v>46048</v>
      </c>
      <c r="C3463">
        <v>22</v>
      </c>
      <c r="D3463" t="str">
        <f t="shared" si="162"/>
        <v/>
      </c>
      <c r="E3463">
        <f t="shared" si="163"/>
        <v>3</v>
      </c>
      <c r="F3463" t="str">
        <f t="shared" si="164"/>
        <v/>
      </c>
    </row>
    <row r="3464" spans="1:6" x14ac:dyDescent="0.25">
      <c r="A3464" t="s">
        <v>283</v>
      </c>
      <c r="B3464" s="1">
        <v>46055</v>
      </c>
      <c r="C3464">
        <v>30</v>
      </c>
      <c r="D3464" t="str">
        <f t="shared" si="162"/>
        <v/>
      </c>
      <c r="E3464">
        <f t="shared" si="163"/>
        <v>4</v>
      </c>
      <c r="F3464" t="str">
        <f t="shared" si="164"/>
        <v/>
      </c>
    </row>
    <row r="3465" spans="1:6" x14ac:dyDescent="0.25">
      <c r="A3465" t="s">
        <v>283</v>
      </c>
      <c r="B3465" s="1">
        <v>46062</v>
      </c>
      <c r="C3465">
        <v>17</v>
      </c>
      <c r="D3465">
        <f t="shared" si="162"/>
        <v>21.6</v>
      </c>
      <c r="E3465">
        <f t="shared" si="163"/>
        <v>5</v>
      </c>
      <c r="F3465">
        <f t="shared" si="164"/>
        <v>0.27058823529411774</v>
      </c>
    </row>
    <row r="3466" spans="1:6" x14ac:dyDescent="0.25">
      <c r="A3466" t="s">
        <v>283</v>
      </c>
      <c r="B3466" s="1">
        <v>46069</v>
      </c>
      <c r="C3466">
        <v>13</v>
      </c>
      <c r="D3466">
        <f t="shared" si="162"/>
        <v>20.8</v>
      </c>
      <c r="E3466">
        <f t="shared" si="163"/>
        <v>5</v>
      </c>
      <c r="F3466">
        <f t="shared" si="164"/>
        <v>0.60000000000000009</v>
      </c>
    </row>
    <row r="3467" spans="1:6" x14ac:dyDescent="0.25">
      <c r="A3467" t="s">
        <v>283</v>
      </c>
      <c r="B3467" s="1">
        <v>46076</v>
      </c>
      <c r="C3467">
        <v>22</v>
      </c>
      <c r="D3467">
        <f t="shared" si="162"/>
        <v>19</v>
      </c>
      <c r="E3467">
        <f t="shared" si="163"/>
        <v>5</v>
      </c>
      <c r="F3467">
        <f t="shared" si="164"/>
        <v>0.13636363636363635</v>
      </c>
    </row>
    <row r="3468" spans="1:6" x14ac:dyDescent="0.25">
      <c r="A3468" t="s">
        <v>283</v>
      </c>
      <c r="B3468" s="1">
        <v>46083</v>
      </c>
      <c r="C3468">
        <v>21</v>
      </c>
      <c r="D3468">
        <f t="shared" si="162"/>
        <v>20.8</v>
      </c>
      <c r="E3468">
        <f t="shared" si="163"/>
        <v>5</v>
      </c>
      <c r="F3468">
        <f t="shared" si="164"/>
        <v>9.52380952380949E-3</v>
      </c>
    </row>
    <row r="3469" spans="1:6" x14ac:dyDescent="0.25">
      <c r="A3469" t="s">
        <v>283</v>
      </c>
      <c r="B3469" s="1">
        <v>46090</v>
      </c>
      <c r="C3469">
        <v>23</v>
      </c>
      <c r="D3469">
        <f t="shared" si="162"/>
        <v>20.6</v>
      </c>
      <c r="E3469">
        <f t="shared" si="163"/>
        <v>5</v>
      </c>
      <c r="F3469">
        <f t="shared" si="164"/>
        <v>0.10434782608695646</v>
      </c>
    </row>
    <row r="3470" spans="1:6" x14ac:dyDescent="0.25">
      <c r="A3470" t="s">
        <v>283</v>
      </c>
      <c r="B3470" s="1">
        <v>46097</v>
      </c>
      <c r="C3470">
        <v>19</v>
      </c>
      <c r="D3470">
        <f t="shared" si="162"/>
        <v>19.2</v>
      </c>
      <c r="E3470">
        <f t="shared" si="163"/>
        <v>5</v>
      </c>
      <c r="F3470">
        <f t="shared" si="164"/>
        <v>1.0526315789473648E-2</v>
      </c>
    </row>
    <row r="3471" spans="1:6" x14ac:dyDescent="0.25">
      <c r="A3471" t="s">
        <v>283</v>
      </c>
      <c r="B3471" s="1">
        <v>46104</v>
      </c>
      <c r="C3471">
        <v>19</v>
      </c>
      <c r="D3471">
        <f t="shared" si="162"/>
        <v>19.600000000000001</v>
      </c>
      <c r="E3471">
        <f t="shared" si="163"/>
        <v>5</v>
      </c>
      <c r="F3471">
        <f t="shared" si="164"/>
        <v>3.157894736842113E-2</v>
      </c>
    </row>
    <row r="3472" spans="1:6" x14ac:dyDescent="0.25">
      <c r="A3472" t="s">
        <v>283</v>
      </c>
      <c r="B3472" s="1">
        <v>46111</v>
      </c>
      <c r="C3472">
        <v>20</v>
      </c>
      <c r="D3472">
        <f t="shared" si="162"/>
        <v>20.8</v>
      </c>
      <c r="E3472">
        <f t="shared" si="163"/>
        <v>5</v>
      </c>
      <c r="F3472">
        <f t="shared" si="164"/>
        <v>4.0000000000000036E-2</v>
      </c>
    </row>
    <row r="3473" spans="1:6" x14ac:dyDescent="0.25">
      <c r="A3473" t="s">
        <v>283</v>
      </c>
      <c r="B3473" s="1">
        <v>46118</v>
      </c>
      <c r="C3473">
        <v>27</v>
      </c>
      <c r="D3473">
        <f t="shared" si="162"/>
        <v>20.399999999999999</v>
      </c>
      <c r="E3473">
        <f t="shared" si="163"/>
        <v>5</v>
      </c>
      <c r="F3473">
        <f t="shared" si="164"/>
        <v>0.24444444444444449</v>
      </c>
    </row>
    <row r="3474" spans="1:6" x14ac:dyDescent="0.25">
      <c r="A3474" t="s">
        <v>283</v>
      </c>
      <c r="B3474" s="1">
        <v>46125</v>
      </c>
      <c r="C3474">
        <v>25</v>
      </c>
      <c r="D3474">
        <f t="shared" si="162"/>
        <v>21.6</v>
      </c>
      <c r="E3474">
        <f t="shared" si="163"/>
        <v>5</v>
      </c>
      <c r="F3474">
        <f t="shared" si="164"/>
        <v>0.13599999999999995</v>
      </c>
    </row>
    <row r="3475" spans="1:6" x14ac:dyDescent="0.25">
      <c r="A3475" t="s">
        <v>283</v>
      </c>
      <c r="B3475" s="1">
        <v>46132</v>
      </c>
      <c r="C3475">
        <v>28</v>
      </c>
      <c r="D3475">
        <f t="shared" si="162"/>
        <v>22</v>
      </c>
      <c r="E3475">
        <f t="shared" si="163"/>
        <v>5</v>
      </c>
      <c r="F3475">
        <f t="shared" si="164"/>
        <v>0.21428571428571427</v>
      </c>
    </row>
    <row r="3476" spans="1:6" x14ac:dyDescent="0.25">
      <c r="A3476" t="s">
        <v>283</v>
      </c>
      <c r="B3476" s="1">
        <v>46139</v>
      </c>
      <c r="C3476">
        <v>21</v>
      </c>
      <c r="D3476">
        <f t="shared" si="162"/>
        <v>23.8</v>
      </c>
      <c r="E3476">
        <f t="shared" si="163"/>
        <v>5</v>
      </c>
      <c r="F3476">
        <f t="shared" si="164"/>
        <v>0.13333333333333336</v>
      </c>
    </row>
    <row r="3477" spans="1:6" x14ac:dyDescent="0.25">
      <c r="A3477" t="s">
        <v>283</v>
      </c>
      <c r="B3477" s="1">
        <v>46146</v>
      </c>
      <c r="C3477">
        <v>28</v>
      </c>
      <c r="D3477">
        <f t="shared" si="162"/>
        <v>24.2</v>
      </c>
      <c r="E3477">
        <f t="shared" si="163"/>
        <v>5</v>
      </c>
      <c r="F3477">
        <f t="shared" si="164"/>
        <v>0.13571428571428573</v>
      </c>
    </row>
    <row r="3478" spans="1:6" x14ac:dyDescent="0.25">
      <c r="A3478" t="s">
        <v>283</v>
      </c>
      <c r="B3478" s="1">
        <v>46153</v>
      </c>
      <c r="C3478">
        <v>24</v>
      </c>
      <c r="D3478">
        <f t="shared" si="162"/>
        <v>25.8</v>
      </c>
      <c r="E3478">
        <f t="shared" si="163"/>
        <v>5</v>
      </c>
      <c r="F3478">
        <f t="shared" si="164"/>
        <v>7.5000000000000025E-2</v>
      </c>
    </row>
    <row r="3479" spans="1:6" x14ac:dyDescent="0.25">
      <c r="A3479" t="s">
        <v>283</v>
      </c>
      <c r="B3479" s="1">
        <v>46160</v>
      </c>
      <c r="C3479">
        <v>27</v>
      </c>
      <c r="D3479">
        <f t="shared" si="162"/>
        <v>25.2</v>
      </c>
      <c r="E3479">
        <f t="shared" si="163"/>
        <v>5</v>
      </c>
      <c r="F3479">
        <f t="shared" si="164"/>
        <v>6.6666666666666693E-2</v>
      </c>
    </row>
    <row r="3480" spans="1:6" x14ac:dyDescent="0.25">
      <c r="A3480" t="s">
        <v>283</v>
      </c>
      <c r="B3480" s="1">
        <v>46167</v>
      </c>
      <c r="C3480">
        <v>30</v>
      </c>
      <c r="D3480">
        <f t="shared" si="162"/>
        <v>25.6</v>
      </c>
      <c r="E3480">
        <f t="shared" si="163"/>
        <v>5</v>
      </c>
      <c r="F3480">
        <f t="shared" si="164"/>
        <v>0.14666666666666661</v>
      </c>
    </row>
    <row r="3481" spans="1:6" x14ac:dyDescent="0.25">
      <c r="A3481" t="s">
        <v>283</v>
      </c>
      <c r="B3481" s="1">
        <v>46174</v>
      </c>
      <c r="C3481">
        <v>27</v>
      </c>
      <c r="D3481">
        <f t="shared" si="162"/>
        <v>26</v>
      </c>
      <c r="E3481">
        <f t="shared" si="163"/>
        <v>5</v>
      </c>
      <c r="F3481">
        <f t="shared" si="164"/>
        <v>3.7037037037037035E-2</v>
      </c>
    </row>
    <row r="3482" spans="1:6" x14ac:dyDescent="0.25">
      <c r="A3482" t="s">
        <v>283</v>
      </c>
      <c r="B3482" s="1">
        <v>46181</v>
      </c>
      <c r="C3482">
        <v>26</v>
      </c>
      <c r="D3482">
        <f t="shared" si="162"/>
        <v>27.2</v>
      </c>
      <c r="E3482">
        <f t="shared" si="163"/>
        <v>5</v>
      </c>
      <c r="F3482">
        <f t="shared" si="164"/>
        <v>4.6153846153846129E-2</v>
      </c>
    </row>
    <row r="3483" spans="1:6" x14ac:dyDescent="0.25">
      <c r="A3483" t="s">
        <v>283</v>
      </c>
      <c r="B3483" s="1">
        <v>46188</v>
      </c>
      <c r="C3483">
        <v>21</v>
      </c>
      <c r="D3483">
        <f t="shared" si="162"/>
        <v>26.8</v>
      </c>
      <c r="E3483">
        <f t="shared" si="163"/>
        <v>5</v>
      </c>
      <c r="F3483">
        <f t="shared" si="164"/>
        <v>0.27619047619047621</v>
      </c>
    </row>
    <row r="3484" spans="1:6" x14ac:dyDescent="0.25">
      <c r="A3484" t="s">
        <v>283</v>
      </c>
      <c r="B3484" s="1">
        <v>46195</v>
      </c>
      <c r="C3484">
        <v>28</v>
      </c>
      <c r="D3484">
        <f t="shared" si="162"/>
        <v>26.2</v>
      </c>
      <c r="E3484">
        <f t="shared" si="163"/>
        <v>5</v>
      </c>
      <c r="F3484">
        <f t="shared" si="164"/>
        <v>6.4285714285714307E-2</v>
      </c>
    </row>
    <row r="3485" spans="1:6" x14ac:dyDescent="0.25">
      <c r="A3485" t="s">
        <v>283</v>
      </c>
      <c r="B3485" s="1">
        <v>46202</v>
      </c>
      <c r="C3485">
        <v>31</v>
      </c>
      <c r="D3485">
        <f t="shared" si="162"/>
        <v>26.4</v>
      </c>
      <c r="E3485">
        <f t="shared" si="163"/>
        <v>5</v>
      </c>
      <c r="F3485">
        <f t="shared" si="164"/>
        <v>0.14838709677419359</v>
      </c>
    </row>
    <row r="3486" spans="1:6" x14ac:dyDescent="0.25">
      <c r="A3486" t="s">
        <v>285</v>
      </c>
      <c r="B3486" s="1">
        <v>46027</v>
      </c>
      <c r="C3486">
        <v>82</v>
      </c>
      <c r="D3486" t="str">
        <f t="shared" si="162"/>
        <v/>
      </c>
      <c r="E3486">
        <f t="shared" si="163"/>
        <v>0</v>
      </c>
      <c r="F3486" t="str">
        <f t="shared" si="164"/>
        <v/>
      </c>
    </row>
    <row r="3487" spans="1:6" x14ac:dyDescent="0.25">
      <c r="A3487" t="s">
        <v>285</v>
      </c>
      <c r="B3487" s="1">
        <v>46034</v>
      </c>
      <c r="C3487">
        <v>91</v>
      </c>
      <c r="D3487" t="str">
        <f t="shared" si="162"/>
        <v/>
      </c>
      <c r="E3487">
        <f t="shared" si="163"/>
        <v>1</v>
      </c>
      <c r="F3487" t="str">
        <f t="shared" si="164"/>
        <v/>
      </c>
    </row>
    <row r="3488" spans="1:6" x14ac:dyDescent="0.25">
      <c r="A3488" t="s">
        <v>285</v>
      </c>
      <c r="B3488" s="1">
        <v>46041</v>
      </c>
      <c r="C3488">
        <v>111</v>
      </c>
      <c r="D3488" t="str">
        <f t="shared" si="162"/>
        <v/>
      </c>
      <c r="E3488">
        <f t="shared" si="163"/>
        <v>2</v>
      </c>
      <c r="F3488" t="str">
        <f t="shared" si="164"/>
        <v/>
      </c>
    </row>
    <row r="3489" spans="1:6" x14ac:dyDescent="0.25">
      <c r="A3489" t="s">
        <v>285</v>
      </c>
      <c r="B3489" s="1">
        <v>46048</v>
      </c>
      <c r="C3489">
        <v>56</v>
      </c>
      <c r="D3489" t="str">
        <f t="shared" si="162"/>
        <v/>
      </c>
      <c r="E3489">
        <f t="shared" si="163"/>
        <v>3</v>
      </c>
      <c r="F3489" t="str">
        <f t="shared" si="164"/>
        <v/>
      </c>
    </row>
    <row r="3490" spans="1:6" x14ac:dyDescent="0.25">
      <c r="A3490" t="s">
        <v>285</v>
      </c>
      <c r="B3490" s="1">
        <v>46055</v>
      </c>
      <c r="C3490">
        <v>84</v>
      </c>
      <c r="D3490" t="str">
        <f t="shared" si="162"/>
        <v/>
      </c>
      <c r="E3490">
        <f t="shared" si="163"/>
        <v>4</v>
      </c>
      <c r="F3490" t="str">
        <f t="shared" si="164"/>
        <v/>
      </c>
    </row>
    <row r="3491" spans="1:6" x14ac:dyDescent="0.25">
      <c r="A3491" t="s">
        <v>285</v>
      </c>
      <c r="B3491" s="1">
        <v>46062</v>
      </c>
      <c r="C3491">
        <v>80</v>
      </c>
      <c r="D3491">
        <f t="shared" si="162"/>
        <v>84.8</v>
      </c>
      <c r="E3491">
        <f t="shared" si="163"/>
        <v>5</v>
      </c>
      <c r="F3491">
        <f t="shared" si="164"/>
        <v>5.9999999999999963E-2</v>
      </c>
    </row>
    <row r="3492" spans="1:6" x14ac:dyDescent="0.25">
      <c r="A3492" t="s">
        <v>285</v>
      </c>
      <c r="B3492" s="1">
        <v>46069</v>
      </c>
      <c r="C3492">
        <v>69</v>
      </c>
      <c r="D3492">
        <f t="shared" si="162"/>
        <v>84.4</v>
      </c>
      <c r="E3492">
        <f t="shared" si="163"/>
        <v>5</v>
      </c>
      <c r="F3492">
        <f t="shared" si="164"/>
        <v>0.22318840579710153</v>
      </c>
    </row>
    <row r="3493" spans="1:6" x14ac:dyDescent="0.25">
      <c r="A3493" t="s">
        <v>285</v>
      </c>
      <c r="B3493" s="1">
        <v>46076</v>
      </c>
      <c r="C3493">
        <v>93</v>
      </c>
      <c r="D3493">
        <f t="shared" si="162"/>
        <v>80</v>
      </c>
      <c r="E3493">
        <f t="shared" si="163"/>
        <v>5</v>
      </c>
      <c r="F3493">
        <f t="shared" si="164"/>
        <v>0.13978494623655913</v>
      </c>
    </row>
    <row r="3494" spans="1:6" x14ac:dyDescent="0.25">
      <c r="A3494" t="s">
        <v>285</v>
      </c>
      <c r="B3494" s="1">
        <v>46083</v>
      </c>
      <c r="C3494">
        <v>96</v>
      </c>
      <c r="D3494">
        <f t="shared" si="162"/>
        <v>76.400000000000006</v>
      </c>
      <c r="E3494">
        <f t="shared" si="163"/>
        <v>5</v>
      </c>
      <c r="F3494">
        <f t="shared" si="164"/>
        <v>0.20416666666666661</v>
      </c>
    </row>
    <row r="3495" spans="1:6" x14ac:dyDescent="0.25">
      <c r="A3495" t="s">
        <v>285</v>
      </c>
      <c r="B3495" s="1">
        <v>46090</v>
      </c>
      <c r="C3495">
        <v>118</v>
      </c>
      <c r="D3495">
        <f t="shared" si="162"/>
        <v>84.4</v>
      </c>
      <c r="E3495">
        <f t="shared" si="163"/>
        <v>5</v>
      </c>
      <c r="F3495">
        <f t="shared" si="164"/>
        <v>0.28474576271186436</v>
      </c>
    </row>
    <row r="3496" spans="1:6" x14ac:dyDescent="0.25">
      <c r="A3496" t="s">
        <v>285</v>
      </c>
      <c r="B3496" s="1">
        <v>46097</v>
      </c>
      <c r="C3496">
        <v>77</v>
      </c>
      <c r="D3496">
        <f t="shared" si="162"/>
        <v>91.2</v>
      </c>
      <c r="E3496">
        <f t="shared" si="163"/>
        <v>5</v>
      </c>
      <c r="F3496">
        <f t="shared" si="164"/>
        <v>0.18441558441558445</v>
      </c>
    </row>
    <row r="3497" spans="1:6" x14ac:dyDescent="0.25">
      <c r="A3497" t="s">
        <v>285</v>
      </c>
      <c r="B3497" s="1">
        <v>46104</v>
      </c>
      <c r="C3497">
        <v>101</v>
      </c>
      <c r="D3497">
        <f t="shared" si="162"/>
        <v>90.6</v>
      </c>
      <c r="E3497">
        <f t="shared" si="163"/>
        <v>5</v>
      </c>
      <c r="F3497">
        <f t="shared" si="164"/>
        <v>0.10297029702970302</v>
      </c>
    </row>
    <row r="3498" spans="1:6" x14ac:dyDescent="0.25">
      <c r="A3498" t="s">
        <v>285</v>
      </c>
      <c r="B3498" s="1">
        <v>46111</v>
      </c>
      <c r="C3498">
        <v>93</v>
      </c>
      <c r="D3498">
        <f t="shared" si="162"/>
        <v>97</v>
      </c>
      <c r="E3498">
        <f t="shared" si="163"/>
        <v>5</v>
      </c>
      <c r="F3498">
        <f t="shared" si="164"/>
        <v>4.3010752688172046E-2</v>
      </c>
    </row>
    <row r="3499" spans="1:6" x14ac:dyDescent="0.25">
      <c r="A3499" t="s">
        <v>285</v>
      </c>
      <c r="B3499" s="1">
        <v>46118</v>
      </c>
      <c r="C3499">
        <v>95</v>
      </c>
      <c r="D3499">
        <f t="shared" si="162"/>
        <v>97</v>
      </c>
      <c r="E3499">
        <f t="shared" si="163"/>
        <v>5</v>
      </c>
      <c r="F3499">
        <f t="shared" si="164"/>
        <v>2.1052631578947368E-2</v>
      </c>
    </row>
    <row r="3500" spans="1:6" x14ac:dyDescent="0.25">
      <c r="A3500" t="s">
        <v>285</v>
      </c>
      <c r="B3500" s="1">
        <v>46125</v>
      </c>
      <c r="C3500">
        <v>116</v>
      </c>
      <c r="D3500">
        <f t="shared" si="162"/>
        <v>96.8</v>
      </c>
      <c r="E3500">
        <f t="shared" si="163"/>
        <v>5</v>
      </c>
      <c r="F3500">
        <f t="shared" si="164"/>
        <v>0.16551724137931037</v>
      </c>
    </row>
    <row r="3501" spans="1:6" x14ac:dyDescent="0.25">
      <c r="A3501" t="s">
        <v>285</v>
      </c>
      <c r="B3501" s="1">
        <v>46132</v>
      </c>
      <c r="C3501">
        <v>76</v>
      </c>
      <c r="D3501">
        <f t="shared" si="162"/>
        <v>96.4</v>
      </c>
      <c r="E3501">
        <f t="shared" si="163"/>
        <v>5</v>
      </c>
      <c r="F3501">
        <f t="shared" si="164"/>
        <v>0.268421052631579</v>
      </c>
    </row>
    <row r="3502" spans="1:6" x14ac:dyDescent="0.25">
      <c r="A3502" t="s">
        <v>285</v>
      </c>
      <c r="B3502" s="1">
        <v>46139</v>
      </c>
      <c r="C3502">
        <v>113</v>
      </c>
      <c r="D3502">
        <f t="shared" si="162"/>
        <v>96.2</v>
      </c>
      <c r="E3502">
        <f t="shared" si="163"/>
        <v>5</v>
      </c>
      <c r="F3502">
        <f t="shared" si="164"/>
        <v>0.14867256637168139</v>
      </c>
    </row>
    <row r="3503" spans="1:6" x14ac:dyDescent="0.25">
      <c r="A3503" t="s">
        <v>285</v>
      </c>
      <c r="B3503" s="1">
        <v>46146</v>
      </c>
      <c r="C3503">
        <v>88</v>
      </c>
      <c r="D3503">
        <f t="shared" si="162"/>
        <v>98.6</v>
      </c>
      <c r="E3503">
        <f t="shared" si="163"/>
        <v>5</v>
      </c>
      <c r="F3503">
        <f t="shared" si="164"/>
        <v>0.12045454545454538</v>
      </c>
    </row>
    <row r="3504" spans="1:6" x14ac:dyDescent="0.25">
      <c r="A3504" t="s">
        <v>285</v>
      </c>
      <c r="B3504" s="1">
        <v>46153</v>
      </c>
      <c r="C3504">
        <v>90</v>
      </c>
      <c r="D3504">
        <f t="shared" si="162"/>
        <v>97.6</v>
      </c>
      <c r="E3504">
        <f t="shared" si="163"/>
        <v>5</v>
      </c>
      <c r="F3504">
        <f t="shared" si="164"/>
        <v>8.4444444444444378E-2</v>
      </c>
    </row>
    <row r="3505" spans="1:6" x14ac:dyDescent="0.25">
      <c r="A3505" t="s">
        <v>285</v>
      </c>
      <c r="B3505" s="1">
        <v>46160</v>
      </c>
      <c r="C3505">
        <v>108</v>
      </c>
      <c r="D3505">
        <f t="shared" si="162"/>
        <v>96.6</v>
      </c>
      <c r="E3505">
        <f t="shared" si="163"/>
        <v>5</v>
      </c>
      <c r="F3505">
        <f t="shared" si="164"/>
        <v>0.10555555555555561</v>
      </c>
    </row>
    <row r="3506" spans="1:6" x14ac:dyDescent="0.25">
      <c r="A3506" t="s">
        <v>285</v>
      </c>
      <c r="B3506" s="1">
        <v>46167</v>
      </c>
      <c r="C3506">
        <v>108</v>
      </c>
      <c r="D3506">
        <f t="shared" si="162"/>
        <v>95</v>
      </c>
      <c r="E3506">
        <f t="shared" si="163"/>
        <v>5</v>
      </c>
      <c r="F3506">
        <f t="shared" si="164"/>
        <v>0.12037037037037036</v>
      </c>
    </row>
    <row r="3507" spans="1:6" x14ac:dyDescent="0.25">
      <c r="A3507" t="s">
        <v>285</v>
      </c>
      <c r="B3507" s="1">
        <v>46174</v>
      </c>
      <c r="C3507">
        <v>113</v>
      </c>
      <c r="D3507">
        <f t="shared" si="162"/>
        <v>101.4</v>
      </c>
      <c r="E3507">
        <f t="shared" si="163"/>
        <v>5</v>
      </c>
      <c r="F3507">
        <f t="shared" si="164"/>
        <v>0.10265486725663711</v>
      </c>
    </row>
    <row r="3508" spans="1:6" x14ac:dyDescent="0.25">
      <c r="A3508" t="s">
        <v>285</v>
      </c>
      <c r="B3508" s="1">
        <v>46181</v>
      </c>
      <c r="C3508">
        <v>91</v>
      </c>
      <c r="D3508">
        <f t="shared" si="162"/>
        <v>101.4</v>
      </c>
      <c r="E3508">
        <f t="shared" si="163"/>
        <v>5</v>
      </c>
      <c r="F3508">
        <f t="shared" si="164"/>
        <v>0.11428571428571435</v>
      </c>
    </row>
    <row r="3509" spans="1:6" x14ac:dyDescent="0.25">
      <c r="A3509" t="s">
        <v>285</v>
      </c>
      <c r="B3509" s="1">
        <v>46188</v>
      </c>
      <c r="C3509">
        <v>102</v>
      </c>
      <c r="D3509">
        <f t="shared" si="162"/>
        <v>102</v>
      </c>
      <c r="E3509">
        <f t="shared" si="163"/>
        <v>5</v>
      </c>
      <c r="F3509">
        <f t="shared" si="164"/>
        <v>0</v>
      </c>
    </row>
    <row r="3510" spans="1:6" x14ac:dyDescent="0.25">
      <c r="A3510" t="s">
        <v>285</v>
      </c>
      <c r="B3510" s="1">
        <v>46195</v>
      </c>
      <c r="C3510">
        <v>99</v>
      </c>
      <c r="D3510">
        <f t="shared" si="162"/>
        <v>104.4</v>
      </c>
      <c r="E3510">
        <f t="shared" si="163"/>
        <v>5</v>
      </c>
      <c r="F3510">
        <f t="shared" si="164"/>
        <v>5.4545454545454605E-2</v>
      </c>
    </row>
    <row r="3511" spans="1:6" x14ac:dyDescent="0.25">
      <c r="A3511" t="s">
        <v>285</v>
      </c>
      <c r="B3511" s="1">
        <v>46202</v>
      </c>
      <c r="C3511">
        <v>60</v>
      </c>
      <c r="D3511">
        <f t="shared" si="162"/>
        <v>102.6</v>
      </c>
      <c r="E3511">
        <f t="shared" si="163"/>
        <v>5</v>
      </c>
      <c r="F3511">
        <f t="shared" si="164"/>
        <v>0.70999999999999985</v>
      </c>
    </row>
    <row r="3512" spans="1:6" x14ac:dyDescent="0.25">
      <c r="A3512" t="s">
        <v>287</v>
      </c>
      <c r="B3512" s="1">
        <v>46027</v>
      </c>
      <c r="C3512">
        <v>39</v>
      </c>
      <c r="D3512" t="str">
        <f t="shared" si="162"/>
        <v/>
      </c>
      <c r="E3512">
        <f t="shared" si="163"/>
        <v>0</v>
      </c>
      <c r="F3512" t="str">
        <f t="shared" si="164"/>
        <v/>
      </c>
    </row>
    <row r="3513" spans="1:6" x14ac:dyDescent="0.25">
      <c r="A3513" t="s">
        <v>287</v>
      </c>
      <c r="B3513" s="1">
        <v>46034</v>
      </c>
      <c r="C3513">
        <v>48</v>
      </c>
      <c r="D3513" t="str">
        <f t="shared" si="162"/>
        <v/>
      </c>
      <c r="E3513">
        <f t="shared" si="163"/>
        <v>1</v>
      </c>
      <c r="F3513" t="str">
        <f t="shared" si="164"/>
        <v/>
      </c>
    </row>
    <row r="3514" spans="1:6" x14ac:dyDescent="0.25">
      <c r="A3514" t="s">
        <v>287</v>
      </c>
      <c r="B3514" s="1">
        <v>46041</v>
      </c>
      <c r="C3514">
        <v>44</v>
      </c>
      <c r="D3514" t="str">
        <f t="shared" si="162"/>
        <v/>
      </c>
      <c r="E3514">
        <f t="shared" si="163"/>
        <v>2</v>
      </c>
      <c r="F3514" t="str">
        <f t="shared" si="164"/>
        <v/>
      </c>
    </row>
    <row r="3515" spans="1:6" x14ac:dyDescent="0.25">
      <c r="A3515" t="s">
        <v>287</v>
      </c>
      <c r="B3515" s="1">
        <v>46048</v>
      </c>
      <c r="C3515">
        <v>48</v>
      </c>
      <c r="D3515" t="str">
        <f t="shared" si="162"/>
        <v/>
      </c>
      <c r="E3515">
        <f t="shared" si="163"/>
        <v>3</v>
      </c>
      <c r="F3515" t="str">
        <f t="shared" si="164"/>
        <v/>
      </c>
    </row>
    <row r="3516" spans="1:6" x14ac:dyDescent="0.25">
      <c r="A3516" t="s">
        <v>287</v>
      </c>
      <c r="B3516" s="1">
        <v>46055</v>
      </c>
      <c r="C3516">
        <v>47</v>
      </c>
      <c r="D3516" t="str">
        <f t="shared" si="162"/>
        <v/>
      </c>
      <c r="E3516">
        <f t="shared" si="163"/>
        <v>4</v>
      </c>
      <c r="F3516" t="str">
        <f t="shared" si="164"/>
        <v/>
      </c>
    </row>
    <row r="3517" spans="1:6" x14ac:dyDescent="0.25">
      <c r="A3517" t="s">
        <v>287</v>
      </c>
      <c r="B3517" s="1">
        <v>46062</v>
      </c>
      <c r="C3517">
        <v>49</v>
      </c>
      <c r="D3517">
        <f t="shared" si="162"/>
        <v>45.2</v>
      </c>
      <c r="E3517">
        <f t="shared" si="163"/>
        <v>5</v>
      </c>
      <c r="F3517">
        <f t="shared" si="164"/>
        <v>7.755102040816321E-2</v>
      </c>
    </row>
    <row r="3518" spans="1:6" x14ac:dyDescent="0.25">
      <c r="A3518" t="s">
        <v>287</v>
      </c>
      <c r="B3518" s="1">
        <v>46069</v>
      </c>
      <c r="C3518">
        <v>49</v>
      </c>
      <c r="D3518">
        <f t="shared" si="162"/>
        <v>47.2</v>
      </c>
      <c r="E3518">
        <f t="shared" si="163"/>
        <v>5</v>
      </c>
      <c r="F3518">
        <f t="shared" si="164"/>
        <v>3.6734693877550961E-2</v>
      </c>
    </row>
    <row r="3519" spans="1:6" x14ac:dyDescent="0.25">
      <c r="A3519" t="s">
        <v>287</v>
      </c>
      <c r="B3519" s="1">
        <v>46076</v>
      </c>
      <c r="C3519">
        <v>52</v>
      </c>
      <c r="D3519">
        <f t="shared" si="162"/>
        <v>47.4</v>
      </c>
      <c r="E3519">
        <f t="shared" si="163"/>
        <v>5</v>
      </c>
      <c r="F3519">
        <f t="shared" si="164"/>
        <v>8.8461538461538494E-2</v>
      </c>
    </row>
    <row r="3520" spans="1:6" x14ac:dyDescent="0.25">
      <c r="A3520" t="s">
        <v>287</v>
      </c>
      <c r="B3520" s="1">
        <v>46083</v>
      </c>
      <c r="C3520">
        <v>46</v>
      </c>
      <c r="D3520">
        <f t="shared" si="162"/>
        <v>49</v>
      </c>
      <c r="E3520">
        <f t="shared" si="163"/>
        <v>5</v>
      </c>
      <c r="F3520">
        <f t="shared" si="164"/>
        <v>6.5217391304347824E-2</v>
      </c>
    </row>
    <row r="3521" spans="1:6" x14ac:dyDescent="0.25">
      <c r="A3521" t="s">
        <v>287</v>
      </c>
      <c r="B3521" s="1">
        <v>46090</v>
      </c>
      <c r="C3521">
        <v>49</v>
      </c>
      <c r="D3521">
        <f t="shared" si="162"/>
        <v>48.6</v>
      </c>
      <c r="E3521">
        <f t="shared" si="163"/>
        <v>5</v>
      </c>
      <c r="F3521">
        <f t="shared" si="164"/>
        <v>8.1632653061224202E-3</v>
      </c>
    </row>
    <row r="3522" spans="1:6" x14ac:dyDescent="0.25">
      <c r="A3522" t="s">
        <v>287</v>
      </c>
      <c r="B3522" s="1">
        <v>46097</v>
      </c>
      <c r="C3522">
        <v>45</v>
      </c>
      <c r="D3522">
        <f t="shared" ref="D3522:D3585" si="165">IF(E3522 &lt; 5, "", AVERAGEIFS(C:C, A:A, A3522, B:B, "&gt;=" &amp; (B3522-35), B:B, "&lt;=" &amp; (B3522-7)))</f>
        <v>49</v>
      </c>
      <c r="E3522">
        <f t="shared" ref="E3522:E3585" si="166">COUNTIFS(A:A, A3522, B:B, "&gt;=" &amp; (B3522-35), B:B, "&lt;=" &amp; (B3522-7))</f>
        <v>5</v>
      </c>
      <c r="F3522">
        <f t="shared" ref="F3522:F3585" si="167">IF(OR(C3522=0, D3522=""), "", ABS(C3522 - D3522) / C3522)</f>
        <v>8.8888888888888892E-2</v>
      </c>
    </row>
    <row r="3523" spans="1:6" x14ac:dyDescent="0.25">
      <c r="A3523" t="s">
        <v>287</v>
      </c>
      <c r="B3523" s="1">
        <v>46104</v>
      </c>
      <c r="C3523">
        <v>51</v>
      </c>
      <c r="D3523">
        <f t="shared" si="165"/>
        <v>48.2</v>
      </c>
      <c r="E3523">
        <f t="shared" si="166"/>
        <v>5</v>
      </c>
      <c r="F3523">
        <f t="shared" si="167"/>
        <v>5.4901960784313669E-2</v>
      </c>
    </row>
    <row r="3524" spans="1:6" x14ac:dyDescent="0.25">
      <c r="A3524" t="s">
        <v>287</v>
      </c>
      <c r="B3524" s="1">
        <v>46111</v>
      </c>
      <c r="C3524">
        <v>56</v>
      </c>
      <c r="D3524">
        <f t="shared" si="165"/>
        <v>48.6</v>
      </c>
      <c r="E3524">
        <f t="shared" si="166"/>
        <v>5</v>
      </c>
      <c r="F3524">
        <f t="shared" si="167"/>
        <v>0.13214285714285712</v>
      </c>
    </row>
    <row r="3525" spans="1:6" x14ac:dyDescent="0.25">
      <c r="A3525" t="s">
        <v>287</v>
      </c>
      <c r="B3525" s="1">
        <v>46118</v>
      </c>
      <c r="C3525">
        <v>51</v>
      </c>
      <c r="D3525">
        <f t="shared" si="165"/>
        <v>49.4</v>
      </c>
      <c r="E3525">
        <f t="shared" si="166"/>
        <v>5</v>
      </c>
      <c r="F3525">
        <f t="shared" si="167"/>
        <v>3.137254901960787E-2</v>
      </c>
    </row>
    <row r="3526" spans="1:6" x14ac:dyDescent="0.25">
      <c r="A3526" t="s">
        <v>287</v>
      </c>
      <c r="B3526" s="1">
        <v>46125</v>
      </c>
      <c r="C3526">
        <v>57</v>
      </c>
      <c r="D3526">
        <f t="shared" si="165"/>
        <v>50.4</v>
      </c>
      <c r="E3526">
        <f t="shared" si="166"/>
        <v>5</v>
      </c>
      <c r="F3526">
        <f t="shared" si="167"/>
        <v>0.11578947368421055</v>
      </c>
    </row>
    <row r="3527" spans="1:6" x14ac:dyDescent="0.25">
      <c r="A3527" t="s">
        <v>287</v>
      </c>
      <c r="B3527" s="1">
        <v>46132</v>
      </c>
      <c r="C3527">
        <v>51</v>
      </c>
      <c r="D3527">
        <f t="shared" si="165"/>
        <v>52</v>
      </c>
      <c r="E3527">
        <f t="shared" si="166"/>
        <v>5</v>
      </c>
      <c r="F3527">
        <f t="shared" si="167"/>
        <v>1.9607843137254902E-2</v>
      </c>
    </row>
    <row r="3528" spans="1:6" x14ac:dyDescent="0.25">
      <c r="A3528" t="s">
        <v>287</v>
      </c>
      <c r="B3528" s="1">
        <v>46139</v>
      </c>
      <c r="C3528">
        <v>55</v>
      </c>
      <c r="D3528">
        <f t="shared" si="165"/>
        <v>53.2</v>
      </c>
      <c r="E3528">
        <f t="shared" si="166"/>
        <v>5</v>
      </c>
      <c r="F3528">
        <f t="shared" si="167"/>
        <v>3.2727272727272674E-2</v>
      </c>
    </row>
    <row r="3529" spans="1:6" x14ac:dyDescent="0.25">
      <c r="A3529" t="s">
        <v>287</v>
      </c>
      <c r="B3529" s="1">
        <v>46146</v>
      </c>
      <c r="C3529">
        <v>60</v>
      </c>
      <c r="D3529">
        <f t="shared" si="165"/>
        <v>54</v>
      </c>
      <c r="E3529">
        <f t="shared" si="166"/>
        <v>5</v>
      </c>
      <c r="F3529">
        <f t="shared" si="167"/>
        <v>0.1</v>
      </c>
    </row>
    <row r="3530" spans="1:6" x14ac:dyDescent="0.25">
      <c r="A3530" t="s">
        <v>287</v>
      </c>
      <c r="B3530" s="1">
        <v>46153</v>
      </c>
      <c r="C3530">
        <v>56</v>
      </c>
      <c r="D3530">
        <f t="shared" si="165"/>
        <v>54.8</v>
      </c>
      <c r="E3530">
        <f t="shared" si="166"/>
        <v>5</v>
      </c>
      <c r="F3530">
        <f t="shared" si="167"/>
        <v>2.1428571428571481E-2</v>
      </c>
    </row>
    <row r="3531" spans="1:6" x14ac:dyDescent="0.25">
      <c r="A3531" t="s">
        <v>287</v>
      </c>
      <c r="B3531" s="1">
        <v>46160</v>
      </c>
      <c r="C3531">
        <v>57</v>
      </c>
      <c r="D3531">
        <f t="shared" si="165"/>
        <v>55.8</v>
      </c>
      <c r="E3531">
        <f t="shared" si="166"/>
        <v>5</v>
      </c>
      <c r="F3531">
        <f t="shared" si="167"/>
        <v>2.105263157894742E-2</v>
      </c>
    </row>
    <row r="3532" spans="1:6" x14ac:dyDescent="0.25">
      <c r="A3532" t="s">
        <v>287</v>
      </c>
      <c r="B3532" s="1">
        <v>46167</v>
      </c>
      <c r="C3532">
        <v>62</v>
      </c>
      <c r="D3532">
        <f t="shared" si="165"/>
        <v>55.8</v>
      </c>
      <c r="E3532">
        <f t="shared" si="166"/>
        <v>5</v>
      </c>
      <c r="F3532">
        <f t="shared" si="167"/>
        <v>0.10000000000000005</v>
      </c>
    </row>
    <row r="3533" spans="1:6" x14ac:dyDescent="0.25">
      <c r="A3533" t="s">
        <v>287</v>
      </c>
      <c r="B3533" s="1">
        <v>46174</v>
      </c>
      <c r="C3533">
        <v>59</v>
      </c>
      <c r="D3533">
        <f t="shared" si="165"/>
        <v>58</v>
      </c>
      <c r="E3533">
        <f t="shared" si="166"/>
        <v>5</v>
      </c>
      <c r="F3533">
        <f t="shared" si="167"/>
        <v>1.6949152542372881E-2</v>
      </c>
    </row>
    <row r="3534" spans="1:6" x14ac:dyDescent="0.25">
      <c r="A3534" t="s">
        <v>287</v>
      </c>
      <c r="B3534" s="1">
        <v>46181</v>
      </c>
      <c r="C3534">
        <v>61</v>
      </c>
      <c r="D3534">
        <f t="shared" si="165"/>
        <v>58.8</v>
      </c>
      <c r="E3534">
        <f t="shared" si="166"/>
        <v>5</v>
      </c>
      <c r="F3534">
        <f t="shared" si="167"/>
        <v>3.6065573770491847E-2</v>
      </c>
    </row>
    <row r="3535" spans="1:6" x14ac:dyDescent="0.25">
      <c r="A3535" t="s">
        <v>287</v>
      </c>
      <c r="B3535" s="1">
        <v>46188</v>
      </c>
      <c r="C3535">
        <v>57</v>
      </c>
      <c r="D3535">
        <f t="shared" si="165"/>
        <v>59</v>
      </c>
      <c r="E3535">
        <f t="shared" si="166"/>
        <v>5</v>
      </c>
      <c r="F3535">
        <f t="shared" si="167"/>
        <v>3.5087719298245612E-2</v>
      </c>
    </row>
    <row r="3536" spans="1:6" x14ac:dyDescent="0.25">
      <c r="A3536" t="s">
        <v>287</v>
      </c>
      <c r="B3536" s="1">
        <v>46195</v>
      </c>
      <c r="C3536">
        <v>55</v>
      </c>
      <c r="D3536">
        <f t="shared" si="165"/>
        <v>59.2</v>
      </c>
      <c r="E3536">
        <f t="shared" si="166"/>
        <v>5</v>
      </c>
      <c r="F3536">
        <f t="shared" si="167"/>
        <v>7.6363636363636411E-2</v>
      </c>
    </row>
    <row r="3537" spans="1:6" x14ac:dyDescent="0.25">
      <c r="A3537" t="s">
        <v>287</v>
      </c>
      <c r="B3537" s="1">
        <v>46202</v>
      </c>
      <c r="C3537">
        <v>62</v>
      </c>
      <c r="D3537">
        <f t="shared" si="165"/>
        <v>58.8</v>
      </c>
      <c r="E3537">
        <f t="shared" si="166"/>
        <v>5</v>
      </c>
      <c r="F3537">
        <f t="shared" si="167"/>
        <v>5.16129032258065E-2</v>
      </c>
    </row>
    <row r="3538" spans="1:6" x14ac:dyDescent="0.25">
      <c r="A3538" t="s">
        <v>289</v>
      </c>
      <c r="B3538" s="1">
        <v>46027</v>
      </c>
      <c r="C3538">
        <v>68</v>
      </c>
      <c r="D3538" t="str">
        <f t="shared" si="165"/>
        <v/>
      </c>
      <c r="E3538">
        <f t="shared" si="166"/>
        <v>0</v>
      </c>
      <c r="F3538" t="str">
        <f t="shared" si="167"/>
        <v/>
      </c>
    </row>
    <row r="3539" spans="1:6" x14ac:dyDescent="0.25">
      <c r="A3539" t="s">
        <v>289</v>
      </c>
      <c r="B3539" s="1">
        <v>46034</v>
      </c>
      <c r="C3539">
        <v>49</v>
      </c>
      <c r="D3539" t="str">
        <f t="shared" si="165"/>
        <v/>
      </c>
      <c r="E3539">
        <f t="shared" si="166"/>
        <v>1</v>
      </c>
      <c r="F3539" t="str">
        <f t="shared" si="167"/>
        <v/>
      </c>
    </row>
    <row r="3540" spans="1:6" x14ac:dyDescent="0.25">
      <c r="A3540" t="s">
        <v>289</v>
      </c>
      <c r="B3540" s="1">
        <v>46041</v>
      </c>
      <c r="C3540">
        <v>43</v>
      </c>
      <c r="D3540" t="str">
        <f t="shared" si="165"/>
        <v/>
      </c>
      <c r="E3540">
        <f t="shared" si="166"/>
        <v>2</v>
      </c>
      <c r="F3540" t="str">
        <f t="shared" si="167"/>
        <v/>
      </c>
    </row>
    <row r="3541" spans="1:6" x14ac:dyDescent="0.25">
      <c r="A3541" t="s">
        <v>289</v>
      </c>
      <c r="B3541" s="1">
        <v>46048</v>
      </c>
      <c r="C3541">
        <v>66</v>
      </c>
      <c r="D3541" t="str">
        <f t="shared" si="165"/>
        <v/>
      </c>
      <c r="E3541">
        <f t="shared" si="166"/>
        <v>3</v>
      </c>
      <c r="F3541" t="str">
        <f t="shared" si="167"/>
        <v/>
      </c>
    </row>
    <row r="3542" spans="1:6" x14ac:dyDescent="0.25">
      <c r="A3542" t="s">
        <v>289</v>
      </c>
      <c r="B3542" s="1">
        <v>46055</v>
      </c>
      <c r="C3542">
        <v>60</v>
      </c>
      <c r="D3542" t="str">
        <f t="shared" si="165"/>
        <v/>
      </c>
      <c r="E3542">
        <f t="shared" si="166"/>
        <v>4</v>
      </c>
      <c r="F3542" t="str">
        <f t="shared" si="167"/>
        <v/>
      </c>
    </row>
    <row r="3543" spans="1:6" x14ac:dyDescent="0.25">
      <c r="A3543" t="s">
        <v>289</v>
      </c>
      <c r="B3543" s="1">
        <v>46062</v>
      </c>
      <c r="C3543">
        <v>63</v>
      </c>
      <c r="D3543">
        <f t="shared" si="165"/>
        <v>57.2</v>
      </c>
      <c r="E3543">
        <f t="shared" si="166"/>
        <v>5</v>
      </c>
      <c r="F3543">
        <f t="shared" si="167"/>
        <v>9.2063492063492014E-2</v>
      </c>
    </row>
    <row r="3544" spans="1:6" x14ac:dyDescent="0.25">
      <c r="A3544" t="s">
        <v>289</v>
      </c>
      <c r="B3544" s="1">
        <v>46069</v>
      </c>
      <c r="C3544">
        <v>67</v>
      </c>
      <c r="D3544">
        <f t="shared" si="165"/>
        <v>56.2</v>
      </c>
      <c r="E3544">
        <f t="shared" si="166"/>
        <v>5</v>
      </c>
      <c r="F3544">
        <f t="shared" si="167"/>
        <v>0.16119402985074624</v>
      </c>
    </row>
    <row r="3545" spans="1:6" x14ac:dyDescent="0.25">
      <c r="A3545" t="s">
        <v>289</v>
      </c>
      <c r="B3545" s="1">
        <v>46076</v>
      </c>
      <c r="C3545">
        <v>55</v>
      </c>
      <c r="D3545">
        <f t="shared" si="165"/>
        <v>59.8</v>
      </c>
      <c r="E3545">
        <f t="shared" si="166"/>
        <v>5</v>
      </c>
      <c r="F3545">
        <f t="shared" si="167"/>
        <v>8.7272727272727224E-2</v>
      </c>
    </row>
    <row r="3546" spans="1:6" x14ac:dyDescent="0.25">
      <c r="A3546" t="s">
        <v>289</v>
      </c>
      <c r="B3546" s="1">
        <v>46083</v>
      </c>
      <c r="C3546">
        <v>51</v>
      </c>
      <c r="D3546">
        <f t="shared" si="165"/>
        <v>62.2</v>
      </c>
      <c r="E3546">
        <f t="shared" si="166"/>
        <v>5</v>
      </c>
      <c r="F3546">
        <f t="shared" si="167"/>
        <v>0.21960784313725495</v>
      </c>
    </row>
    <row r="3547" spans="1:6" x14ac:dyDescent="0.25">
      <c r="A3547" t="s">
        <v>289</v>
      </c>
      <c r="B3547" s="1">
        <v>46090</v>
      </c>
      <c r="C3547">
        <v>66</v>
      </c>
      <c r="D3547">
        <f t="shared" si="165"/>
        <v>59.2</v>
      </c>
      <c r="E3547">
        <f t="shared" si="166"/>
        <v>5</v>
      </c>
      <c r="F3547">
        <f t="shared" si="167"/>
        <v>0.10303030303030299</v>
      </c>
    </row>
    <row r="3548" spans="1:6" x14ac:dyDescent="0.25">
      <c r="A3548" t="s">
        <v>289</v>
      </c>
      <c r="B3548" s="1">
        <v>46097</v>
      </c>
      <c r="C3548">
        <v>57</v>
      </c>
      <c r="D3548">
        <f t="shared" si="165"/>
        <v>60.4</v>
      </c>
      <c r="E3548">
        <f t="shared" si="166"/>
        <v>5</v>
      </c>
      <c r="F3548">
        <f t="shared" si="167"/>
        <v>5.9649122807017521E-2</v>
      </c>
    </row>
    <row r="3549" spans="1:6" x14ac:dyDescent="0.25">
      <c r="A3549" t="s">
        <v>289</v>
      </c>
      <c r="B3549" s="1">
        <v>46104</v>
      </c>
      <c r="C3549">
        <v>47</v>
      </c>
      <c r="D3549">
        <f t="shared" si="165"/>
        <v>59.2</v>
      </c>
      <c r="E3549">
        <f t="shared" si="166"/>
        <v>5</v>
      </c>
      <c r="F3549">
        <f t="shared" si="167"/>
        <v>0.25957446808510642</v>
      </c>
    </row>
    <row r="3550" spans="1:6" x14ac:dyDescent="0.25">
      <c r="A3550" t="s">
        <v>289</v>
      </c>
      <c r="B3550" s="1">
        <v>46111</v>
      </c>
      <c r="C3550">
        <v>65</v>
      </c>
      <c r="D3550">
        <f t="shared" si="165"/>
        <v>55.2</v>
      </c>
      <c r="E3550">
        <f t="shared" si="166"/>
        <v>5</v>
      </c>
      <c r="F3550">
        <f t="shared" si="167"/>
        <v>0.15076923076923074</v>
      </c>
    </row>
    <row r="3551" spans="1:6" x14ac:dyDescent="0.25">
      <c r="A3551" t="s">
        <v>289</v>
      </c>
      <c r="B3551" s="1">
        <v>46118</v>
      </c>
      <c r="C3551">
        <v>67</v>
      </c>
      <c r="D3551">
        <f t="shared" si="165"/>
        <v>57.2</v>
      </c>
      <c r="E3551">
        <f t="shared" si="166"/>
        <v>5</v>
      </c>
      <c r="F3551">
        <f t="shared" si="167"/>
        <v>0.14626865671641787</v>
      </c>
    </row>
    <row r="3552" spans="1:6" x14ac:dyDescent="0.25">
      <c r="A3552" t="s">
        <v>289</v>
      </c>
      <c r="B3552" s="1">
        <v>46125</v>
      </c>
      <c r="C3552">
        <v>62</v>
      </c>
      <c r="D3552">
        <f t="shared" si="165"/>
        <v>60.4</v>
      </c>
      <c r="E3552">
        <f t="shared" si="166"/>
        <v>5</v>
      </c>
      <c r="F3552">
        <f t="shared" si="167"/>
        <v>2.580645161290325E-2</v>
      </c>
    </row>
    <row r="3553" spans="1:6" x14ac:dyDescent="0.25">
      <c r="A3553" t="s">
        <v>289</v>
      </c>
      <c r="B3553" s="1">
        <v>46132</v>
      </c>
      <c r="C3553">
        <v>59</v>
      </c>
      <c r="D3553">
        <f t="shared" si="165"/>
        <v>59.6</v>
      </c>
      <c r="E3553">
        <f t="shared" si="166"/>
        <v>5</v>
      </c>
      <c r="F3553">
        <f t="shared" si="167"/>
        <v>1.0169491525423752E-2</v>
      </c>
    </row>
    <row r="3554" spans="1:6" x14ac:dyDescent="0.25">
      <c r="A3554" t="s">
        <v>289</v>
      </c>
      <c r="B3554" s="1">
        <v>46139</v>
      </c>
      <c r="C3554">
        <v>88</v>
      </c>
      <c r="D3554">
        <f t="shared" si="165"/>
        <v>60</v>
      </c>
      <c r="E3554">
        <f t="shared" si="166"/>
        <v>5</v>
      </c>
      <c r="F3554">
        <f t="shared" si="167"/>
        <v>0.31818181818181818</v>
      </c>
    </row>
    <row r="3555" spans="1:6" x14ac:dyDescent="0.25">
      <c r="A3555" t="s">
        <v>289</v>
      </c>
      <c r="B3555" s="1">
        <v>46146</v>
      </c>
      <c r="C3555">
        <v>74</v>
      </c>
      <c r="D3555">
        <f t="shared" si="165"/>
        <v>68.2</v>
      </c>
      <c r="E3555">
        <f t="shared" si="166"/>
        <v>5</v>
      </c>
      <c r="F3555">
        <f t="shared" si="167"/>
        <v>7.8378378378378341E-2</v>
      </c>
    </row>
    <row r="3556" spans="1:6" x14ac:dyDescent="0.25">
      <c r="A3556" t="s">
        <v>289</v>
      </c>
      <c r="B3556" s="1">
        <v>46153</v>
      </c>
      <c r="C3556">
        <v>64</v>
      </c>
      <c r="D3556">
        <f t="shared" si="165"/>
        <v>70</v>
      </c>
      <c r="E3556">
        <f t="shared" si="166"/>
        <v>5</v>
      </c>
      <c r="F3556">
        <f t="shared" si="167"/>
        <v>9.375E-2</v>
      </c>
    </row>
    <row r="3557" spans="1:6" x14ac:dyDescent="0.25">
      <c r="A3557" t="s">
        <v>289</v>
      </c>
      <c r="B3557" s="1">
        <v>46160</v>
      </c>
      <c r="C3557">
        <v>65</v>
      </c>
      <c r="D3557">
        <f t="shared" si="165"/>
        <v>69.400000000000006</v>
      </c>
      <c r="E3557">
        <f t="shared" si="166"/>
        <v>5</v>
      </c>
      <c r="F3557">
        <f t="shared" si="167"/>
        <v>6.7692307692307774E-2</v>
      </c>
    </row>
    <row r="3558" spans="1:6" x14ac:dyDescent="0.25">
      <c r="A3558" t="s">
        <v>289</v>
      </c>
      <c r="B3558" s="1">
        <v>46167</v>
      </c>
      <c r="C3558">
        <v>69</v>
      </c>
      <c r="D3558">
        <f t="shared" si="165"/>
        <v>70</v>
      </c>
      <c r="E3558">
        <f t="shared" si="166"/>
        <v>5</v>
      </c>
      <c r="F3558">
        <f t="shared" si="167"/>
        <v>1.4492753623188406E-2</v>
      </c>
    </row>
    <row r="3559" spans="1:6" x14ac:dyDescent="0.25">
      <c r="A3559" t="s">
        <v>289</v>
      </c>
      <c r="B3559" s="1">
        <v>46174</v>
      </c>
      <c r="C3559">
        <v>82</v>
      </c>
      <c r="D3559">
        <f t="shared" si="165"/>
        <v>72</v>
      </c>
      <c r="E3559">
        <f t="shared" si="166"/>
        <v>5</v>
      </c>
      <c r="F3559">
        <f t="shared" si="167"/>
        <v>0.12195121951219512</v>
      </c>
    </row>
    <row r="3560" spans="1:6" x14ac:dyDescent="0.25">
      <c r="A3560" t="s">
        <v>289</v>
      </c>
      <c r="B3560" s="1">
        <v>46181</v>
      </c>
      <c r="C3560">
        <v>72</v>
      </c>
      <c r="D3560">
        <f t="shared" si="165"/>
        <v>70.8</v>
      </c>
      <c r="E3560">
        <f t="shared" si="166"/>
        <v>5</v>
      </c>
      <c r="F3560">
        <f t="shared" si="167"/>
        <v>1.6666666666666705E-2</v>
      </c>
    </row>
    <row r="3561" spans="1:6" x14ac:dyDescent="0.25">
      <c r="A3561" t="s">
        <v>289</v>
      </c>
      <c r="B3561" s="1">
        <v>46188</v>
      </c>
      <c r="C3561">
        <v>76</v>
      </c>
      <c r="D3561">
        <f t="shared" si="165"/>
        <v>70.400000000000006</v>
      </c>
      <c r="E3561">
        <f t="shared" si="166"/>
        <v>5</v>
      </c>
      <c r="F3561">
        <f t="shared" si="167"/>
        <v>7.3684210526315713E-2</v>
      </c>
    </row>
    <row r="3562" spans="1:6" x14ac:dyDescent="0.25">
      <c r="A3562" t="s">
        <v>289</v>
      </c>
      <c r="B3562" s="1">
        <v>46195</v>
      </c>
      <c r="C3562">
        <v>81</v>
      </c>
      <c r="D3562">
        <f t="shared" si="165"/>
        <v>72.8</v>
      </c>
      <c r="E3562">
        <f t="shared" si="166"/>
        <v>5</v>
      </c>
      <c r="F3562">
        <f t="shared" si="167"/>
        <v>0.1012345679012346</v>
      </c>
    </row>
    <row r="3563" spans="1:6" x14ac:dyDescent="0.25">
      <c r="A3563" t="s">
        <v>289</v>
      </c>
      <c r="B3563" s="1">
        <v>46202</v>
      </c>
      <c r="C3563">
        <v>75</v>
      </c>
      <c r="D3563">
        <f t="shared" si="165"/>
        <v>76</v>
      </c>
      <c r="E3563">
        <f t="shared" si="166"/>
        <v>5</v>
      </c>
      <c r="F3563">
        <f t="shared" si="167"/>
        <v>1.3333333333333334E-2</v>
      </c>
    </row>
    <row r="3564" spans="1:6" x14ac:dyDescent="0.25">
      <c r="A3564" t="s">
        <v>291</v>
      </c>
      <c r="B3564" s="1">
        <v>46027</v>
      </c>
      <c r="C3564">
        <v>92</v>
      </c>
      <c r="D3564" t="str">
        <f t="shared" si="165"/>
        <v/>
      </c>
      <c r="E3564">
        <f t="shared" si="166"/>
        <v>0</v>
      </c>
      <c r="F3564" t="str">
        <f t="shared" si="167"/>
        <v/>
      </c>
    </row>
    <row r="3565" spans="1:6" x14ac:dyDescent="0.25">
      <c r="A3565" t="s">
        <v>291</v>
      </c>
      <c r="B3565" s="1">
        <v>46034</v>
      </c>
      <c r="C3565">
        <v>103</v>
      </c>
      <c r="D3565" t="str">
        <f t="shared" si="165"/>
        <v/>
      </c>
      <c r="E3565">
        <f t="shared" si="166"/>
        <v>1</v>
      </c>
      <c r="F3565" t="str">
        <f t="shared" si="167"/>
        <v/>
      </c>
    </row>
    <row r="3566" spans="1:6" x14ac:dyDescent="0.25">
      <c r="A3566" t="s">
        <v>291</v>
      </c>
      <c r="B3566" s="1">
        <v>46041</v>
      </c>
      <c r="C3566">
        <v>140</v>
      </c>
      <c r="D3566" t="str">
        <f t="shared" si="165"/>
        <v/>
      </c>
      <c r="E3566">
        <f t="shared" si="166"/>
        <v>2</v>
      </c>
      <c r="F3566" t="str">
        <f t="shared" si="167"/>
        <v/>
      </c>
    </row>
    <row r="3567" spans="1:6" x14ac:dyDescent="0.25">
      <c r="A3567" t="s">
        <v>291</v>
      </c>
      <c r="B3567" s="1">
        <v>46048</v>
      </c>
      <c r="C3567">
        <v>49</v>
      </c>
      <c r="D3567" t="str">
        <f t="shared" si="165"/>
        <v/>
      </c>
      <c r="E3567">
        <f t="shared" si="166"/>
        <v>3</v>
      </c>
      <c r="F3567" t="str">
        <f t="shared" si="167"/>
        <v/>
      </c>
    </row>
    <row r="3568" spans="1:6" x14ac:dyDescent="0.25">
      <c r="A3568" t="s">
        <v>291</v>
      </c>
      <c r="B3568" s="1">
        <v>46055</v>
      </c>
      <c r="C3568">
        <v>121</v>
      </c>
      <c r="D3568" t="str">
        <f t="shared" si="165"/>
        <v/>
      </c>
      <c r="E3568">
        <f t="shared" si="166"/>
        <v>4</v>
      </c>
      <c r="F3568" t="str">
        <f t="shared" si="167"/>
        <v/>
      </c>
    </row>
    <row r="3569" spans="1:6" x14ac:dyDescent="0.25">
      <c r="A3569" t="s">
        <v>291</v>
      </c>
      <c r="B3569" s="1">
        <v>46062</v>
      </c>
      <c r="C3569">
        <v>96</v>
      </c>
      <c r="D3569">
        <f t="shared" si="165"/>
        <v>101</v>
      </c>
      <c r="E3569">
        <f t="shared" si="166"/>
        <v>5</v>
      </c>
      <c r="F3569">
        <f t="shared" si="167"/>
        <v>5.2083333333333336E-2</v>
      </c>
    </row>
    <row r="3570" spans="1:6" x14ac:dyDescent="0.25">
      <c r="A3570" t="s">
        <v>291</v>
      </c>
      <c r="B3570" s="1">
        <v>46069</v>
      </c>
      <c r="C3570">
        <v>49</v>
      </c>
      <c r="D3570">
        <f t="shared" si="165"/>
        <v>101.8</v>
      </c>
      <c r="E3570">
        <f t="shared" si="166"/>
        <v>5</v>
      </c>
      <c r="F3570">
        <f t="shared" si="167"/>
        <v>1.0775510204081633</v>
      </c>
    </row>
    <row r="3571" spans="1:6" x14ac:dyDescent="0.25">
      <c r="A3571" t="s">
        <v>291</v>
      </c>
      <c r="B3571" s="1">
        <v>46076</v>
      </c>
      <c r="C3571">
        <v>98</v>
      </c>
      <c r="D3571">
        <f t="shared" si="165"/>
        <v>91</v>
      </c>
      <c r="E3571">
        <f t="shared" si="166"/>
        <v>5</v>
      </c>
      <c r="F3571">
        <f t="shared" si="167"/>
        <v>7.1428571428571425E-2</v>
      </c>
    </row>
    <row r="3572" spans="1:6" x14ac:dyDescent="0.25">
      <c r="A3572" t="s">
        <v>291</v>
      </c>
      <c r="B3572" s="1">
        <v>46083</v>
      </c>
      <c r="C3572">
        <v>43</v>
      </c>
      <c r="D3572">
        <f t="shared" si="165"/>
        <v>82.6</v>
      </c>
      <c r="E3572">
        <f t="shared" si="166"/>
        <v>5</v>
      </c>
      <c r="F3572">
        <f t="shared" si="167"/>
        <v>0.92093023255813944</v>
      </c>
    </row>
    <row r="3573" spans="1:6" x14ac:dyDescent="0.25">
      <c r="A3573" t="s">
        <v>291</v>
      </c>
      <c r="B3573" s="1">
        <v>46090</v>
      </c>
      <c r="C3573">
        <v>154</v>
      </c>
      <c r="D3573">
        <f t="shared" si="165"/>
        <v>81.400000000000006</v>
      </c>
      <c r="E3573">
        <f t="shared" si="166"/>
        <v>5</v>
      </c>
      <c r="F3573">
        <f t="shared" si="167"/>
        <v>0.47142857142857142</v>
      </c>
    </row>
    <row r="3574" spans="1:6" x14ac:dyDescent="0.25">
      <c r="A3574" t="s">
        <v>291</v>
      </c>
      <c r="B3574" s="1">
        <v>46097</v>
      </c>
      <c r="C3574">
        <v>70</v>
      </c>
      <c r="D3574">
        <f t="shared" si="165"/>
        <v>88</v>
      </c>
      <c r="E3574">
        <f t="shared" si="166"/>
        <v>5</v>
      </c>
      <c r="F3574">
        <f t="shared" si="167"/>
        <v>0.25714285714285712</v>
      </c>
    </row>
    <row r="3575" spans="1:6" x14ac:dyDescent="0.25">
      <c r="A3575" t="s">
        <v>291</v>
      </c>
      <c r="B3575" s="1">
        <v>46104</v>
      </c>
      <c r="C3575">
        <v>134</v>
      </c>
      <c r="D3575">
        <f t="shared" si="165"/>
        <v>82.8</v>
      </c>
      <c r="E3575">
        <f t="shared" si="166"/>
        <v>5</v>
      </c>
      <c r="F3575">
        <f t="shared" si="167"/>
        <v>0.38208955223880597</v>
      </c>
    </row>
    <row r="3576" spans="1:6" x14ac:dyDescent="0.25">
      <c r="A3576" t="s">
        <v>291</v>
      </c>
      <c r="B3576" s="1">
        <v>46111</v>
      </c>
      <c r="C3576">
        <v>146</v>
      </c>
      <c r="D3576">
        <f t="shared" si="165"/>
        <v>99.8</v>
      </c>
      <c r="E3576">
        <f t="shared" si="166"/>
        <v>5</v>
      </c>
      <c r="F3576">
        <f t="shared" si="167"/>
        <v>0.31643835616438359</v>
      </c>
    </row>
    <row r="3577" spans="1:6" x14ac:dyDescent="0.25">
      <c r="A3577" t="s">
        <v>291</v>
      </c>
      <c r="B3577" s="1">
        <v>46118</v>
      </c>
      <c r="C3577">
        <v>77</v>
      </c>
      <c r="D3577">
        <f t="shared" si="165"/>
        <v>109.4</v>
      </c>
      <c r="E3577">
        <f t="shared" si="166"/>
        <v>5</v>
      </c>
      <c r="F3577">
        <f t="shared" si="167"/>
        <v>0.42077922077922086</v>
      </c>
    </row>
    <row r="3578" spans="1:6" x14ac:dyDescent="0.25">
      <c r="A3578" t="s">
        <v>291</v>
      </c>
      <c r="B3578" s="1">
        <v>46125</v>
      </c>
      <c r="C3578">
        <v>68</v>
      </c>
      <c r="D3578">
        <f t="shared" si="165"/>
        <v>116.2</v>
      </c>
      <c r="E3578">
        <f t="shared" si="166"/>
        <v>5</v>
      </c>
      <c r="F3578">
        <f t="shared" si="167"/>
        <v>0.70882352941176474</v>
      </c>
    </row>
    <row r="3579" spans="1:6" x14ac:dyDescent="0.25">
      <c r="A3579" t="s">
        <v>291</v>
      </c>
      <c r="B3579" s="1">
        <v>46132</v>
      </c>
      <c r="C3579">
        <v>107</v>
      </c>
      <c r="D3579">
        <f t="shared" si="165"/>
        <v>99</v>
      </c>
      <c r="E3579">
        <f t="shared" si="166"/>
        <v>5</v>
      </c>
      <c r="F3579">
        <f t="shared" si="167"/>
        <v>7.476635514018691E-2</v>
      </c>
    </row>
    <row r="3580" spans="1:6" x14ac:dyDescent="0.25">
      <c r="A3580" t="s">
        <v>291</v>
      </c>
      <c r="B3580" s="1">
        <v>46139</v>
      </c>
      <c r="C3580">
        <v>65</v>
      </c>
      <c r="D3580">
        <f t="shared" si="165"/>
        <v>106.4</v>
      </c>
      <c r="E3580">
        <f t="shared" si="166"/>
        <v>5</v>
      </c>
      <c r="F3580">
        <f t="shared" si="167"/>
        <v>0.63692307692307704</v>
      </c>
    </row>
    <row r="3581" spans="1:6" x14ac:dyDescent="0.25">
      <c r="A3581" t="s">
        <v>291</v>
      </c>
      <c r="B3581" s="1">
        <v>46146</v>
      </c>
      <c r="C3581">
        <v>137</v>
      </c>
      <c r="D3581">
        <f t="shared" si="165"/>
        <v>92.6</v>
      </c>
      <c r="E3581">
        <f t="shared" si="166"/>
        <v>5</v>
      </c>
      <c r="F3581">
        <f t="shared" si="167"/>
        <v>0.32408759124087594</v>
      </c>
    </row>
    <row r="3582" spans="1:6" x14ac:dyDescent="0.25">
      <c r="A3582" t="s">
        <v>291</v>
      </c>
      <c r="B3582" s="1">
        <v>46153</v>
      </c>
      <c r="C3582">
        <v>112</v>
      </c>
      <c r="D3582">
        <f t="shared" si="165"/>
        <v>90.8</v>
      </c>
      <c r="E3582">
        <f t="shared" si="166"/>
        <v>5</v>
      </c>
      <c r="F3582">
        <f t="shared" si="167"/>
        <v>0.18928571428571431</v>
      </c>
    </row>
    <row r="3583" spans="1:6" x14ac:dyDescent="0.25">
      <c r="A3583" t="s">
        <v>291</v>
      </c>
      <c r="B3583" s="1">
        <v>46160</v>
      </c>
      <c r="C3583">
        <v>79</v>
      </c>
      <c r="D3583">
        <f t="shared" si="165"/>
        <v>97.8</v>
      </c>
      <c r="E3583">
        <f t="shared" si="166"/>
        <v>5</v>
      </c>
      <c r="F3583">
        <f t="shared" si="167"/>
        <v>0.23797468354430376</v>
      </c>
    </row>
    <row r="3584" spans="1:6" x14ac:dyDescent="0.25">
      <c r="A3584" t="s">
        <v>291</v>
      </c>
      <c r="B3584" s="1">
        <v>46167</v>
      </c>
      <c r="C3584">
        <v>83</v>
      </c>
      <c r="D3584">
        <f t="shared" si="165"/>
        <v>100</v>
      </c>
      <c r="E3584">
        <f t="shared" si="166"/>
        <v>5</v>
      </c>
      <c r="F3584">
        <f t="shared" si="167"/>
        <v>0.20481927710843373</v>
      </c>
    </row>
    <row r="3585" spans="1:6" x14ac:dyDescent="0.25">
      <c r="A3585" t="s">
        <v>291</v>
      </c>
      <c r="B3585" s="1">
        <v>46174</v>
      </c>
      <c r="C3585">
        <v>135</v>
      </c>
      <c r="D3585">
        <f t="shared" si="165"/>
        <v>95.2</v>
      </c>
      <c r="E3585">
        <f t="shared" si="166"/>
        <v>5</v>
      </c>
      <c r="F3585">
        <f t="shared" si="167"/>
        <v>0.29481481481481481</v>
      </c>
    </row>
    <row r="3586" spans="1:6" x14ac:dyDescent="0.25">
      <c r="A3586" t="s">
        <v>291</v>
      </c>
      <c r="B3586" s="1">
        <v>46181</v>
      </c>
      <c r="C3586">
        <v>58</v>
      </c>
      <c r="D3586">
        <f t="shared" ref="D3586:D3649" si="168">IF(E3586 &lt; 5, "", AVERAGEIFS(C:C, A:A, A3586, B:B, "&gt;=" &amp; (B3586-35), B:B, "&lt;=" &amp; (B3586-7)))</f>
        <v>109.2</v>
      </c>
      <c r="E3586">
        <f t="shared" ref="E3586:E3649" si="169">COUNTIFS(A:A, A3586, B:B, "&gt;=" &amp; (B3586-35), B:B, "&lt;=" &amp; (B3586-7))</f>
        <v>5</v>
      </c>
      <c r="F3586">
        <f t="shared" ref="F3586:F3649" si="170">IF(OR(C3586=0, D3586=""), "", ABS(C3586 - D3586) / C3586)</f>
        <v>0.88275862068965527</v>
      </c>
    </row>
    <row r="3587" spans="1:6" x14ac:dyDescent="0.25">
      <c r="A3587" t="s">
        <v>291</v>
      </c>
      <c r="B3587" s="1">
        <v>46188</v>
      </c>
      <c r="C3587">
        <v>173</v>
      </c>
      <c r="D3587">
        <f t="shared" si="168"/>
        <v>93.4</v>
      </c>
      <c r="E3587">
        <f t="shared" si="169"/>
        <v>5</v>
      </c>
      <c r="F3587">
        <f t="shared" si="170"/>
        <v>0.46011560693641618</v>
      </c>
    </row>
    <row r="3588" spans="1:6" x14ac:dyDescent="0.25">
      <c r="A3588" t="s">
        <v>291</v>
      </c>
      <c r="B3588" s="1">
        <v>46195</v>
      </c>
      <c r="C3588">
        <v>84</v>
      </c>
      <c r="D3588">
        <f t="shared" si="168"/>
        <v>105.6</v>
      </c>
      <c r="E3588">
        <f t="shared" si="169"/>
        <v>5</v>
      </c>
      <c r="F3588">
        <f t="shared" si="170"/>
        <v>0.25714285714285706</v>
      </c>
    </row>
    <row r="3589" spans="1:6" x14ac:dyDescent="0.25">
      <c r="A3589" t="s">
        <v>291</v>
      </c>
      <c r="B3589" s="1">
        <v>46202</v>
      </c>
      <c r="C3589">
        <v>106</v>
      </c>
      <c r="D3589">
        <f t="shared" si="168"/>
        <v>106.6</v>
      </c>
      <c r="E3589">
        <f t="shared" si="169"/>
        <v>5</v>
      </c>
      <c r="F3589">
        <f t="shared" si="170"/>
        <v>5.6603773584905127E-3</v>
      </c>
    </row>
    <row r="3590" spans="1:6" x14ac:dyDescent="0.25">
      <c r="A3590" t="s">
        <v>293</v>
      </c>
      <c r="B3590" s="1">
        <v>46027</v>
      </c>
      <c r="C3590">
        <v>42</v>
      </c>
      <c r="D3590" t="str">
        <f t="shared" si="168"/>
        <v/>
      </c>
      <c r="E3590">
        <f t="shared" si="169"/>
        <v>0</v>
      </c>
      <c r="F3590" t="str">
        <f t="shared" si="170"/>
        <v/>
      </c>
    </row>
    <row r="3591" spans="1:6" x14ac:dyDescent="0.25">
      <c r="A3591" t="s">
        <v>293</v>
      </c>
      <c r="B3591" s="1">
        <v>46034</v>
      </c>
      <c r="C3591">
        <v>58</v>
      </c>
      <c r="D3591" t="str">
        <f t="shared" si="168"/>
        <v/>
      </c>
      <c r="E3591">
        <f t="shared" si="169"/>
        <v>1</v>
      </c>
      <c r="F3591" t="str">
        <f t="shared" si="170"/>
        <v/>
      </c>
    </row>
    <row r="3592" spans="1:6" x14ac:dyDescent="0.25">
      <c r="A3592" t="s">
        <v>293</v>
      </c>
      <c r="B3592" s="1">
        <v>46041</v>
      </c>
      <c r="C3592">
        <v>57</v>
      </c>
      <c r="D3592" t="str">
        <f t="shared" si="168"/>
        <v/>
      </c>
      <c r="E3592">
        <f t="shared" si="169"/>
        <v>2</v>
      </c>
      <c r="F3592" t="str">
        <f t="shared" si="170"/>
        <v/>
      </c>
    </row>
    <row r="3593" spans="1:6" x14ac:dyDescent="0.25">
      <c r="A3593" t="s">
        <v>293</v>
      </c>
      <c r="B3593" s="1">
        <v>46048</v>
      </c>
      <c r="C3593">
        <v>61</v>
      </c>
      <c r="D3593" t="str">
        <f t="shared" si="168"/>
        <v/>
      </c>
      <c r="E3593">
        <f t="shared" si="169"/>
        <v>3</v>
      </c>
      <c r="F3593" t="str">
        <f t="shared" si="170"/>
        <v/>
      </c>
    </row>
    <row r="3594" spans="1:6" x14ac:dyDescent="0.25">
      <c r="A3594" t="s">
        <v>293</v>
      </c>
      <c r="B3594" s="1">
        <v>46055</v>
      </c>
      <c r="C3594">
        <v>63</v>
      </c>
      <c r="D3594" t="str">
        <f t="shared" si="168"/>
        <v/>
      </c>
      <c r="E3594">
        <f t="shared" si="169"/>
        <v>4</v>
      </c>
      <c r="F3594" t="str">
        <f t="shared" si="170"/>
        <v/>
      </c>
    </row>
    <row r="3595" spans="1:6" x14ac:dyDescent="0.25">
      <c r="A3595" t="s">
        <v>293</v>
      </c>
      <c r="B3595" s="1">
        <v>46062</v>
      </c>
      <c r="C3595">
        <v>71</v>
      </c>
      <c r="D3595">
        <f t="shared" si="168"/>
        <v>56.2</v>
      </c>
      <c r="E3595">
        <f t="shared" si="169"/>
        <v>5</v>
      </c>
      <c r="F3595">
        <f t="shared" si="170"/>
        <v>0.20845070422535208</v>
      </c>
    </row>
    <row r="3596" spans="1:6" x14ac:dyDescent="0.25">
      <c r="A3596" t="s">
        <v>293</v>
      </c>
      <c r="B3596" s="1">
        <v>46069</v>
      </c>
      <c r="C3596">
        <v>65</v>
      </c>
      <c r="D3596">
        <f t="shared" si="168"/>
        <v>62</v>
      </c>
      <c r="E3596">
        <f t="shared" si="169"/>
        <v>5</v>
      </c>
      <c r="F3596">
        <f t="shared" si="170"/>
        <v>4.6153846153846156E-2</v>
      </c>
    </row>
    <row r="3597" spans="1:6" x14ac:dyDescent="0.25">
      <c r="A3597" t="s">
        <v>293</v>
      </c>
      <c r="B3597" s="1">
        <v>46076</v>
      </c>
      <c r="C3597">
        <v>67</v>
      </c>
      <c r="D3597">
        <f t="shared" si="168"/>
        <v>63.4</v>
      </c>
      <c r="E3597">
        <f t="shared" si="169"/>
        <v>5</v>
      </c>
      <c r="F3597">
        <f t="shared" si="170"/>
        <v>5.373134328358211E-2</v>
      </c>
    </row>
    <row r="3598" spans="1:6" x14ac:dyDescent="0.25">
      <c r="A3598" t="s">
        <v>293</v>
      </c>
      <c r="B3598" s="1">
        <v>46083</v>
      </c>
      <c r="C3598">
        <v>64</v>
      </c>
      <c r="D3598">
        <f t="shared" si="168"/>
        <v>65.400000000000006</v>
      </c>
      <c r="E3598">
        <f t="shared" si="169"/>
        <v>5</v>
      </c>
      <c r="F3598">
        <f t="shared" si="170"/>
        <v>2.1875000000000089E-2</v>
      </c>
    </row>
    <row r="3599" spans="1:6" x14ac:dyDescent="0.25">
      <c r="A3599" t="s">
        <v>293</v>
      </c>
      <c r="B3599" s="1">
        <v>46090</v>
      </c>
      <c r="C3599">
        <v>71</v>
      </c>
      <c r="D3599">
        <f t="shared" si="168"/>
        <v>66</v>
      </c>
      <c r="E3599">
        <f t="shared" si="169"/>
        <v>5</v>
      </c>
      <c r="F3599">
        <f t="shared" si="170"/>
        <v>7.0422535211267609E-2</v>
      </c>
    </row>
    <row r="3600" spans="1:6" x14ac:dyDescent="0.25">
      <c r="A3600" t="s">
        <v>293</v>
      </c>
      <c r="B3600" s="1">
        <v>46097</v>
      </c>
      <c r="C3600">
        <v>77</v>
      </c>
      <c r="D3600">
        <f t="shared" si="168"/>
        <v>67.599999999999994</v>
      </c>
      <c r="E3600">
        <f t="shared" si="169"/>
        <v>5</v>
      </c>
      <c r="F3600">
        <f t="shared" si="170"/>
        <v>0.12207792207792215</v>
      </c>
    </row>
    <row r="3601" spans="1:6" x14ac:dyDescent="0.25">
      <c r="A3601" t="s">
        <v>293</v>
      </c>
      <c r="B3601" s="1">
        <v>46104</v>
      </c>
      <c r="C3601">
        <v>78</v>
      </c>
      <c r="D3601">
        <f t="shared" si="168"/>
        <v>68.8</v>
      </c>
      <c r="E3601">
        <f t="shared" si="169"/>
        <v>5</v>
      </c>
      <c r="F3601">
        <f t="shared" si="170"/>
        <v>0.11794871794871799</v>
      </c>
    </row>
    <row r="3602" spans="1:6" x14ac:dyDescent="0.25">
      <c r="A3602" t="s">
        <v>293</v>
      </c>
      <c r="B3602" s="1">
        <v>46111</v>
      </c>
      <c r="C3602">
        <v>69</v>
      </c>
      <c r="D3602">
        <f t="shared" si="168"/>
        <v>71.400000000000006</v>
      </c>
      <c r="E3602">
        <f t="shared" si="169"/>
        <v>5</v>
      </c>
      <c r="F3602">
        <f t="shared" si="170"/>
        <v>3.4782608695652258E-2</v>
      </c>
    </row>
    <row r="3603" spans="1:6" x14ac:dyDescent="0.25">
      <c r="A3603" t="s">
        <v>293</v>
      </c>
      <c r="B3603" s="1">
        <v>46118</v>
      </c>
      <c r="C3603">
        <v>65</v>
      </c>
      <c r="D3603">
        <f t="shared" si="168"/>
        <v>71.8</v>
      </c>
      <c r="E3603">
        <f t="shared" si="169"/>
        <v>5</v>
      </c>
      <c r="F3603">
        <f t="shared" si="170"/>
        <v>0.10461538461538457</v>
      </c>
    </row>
    <row r="3604" spans="1:6" x14ac:dyDescent="0.25">
      <c r="A3604" t="s">
        <v>293</v>
      </c>
      <c r="B3604" s="1">
        <v>46125</v>
      </c>
      <c r="C3604">
        <v>73</v>
      </c>
      <c r="D3604">
        <f t="shared" si="168"/>
        <v>72</v>
      </c>
      <c r="E3604">
        <f t="shared" si="169"/>
        <v>5</v>
      </c>
      <c r="F3604">
        <f t="shared" si="170"/>
        <v>1.3698630136986301E-2</v>
      </c>
    </row>
    <row r="3605" spans="1:6" x14ac:dyDescent="0.25">
      <c r="A3605" t="s">
        <v>293</v>
      </c>
      <c r="B3605" s="1">
        <v>46132</v>
      </c>
      <c r="C3605">
        <v>75</v>
      </c>
      <c r="D3605">
        <f t="shared" si="168"/>
        <v>72.400000000000006</v>
      </c>
      <c r="E3605">
        <f t="shared" si="169"/>
        <v>5</v>
      </c>
      <c r="F3605">
        <f t="shared" si="170"/>
        <v>3.4666666666666589E-2</v>
      </c>
    </row>
    <row r="3606" spans="1:6" x14ac:dyDescent="0.25">
      <c r="A3606" t="s">
        <v>293</v>
      </c>
      <c r="B3606" s="1">
        <v>46139</v>
      </c>
      <c r="C3606">
        <v>80</v>
      </c>
      <c r="D3606">
        <f t="shared" si="168"/>
        <v>72</v>
      </c>
      <c r="E3606">
        <f t="shared" si="169"/>
        <v>5</v>
      </c>
      <c r="F3606">
        <f t="shared" si="170"/>
        <v>0.1</v>
      </c>
    </row>
    <row r="3607" spans="1:6" x14ac:dyDescent="0.25">
      <c r="A3607" t="s">
        <v>293</v>
      </c>
      <c r="B3607" s="1">
        <v>46146</v>
      </c>
      <c r="C3607">
        <v>68</v>
      </c>
      <c r="D3607">
        <f t="shared" si="168"/>
        <v>72.400000000000006</v>
      </c>
      <c r="E3607">
        <f t="shared" si="169"/>
        <v>5</v>
      </c>
      <c r="F3607">
        <f t="shared" si="170"/>
        <v>6.4705882352941266E-2</v>
      </c>
    </row>
    <row r="3608" spans="1:6" x14ac:dyDescent="0.25">
      <c r="A3608" t="s">
        <v>293</v>
      </c>
      <c r="B3608" s="1">
        <v>46153</v>
      </c>
      <c r="C3608">
        <v>78</v>
      </c>
      <c r="D3608">
        <f t="shared" si="168"/>
        <v>72.2</v>
      </c>
      <c r="E3608">
        <f t="shared" si="169"/>
        <v>5</v>
      </c>
      <c r="F3608">
        <f t="shared" si="170"/>
        <v>7.4358974358974317E-2</v>
      </c>
    </row>
    <row r="3609" spans="1:6" x14ac:dyDescent="0.25">
      <c r="A3609" t="s">
        <v>293</v>
      </c>
      <c r="B3609" s="1">
        <v>46160</v>
      </c>
      <c r="C3609">
        <v>82</v>
      </c>
      <c r="D3609">
        <f t="shared" si="168"/>
        <v>74.8</v>
      </c>
      <c r="E3609">
        <f t="shared" si="169"/>
        <v>5</v>
      </c>
      <c r="F3609">
        <f t="shared" si="170"/>
        <v>8.7804878048780524E-2</v>
      </c>
    </row>
    <row r="3610" spans="1:6" x14ac:dyDescent="0.25">
      <c r="A3610" t="s">
        <v>293</v>
      </c>
      <c r="B3610" s="1">
        <v>46167</v>
      </c>
      <c r="C3610">
        <v>80</v>
      </c>
      <c r="D3610">
        <f t="shared" si="168"/>
        <v>76.599999999999994</v>
      </c>
      <c r="E3610">
        <f t="shared" si="169"/>
        <v>5</v>
      </c>
      <c r="F3610">
        <f t="shared" si="170"/>
        <v>4.2500000000000072E-2</v>
      </c>
    </row>
    <row r="3611" spans="1:6" x14ac:dyDescent="0.25">
      <c r="A3611" t="s">
        <v>293</v>
      </c>
      <c r="B3611" s="1">
        <v>46174</v>
      </c>
      <c r="C3611">
        <v>75</v>
      </c>
      <c r="D3611">
        <f t="shared" si="168"/>
        <v>77.599999999999994</v>
      </c>
      <c r="E3611">
        <f t="shared" si="169"/>
        <v>5</v>
      </c>
      <c r="F3611">
        <f t="shared" si="170"/>
        <v>3.4666666666666589E-2</v>
      </c>
    </row>
    <row r="3612" spans="1:6" x14ac:dyDescent="0.25">
      <c r="A3612" t="s">
        <v>293</v>
      </c>
      <c r="B3612" s="1">
        <v>46181</v>
      </c>
      <c r="C3612">
        <v>73</v>
      </c>
      <c r="D3612">
        <f t="shared" si="168"/>
        <v>76.599999999999994</v>
      </c>
      <c r="E3612">
        <f t="shared" si="169"/>
        <v>5</v>
      </c>
      <c r="F3612">
        <f t="shared" si="170"/>
        <v>4.9315068493150607E-2</v>
      </c>
    </row>
    <row r="3613" spans="1:6" x14ac:dyDescent="0.25">
      <c r="A3613" t="s">
        <v>293</v>
      </c>
      <c r="B3613" s="1">
        <v>46188</v>
      </c>
      <c r="C3613">
        <v>68</v>
      </c>
      <c r="D3613">
        <f t="shared" si="168"/>
        <v>77.599999999999994</v>
      </c>
      <c r="E3613">
        <f t="shared" si="169"/>
        <v>5</v>
      </c>
      <c r="F3613">
        <f t="shared" si="170"/>
        <v>0.14117647058823521</v>
      </c>
    </row>
    <row r="3614" spans="1:6" x14ac:dyDescent="0.25">
      <c r="A3614" t="s">
        <v>293</v>
      </c>
      <c r="B3614" s="1">
        <v>46195</v>
      </c>
      <c r="C3614">
        <v>68</v>
      </c>
      <c r="D3614">
        <f t="shared" si="168"/>
        <v>75.599999999999994</v>
      </c>
      <c r="E3614">
        <f t="shared" si="169"/>
        <v>5</v>
      </c>
      <c r="F3614">
        <f t="shared" si="170"/>
        <v>0.11176470588235286</v>
      </c>
    </row>
    <row r="3615" spans="1:6" x14ac:dyDescent="0.25">
      <c r="A3615" t="s">
        <v>293</v>
      </c>
      <c r="B3615" s="1">
        <v>46202</v>
      </c>
      <c r="C3615">
        <v>69</v>
      </c>
      <c r="D3615">
        <f t="shared" si="168"/>
        <v>72.8</v>
      </c>
      <c r="E3615">
        <f t="shared" si="169"/>
        <v>5</v>
      </c>
      <c r="F3615">
        <f t="shared" si="170"/>
        <v>5.5072463768115899E-2</v>
      </c>
    </row>
    <row r="3616" spans="1:6" x14ac:dyDescent="0.25">
      <c r="A3616" t="s">
        <v>295</v>
      </c>
      <c r="B3616" s="1">
        <v>46027</v>
      </c>
      <c r="C3616">
        <v>39</v>
      </c>
      <c r="D3616" t="str">
        <f t="shared" si="168"/>
        <v/>
      </c>
      <c r="E3616">
        <f t="shared" si="169"/>
        <v>0</v>
      </c>
      <c r="F3616" t="str">
        <f t="shared" si="170"/>
        <v/>
      </c>
    </row>
    <row r="3617" spans="1:6" x14ac:dyDescent="0.25">
      <c r="A3617" t="s">
        <v>295</v>
      </c>
      <c r="B3617" s="1">
        <v>46034</v>
      </c>
      <c r="C3617">
        <v>37</v>
      </c>
      <c r="D3617" t="str">
        <f t="shared" si="168"/>
        <v/>
      </c>
      <c r="E3617">
        <f t="shared" si="169"/>
        <v>1</v>
      </c>
      <c r="F3617" t="str">
        <f t="shared" si="170"/>
        <v/>
      </c>
    </row>
    <row r="3618" spans="1:6" x14ac:dyDescent="0.25">
      <c r="A3618" t="s">
        <v>295</v>
      </c>
      <c r="B3618" s="1">
        <v>46041</v>
      </c>
      <c r="C3618">
        <v>41</v>
      </c>
      <c r="D3618" t="str">
        <f t="shared" si="168"/>
        <v/>
      </c>
      <c r="E3618">
        <f t="shared" si="169"/>
        <v>2</v>
      </c>
      <c r="F3618" t="str">
        <f t="shared" si="170"/>
        <v/>
      </c>
    </row>
    <row r="3619" spans="1:6" x14ac:dyDescent="0.25">
      <c r="A3619" t="s">
        <v>295</v>
      </c>
      <c r="B3619" s="1">
        <v>46048</v>
      </c>
      <c r="C3619">
        <v>39</v>
      </c>
      <c r="D3619" t="str">
        <f t="shared" si="168"/>
        <v/>
      </c>
      <c r="E3619">
        <f t="shared" si="169"/>
        <v>3</v>
      </c>
      <c r="F3619" t="str">
        <f t="shared" si="170"/>
        <v/>
      </c>
    </row>
    <row r="3620" spans="1:6" x14ac:dyDescent="0.25">
      <c r="A3620" t="s">
        <v>295</v>
      </c>
      <c r="B3620" s="1">
        <v>46055</v>
      </c>
      <c r="C3620">
        <v>48</v>
      </c>
      <c r="D3620" t="str">
        <f t="shared" si="168"/>
        <v/>
      </c>
      <c r="E3620">
        <f t="shared" si="169"/>
        <v>4</v>
      </c>
      <c r="F3620" t="str">
        <f t="shared" si="170"/>
        <v/>
      </c>
    </row>
    <row r="3621" spans="1:6" x14ac:dyDescent="0.25">
      <c r="A3621" t="s">
        <v>295</v>
      </c>
      <c r="B3621" s="1">
        <v>46062</v>
      </c>
      <c r="C3621">
        <v>41</v>
      </c>
      <c r="D3621">
        <f t="shared" si="168"/>
        <v>40.799999999999997</v>
      </c>
      <c r="E3621">
        <f t="shared" si="169"/>
        <v>5</v>
      </c>
      <c r="F3621">
        <f t="shared" si="170"/>
        <v>4.8780487804878743E-3</v>
      </c>
    </row>
    <row r="3622" spans="1:6" x14ac:dyDescent="0.25">
      <c r="A3622" t="s">
        <v>295</v>
      </c>
      <c r="B3622" s="1">
        <v>46069</v>
      </c>
      <c r="C3622">
        <v>38</v>
      </c>
      <c r="D3622">
        <f t="shared" si="168"/>
        <v>41.2</v>
      </c>
      <c r="E3622">
        <f t="shared" si="169"/>
        <v>5</v>
      </c>
      <c r="F3622">
        <f t="shared" si="170"/>
        <v>8.4210526315789555E-2</v>
      </c>
    </row>
    <row r="3623" spans="1:6" x14ac:dyDescent="0.25">
      <c r="A3623" t="s">
        <v>295</v>
      </c>
      <c r="B3623" s="1">
        <v>46076</v>
      </c>
      <c r="C3623">
        <v>38</v>
      </c>
      <c r="D3623">
        <f t="shared" si="168"/>
        <v>41.4</v>
      </c>
      <c r="E3623">
        <f t="shared" si="169"/>
        <v>5</v>
      </c>
      <c r="F3623">
        <f t="shared" si="170"/>
        <v>8.9473684210526275E-2</v>
      </c>
    </row>
    <row r="3624" spans="1:6" x14ac:dyDescent="0.25">
      <c r="A3624" t="s">
        <v>295</v>
      </c>
      <c r="B3624" s="1">
        <v>46083</v>
      </c>
      <c r="C3624">
        <v>43</v>
      </c>
      <c r="D3624">
        <f t="shared" si="168"/>
        <v>40.799999999999997</v>
      </c>
      <c r="E3624">
        <f t="shared" si="169"/>
        <v>5</v>
      </c>
      <c r="F3624">
        <f t="shared" si="170"/>
        <v>5.1162790697674487E-2</v>
      </c>
    </row>
    <row r="3625" spans="1:6" x14ac:dyDescent="0.25">
      <c r="A3625" t="s">
        <v>295</v>
      </c>
      <c r="B3625" s="1">
        <v>46090</v>
      </c>
      <c r="C3625">
        <v>44</v>
      </c>
      <c r="D3625">
        <f t="shared" si="168"/>
        <v>41.6</v>
      </c>
      <c r="E3625">
        <f t="shared" si="169"/>
        <v>5</v>
      </c>
      <c r="F3625">
        <f t="shared" si="170"/>
        <v>5.4545454545454515E-2</v>
      </c>
    </row>
    <row r="3626" spans="1:6" x14ac:dyDescent="0.25">
      <c r="A3626" t="s">
        <v>295</v>
      </c>
      <c r="B3626" s="1">
        <v>46097</v>
      </c>
      <c r="C3626">
        <v>35</v>
      </c>
      <c r="D3626">
        <f t="shared" si="168"/>
        <v>40.799999999999997</v>
      </c>
      <c r="E3626">
        <f t="shared" si="169"/>
        <v>5</v>
      </c>
      <c r="F3626">
        <f t="shared" si="170"/>
        <v>0.16571428571428562</v>
      </c>
    </row>
    <row r="3627" spans="1:6" x14ac:dyDescent="0.25">
      <c r="A3627" t="s">
        <v>295</v>
      </c>
      <c r="B3627" s="1">
        <v>46104</v>
      </c>
      <c r="C3627">
        <v>37</v>
      </c>
      <c r="D3627">
        <f t="shared" si="168"/>
        <v>39.6</v>
      </c>
      <c r="E3627">
        <f t="shared" si="169"/>
        <v>5</v>
      </c>
      <c r="F3627">
        <f t="shared" si="170"/>
        <v>7.0270270270270302E-2</v>
      </c>
    </row>
    <row r="3628" spans="1:6" x14ac:dyDescent="0.25">
      <c r="A3628" t="s">
        <v>295</v>
      </c>
      <c r="B3628" s="1">
        <v>46111</v>
      </c>
      <c r="C3628">
        <v>48</v>
      </c>
      <c r="D3628">
        <f t="shared" si="168"/>
        <v>39.4</v>
      </c>
      <c r="E3628">
        <f t="shared" si="169"/>
        <v>5</v>
      </c>
      <c r="F3628">
        <f t="shared" si="170"/>
        <v>0.1791666666666667</v>
      </c>
    </row>
    <row r="3629" spans="1:6" x14ac:dyDescent="0.25">
      <c r="A3629" t="s">
        <v>295</v>
      </c>
      <c r="B3629" s="1">
        <v>46118</v>
      </c>
      <c r="C3629">
        <v>42</v>
      </c>
      <c r="D3629">
        <f t="shared" si="168"/>
        <v>41.4</v>
      </c>
      <c r="E3629">
        <f t="shared" si="169"/>
        <v>5</v>
      </c>
      <c r="F3629">
        <f t="shared" si="170"/>
        <v>1.428571428571432E-2</v>
      </c>
    </row>
    <row r="3630" spans="1:6" x14ac:dyDescent="0.25">
      <c r="A3630" t="s">
        <v>295</v>
      </c>
      <c r="B3630" s="1">
        <v>46125</v>
      </c>
      <c r="C3630">
        <v>50</v>
      </c>
      <c r="D3630">
        <f t="shared" si="168"/>
        <v>41.2</v>
      </c>
      <c r="E3630">
        <f t="shared" si="169"/>
        <v>5</v>
      </c>
      <c r="F3630">
        <f t="shared" si="170"/>
        <v>0.17599999999999993</v>
      </c>
    </row>
    <row r="3631" spans="1:6" x14ac:dyDescent="0.25">
      <c r="A3631" t="s">
        <v>295</v>
      </c>
      <c r="B3631" s="1">
        <v>46132</v>
      </c>
      <c r="C3631">
        <v>44</v>
      </c>
      <c r="D3631">
        <f t="shared" si="168"/>
        <v>42.4</v>
      </c>
      <c r="E3631">
        <f t="shared" si="169"/>
        <v>5</v>
      </c>
      <c r="F3631">
        <f t="shared" si="170"/>
        <v>3.6363636363636397E-2</v>
      </c>
    </row>
    <row r="3632" spans="1:6" x14ac:dyDescent="0.25">
      <c r="A3632" t="s">
        <v>295</v>
      </c>
      <c r="B3632" s="1">
        <v>46139</v>
      </c>
      <c r="C3632">
        <v>42</v>
      </c>
      <c r="D3632">
        <f t="shared" si="168"/>
        <v>44.2</v>
      </c>
      <c r="E3632">
        <f t="shared" si="169"/>
        <v>5</v>
      </c>
      <c r="F3632">
        <f t="shared" si="170"/>
        <v>5.2380952380952452E-2</v>
      </c>
    </row>
    <row r="3633" spans="1:6" x14ac:dyDescent="0.25">
      <c r="A3633" t="s">
        <v>295</v>
      </c>
      <c r="B3633" s="1">
        <v>46146</v>
      </c>
      <c r="C3633">
        <v>48</v>
      </c>
      <c r="D3633">
        <f t="shared" si="168"/>
        <v>45.2</v>
      </c>
      <c r="E3633">
        <f t="shared" si="169"/>
        <v>5</v>
      </c>
      <c r="F3633">
        <f t="shared" si="170"/>
        <v>5.8333333333333272E-2</v>
      </c>
    </row>
    <row r="3634" spans="1:6" x14ac:dyDescent="0.25">
      <c r="A3634" t="s">
        <v>295</v>
      </c>
      <c r="B3634" s="1">
        <v>46153</v>
      </c>
      <c r="C3634">
        <v>48</v>
      </c>
      <c r="D3634">
        <f t="shared" si="168"/>
        <v>45.2</v>
      </c>
      <c r="E3634">
        <f t="shared" si="169"/>
        <v>5</v>
      </c>
      <c r="F3634">
        <f t="shared" si="170"/>
        <v>5.8333333333333272E-2</v>
      </c>
    </row>
    <row r="3635" spans="1:6" x14ac:dyDescent="0.25">
      <c r="A3635" t="s">
        <v>295</v>
      </c>
      <c r="B3635" s="1">
        <v>46160</v>
      </c>
      <c r="C3635">
        <v>62</v>
      </c>
      <c r="D3635">
        <f t="shared" si="168"/>
        <v>46.4</v>
      </c>
      <c r="E3635">
        <f t="shared" si="169"/>
        <v>5</v>
      </c>
      <c r="F3635">
        <f t="shared" si="170"/>
        <v>0.25161290322580648</v>
      </c>
    </row>
    <row r="3636" spans="1:6" x14ac:dyDescent="0.25">
      <c r="A3636" t="s">
        <v>295</v>
      </c>
      <c r="B3636" s="1">
        <v>46167</v>
      </c>
      <c r="C3636">
        <v>56</v>
      </c>
      <c r="D3636">
        <f t="shared" si="168"/>
        <v>48.8</v>
      </c>
      <c r="E3636">
        <f t="shared" si="169"/>
        <v>5</v>
      </c>
      <c r="F3636">
        <f t="shared" si="170"/>
        <v>0.12857142857142861</v>
      </c>
    </row>
    <row r="3637" spans="1:6" x14ac:dyDescent="0.25">
      <c r="A3637" t="s">
        <v>295</v>
      </c>
      <c r="B3637" s="1">
        <v>46174</v>
      </c>
      <c r="C3637">
        <v>47</v>
      </c>
      <c r="D3637">
        <f t="shared" si="168"/>
        <v>51.2</v>
      </c>
      <c r="E3637">
        <f t="shared" si="169"/>
        <v>5</v>
      </c>
      <c r="F3637">
        <f t="shared" si="170"/>
        <v>8.9361702127659634E-2</v>
      </c>
    </row>
    <row r="3638" spans="1:6" x14ac:dyDescent="0.25">
      <c r="A3638" t="s">
        <v>295</v>
      </c>
      <c r="B3638" s="1">
        <v>46181</v>
      </c>
      <c r="C3638">
        <v>50</v>
      </c>
      <c r="D3638">
        <f t="shared" si="168"/>
        <v>52.2</v>
      </c>
      <c r="E3638">
        <f t="shared" si="169"/>
        <v>5</v>
      </c>
      <c r="F3638">
        <f t="shared" si="170"/>
        <v>4.400000000000006E-2</v>
      </c>
    </row>
    <row r="3639" spans="1:6" x14ac:dyDescent="0.25">
      <c r="A3639" t="s">
        <v>295</v>
      </c>
      <c r="B3639" s="1">
        <v>46188</v>
      </c>
      <c r="C3639">
        <v>52</v>
      </c>
      <c r="D3639">
        <f t="shared" si="168"/>
        <v>52.6</v>
      </c>
      <c r="E3639">
        <f t="shared" si="169"/>
        <v>5</v>
      </c>
      <c r="F3639">
        <f t="shared" si="170"/>
        <v>1.1538461538461565E-2</v>
      </c>
    </row>
    <row r="3640" spans="1:6" x14ac:dyDescent="0.25">
      <c r="A3640" t="s">
        <v>295</v>
      </c>
      <c r="B3640" s="1">
        <v>46195</v>
      </c>
      <c r="C3640">
        <v>52</v>
      </c>
      <c r="D3640">
        <f t="shared" si="168"/>
        <v>53.4</v>
      </c>
      <c r="E3640">
        <f t="shared" si="169"/>
        <v>5</v>
      </c>
      <c r="F3640">
        <f t="shared" si="170"/>
        <v>2.6923076923076897E-2</v>
      </c>
    </row>
    <row r="3641" spans="1:6" x14ac:dyDescent="0.25">
      <c r="A3641" t="s">
        <v>295</v>
      </c>
      <c r="B3641" s="1">
        <v>46202</v>
      </c>
      <c r="C3641">
        <v>54</v>
      </c>
      <c r="D3641">
        <f t="shared" si="168"/>
        <v>51.4</v>
      </c>
      <c r="E3641">
        <f t="shared" si="169"/>
        <v>5</v>
      </c>
      <c r="F3641">
        <f t="shared" si="170"/>
        <v>4.8148148148148176E-2</v>
      </c>
    </row>
    <row r="3642" spans="1:6" x14ac:dyDescent="0.25">
      <c r="A3642" t="s">
        <v>297</v>
      </c>
      <c r="B3642" s="1">
        <v>46027</v>
      </c>
      <c r="C3642">
        <v>86</v>
      </c>
      <c r="D3642" t="str">
        <f t="shared" si="168"/>
        <v/>
      </c>
      <c r="E3642">
        <f t="shared" si="169"/>
        <v>0</v>
      </c>
      <c r="F3642" t="str">
        <f t="shared" si="170"/>
        <v/>
      </c>
    </row>
    <row r="3643" spans="1:6" x14ac:dyDescent="0.25">
      <c r="A3643" t="s">
        <v>297</v>
      </c>
      <c r="B3643" s="1">
        <v>46034</v>
      </c>
      <c r="C3643">
        <v>119</v>
      </c>
      <c r="D3643" t="str">
        <f t="shared" si="168"/>
        <v/>
      </c>
      <c r="E3643">
        <f t="shared" si="169"/>
        <v>1</v>
      </c>
      <c r="F3643" t="str">
        <f t="shared" si="170"/>
        <v/>
      </c>
    </row>
    <row r="3644" spans="1:6" x14ac:dyDescent="0.25">
      <c r="A3644" t="s">
        <v>297</v>
      </c>
      <c r="B3644" s="1">
        <v>46041</v>
      </c>
      <c r="C3644">
        <v>137</v>
      </c>
      <c r="D3644" t="str">
        <f t="shared" si="168"/>
        <v/>
      </c>
      <c r="E3644">
        <f t="shared" si="169"/>
        <v>2</v>
      </c>
      <c r="F3644" t="str">
        <f t="shared" si="170"/>
        <v/>
      </c>
    </row>
    <row r="3645" spans="1:6" x14ac:dyDescent="0.25">
      <c r="A3645" t="s">
        <v>297</v>
      </c>
      <c r="B3645" s="1">
        <v>46048</v>
      </c>
      <c r="C3645">
        <v>96</v>
      </c>
      <c r="D3645" t="str">
        <f t="shared" si="168"/>
        <v/>
      </c>
      <c r="E3645">
        <f t="shared" si="169"/>
        <v>3</v>
      </c>
      <c r="F3645" t="str">
        <f t="shared" si="170"/>
        <v/>
      </c>
    </row>
    <row r="3646" spans="1:6" x14ac:dyDescent="0.25">
      <c r="A3646" t="s">
        <v>297</v>
      </c>
      <c r="B3646" s="1">
        <v>46055</v>
      </c>
      <c r="C3646">
        <v>81</v>
      </c>
      <c r="D3646" t="str">
        <f t="shared" si="168"/>
        <v/>
      </c>
      <c r="E3646">
        <f t="shared" si="169"/>
        <v>4</v>
      </c>
      <c r="F3646" t="str">
        <f t="shared" si="170"/>
        <v/>
      </c>
    </row>
    <row r="3647" spans="1:6" x14ac:dyDescent="0.25">
      <c r="A3647" t="s">
        <v>297</v>
      </c>
      <c r="B3647" s="1">
        <v>46062</v>
      </c>
      <c r="C3647">
        <v>106</v>
      </c>
      <c r="D3647">
        <f t="shared" si="168"/>
        <v>103.8</v>
      </c>
      <c r="E3647">
        <f t="shared" si="169"/>
        <v>5</v>
      </c>
      <c r="F3647">
        <f t="shared" si="170"/>
        <v>2.0754716981132102E-2</v>
      </c>
    </row>
    <row r="3648" spans="1:6" x14ac:dyDescent="0.25">
      <c r="A3648" t="s">
        <v>297</v>
      </c>
      <c r="B3648" s="1">
        <v>46069</v>
      </c>
      <c r="C3648">
        <v>136</v>
      </c>
      <c r="D3648">
        <f t="shared" si="168"/>
        <v>107.8</v>
      </c>
      <c r="E3648">
        <f t="shared" si="169"/>
        <v>5</v>
      </c>
      <c r="F3648">
        <f t="shared" si="170"/>
        <v>0.2073529411764706</v>
      </c>
    </row>
    <row r="3649" spans="1:6" x14ac:dyDescent="0.25">
      <c r="A3649" t="s">
        <v>297</v>
      </c>
      <c r="B3649" s="1">
        <v>46076</v>
      </c>
      <c r="C3649">
        <v>121</v>
      </c>
      <c r="D3649">
        <f t="shared" si="168"/>
        <v>111.2</v>
      </c>
      <c r="E3649">
        <f t="shared" si="169"/>
        <v>5</v>
      </c>
      <c r="F3649">
        <f t="shared" si="170"/>
        <v>8.0991735537190065E-2</v>
      </c>
    </row>
    <row r="3650" spans="1:6" x14ac:dyDescent="0.25">
      <c r="A3650" t="s">
        <v>297</v>
      </c>
      <c r="B3650" s="1">
        <v>46083</v>
      </c>
      <c r="C3650">
        <v>145</v>
      </c>
      <c r="D3650">
        <f t="shared" ref="D3650:D3713" si="171">IF(E3650 &lt; 5, "", AVERAGEIFS(C:C, A:A, A3650, B:B, "&gt;=" &amp; (B3650-35), B:B, "&lt;=" &amp; (B3650-7)))</f>
        <v>108</v>
      </c>
      <c r="E3650">
        <f t="shared" ref="E3650:E3713" si="172">COUNTIFS(A:A, A3650, B:B, "&gt;=" &amp; (B3650-35), B:B, "&lt;=" &amp; (B3650-7))</f>
        <v>5</v>
      </c>
      <c r="F3650">
        <f t="shared" ref="F3650:F3713" si="173">IF(OR(C3650=0, D3650=""), "", ABS(C3650 - D3650) / C3650)</f>
        <v>0.25517241379310346</v>
      </c>
    </row>
    <row r="3651" spans="1:6" x14ac:dyDescent="0.25">
      <c r="A3651" t="s">
        <v>297</v>
      </c>
      <c r="B3651" s="1">
        <v>46090</v>
      </c>
      <c r="C3651">
        <v>126</v>
      </c>
      <c r="D3651">
        <f t="shared" si="171"/>
        <v>117.8</v>
      </c>
      <c r="E3651">
        <f t="shared" si="172"/>
        <v>5</v>
      </c>
      <c r="F3651">
        <f t="shared" si="173"/>
        <v>6.5079365079365098E-2</v>
      </c>
    </row>
    <row r="3652" spans="1:6" x14ac:dyDescent="0.25">
      <c r="A3652" t="s">
        <v>297</v>
      </c>
      <c r="B3652" s="1">
        <v>46097</v>
      </c>
      <c r="C3652">
        <v>113</v>
      </c>
      <c r="D3652">
        <f t="shared" si="171"/>
        <v>126.8</v>
      </c>
      <c r="E3652">
        <f t="shared" si="172"/>
        <v>5</v>
      </c>
      <c r="F3652">
        <f t="shared" si="173"/>
        <v>0.12212389380530971</v>
      </c>
    </row>
    <row r="3653" spans="1:6" x14ac:dyDescent="0.25">
      <c r="A3653" t="s">
        <v>297</v>
      </c>
      <c r="B3653" s="1">
        <v>46104</v>
      </c>
      <c r="C3653">
        <v>108</v>
      </c>
      <c r="D3653">
        <f t="shared" si="171"/>
        <v>128.19999999999999</v>
      </c>
      <c r="E3653">
        <f t="shared" si="172"/>
        <v>5</v>
      </c>
      <c r="F3653">
        <f t="shared" si="173"/>
        <v>0.18703703703703692</v>
      </c>
    </row>
    <row r="3654" spans="1:6" x14ac:dyDescent="0.25">
      <c r="A3654" t="s">
        <v>297</v>
      </c>
      <c r="B3654" s="1">
        <v>46111</v>
      </c>
      <c r="C3654">
        <v>130</v>
      </c>
      <c r="D3654">
        <f t="shared" si="171"/>
        <v>122.6</v>
      </c>
      <c r="E3654">
        <f t="shared" si="172"/>
        <v>5</v>
      </c>
      <c r="F3654">
        <f t="shared" si="173"/>
        <v>5.6923076923076965E-2</v>
      </c>
    </row>
    <row r="3655" spans="1:6" x14ac:dyDescent="0.25">
      <c r="A3655" t="s">
        <v>297</v>
      </c>
      <c r="B3655" s="1">
        <v>46118</v>
      </c>
      <c r="C3655">
        <v>132</v>
      </c>
      <c r="D3655">
        <f t="shared" si="171"/>
        <v>124.4</v>
      </c>
      <c r="E3655">
        <f t="shared" si="172"/>
        <v>5</v>
      </c>
      <c r="F3655">
        <f t="shared" si="173"/>
        <v>5.757575757575753E-2</v>
      </c>
    </row>
    <row r="3656" spans="1:6" x14ac:dyDescent="0.25">
      <c r="A3656" t="s">
        <v>297</v>
      </c>
      <c r="B3656" s="1">
        <v>46125</v>
      </c>
      <c r="C3656">
        <v>134</v>
      </c>
      <c r="D3656">
        <f t="shared" si="171"/>
        <v>121.8</v>
      </c>
      <c r="E3656">
        <f t="shared" si="172"/>
        <v>5</v>
      </c>
      <c r="F3656">
        <f t="shared" si="173"/>
        <v>9.1044776119403009E-2</v>
      </c>
    </row>
    <row r="3657" spans="1:6" x14ac:dyDescent="0.25">
      <c r="A3657" t="s">
        <v>297</v>
      </c>
      <c r="B3657" s="1">
        <v>46132</v>
      </c>
      <c r="C3657">
        <v>111</v>
      </c>
      <c r="D3657">
        <f t="shared" si="171"/>
        <v>123.4</v>
      </c>
      <c r="E3657">
        <f t="shared" si="172"/>
        <v>5</v>
      </c>
      <c r="F3657">
        <f t="shared" si="173"/>
        <v>0.11171171171171176</v>
      </c>
    </row>
    <row r="3658" spans="1:6" x14ac:dyDescent="0.25">
      <c r="A3658" t="s">
        <v>297</v>
      </c>
      <c r="B3658" s="1">
        <v>46139</v>
      </c>
      <c r="C3658">
        <v>106</v>
      </c>
      <c r="D3658">
        <f t="shared" si="171"/>
        <v>123</v>
      </c>
      <c r="E3658">
        <f t="shared" si="172"/>
        <v>5</v>
      </c>
      <c r="F3658">
        <f t="shared" si="173"/>
        <v>0.16037735849056603</v>
      </c>
    </row>
    <row r="3659" spans="1:6" x14ac:dyDescent="0.25">
      <c r="A3659" t="s">
        <v>297</v>
      </c>
      <c r="B3659" s="1">
        <v>46146</v>
      </c>
      <c r="C3659">
        <v>134</v>
      </c>
      <c r="D3659">
        <f t="shared" si="171"/>
        <v>122.6</v>
      </c>
      <c r="E3659">
        <f t="shared" si="172"/>
        <v>5</v>
      </c>
      <c r="F3659">
        <f t="shared" si="173"/>
        <v>8.5074626865671688E-2</v>
      </c>
    </row>
    <row r="3660" spans="1:6" x14ac:dyDescent="0.25">
      <c r="A3660" t="s">
        <v>297</v>
      </c>
      <c r="B3660" s="1">
        <v>46153</v>
      </c>
      <c r="C3660">
        <v>149</v>
      </c>
      <c r="D3660">
        <f t="shared" si="171"/>
        <v>123.4</v>
      </c>
      <c r="E3660">
        <f t="shared" si="172"/>
        <v>5</v>
      </c>
      <c r="F3660">
        <f t="shared" si="173"/>
        <v>0.17181208053691271</v>
      </c>
    </row>
    <row r="3661" spans="1:6" x14ac:dyDescent="0.25">
      <c r="A3661" t="s">
        <v>297</v>
      </c>
      <c r="B3661" s="1">
        <v>46160</v>
      </c>
      <c r="C3661">
        <v>158</v>
      </c>
      <c r="D3661">
        <f t="shared" si="171"/>
        <v>126.8</v>
      </c>
      <c r="E3661">
        <f t="shared" si="172"/>
        <v>5</v>
      </c>
      <c r="F3661">
        <f t="shared" si="173"/>
        <v>0.19746835443037977</v>
      </c>
    </row>
    <row r="3662" spans="1:6" x14ac:dyDescent="0.25">
      <c r="A3662" t="s">
        <v>297</v>
      </c>
      <c r="B3662" s="1">
        <v>46167</v>
      </c>
      <c r="C3662">
        <v>99</v>
      </c>
      <c r="D3662">
        <f t="shared" si="171"/>
        <v>131.6</v>
      </c>
      <c r="E3662">
        <f t="shared" si="172"/>
        <v>5</v>
      </c>
      <c r="F3662">
        <f t="shared" si="173"/>
        <v>0.32929292929292925</v>
      </c>
    </row>
    <row r="3663" spans="1:6" x14ac:dyDescent="0.25">
      <c r="A3663" t="s">
        <v>297</v>
      </c>
      <c r="B3663" s="1">
        <v>46174</v>
      </c>
      <c r="C3663">
        <v>140</v>
      </c>
      <c r="D3663">
        <f t="shared" si="171"/>
        <v>129.19999999999999</v>
      </c>
      <c r="E3663">
        <f t="shared" si="172"/>
        <v>5</v>
      </c>
      <c r="F3663">
        <f t="shared" si="173"/>
        <v>7.7142857142857221E-2</v>
      </c>
    </row>
    <row r="3664" spans="1:6" x14ac:dyDescent="0.25">
      <c r="A3664" t="s">
        <v>297</v>
      </c>
      <c r="B3664" s="1">
        <v>46181</v>
      </c>
      <c r="C3664">
        <v>129</v>
      </c>
      <c r="D3664">
        <f t="shared" si="171"/>
        <v>136</v>
      </c>
      <c r="E3664">
        <f t="shared" si="172"/>
        <v>5</v>
      </c>
      <c r="F3664">
        <f t="shared" si="173"/>
        <v>5.4263565891472867E-2</v>
      </c>
    </row>
    <row r="3665" spans="1:6" x14ac:dyDescent="0.25">
      <c r="A3665" t="s">
        <v>297</v>
      </c>
      <c r="B3665" s="1">
        <v>46188</v>
      </c>
      <c r="C3665">
        <v>104</v>
      </c>
      <c r="D3665">
        <f t="shared" si="171"/>
        <v>135</v>
      </c>
      <c r="E3665">
        <f t="shared" si="172"/>
        <v>5</v>
      </c>
      <c r="F3665">
        <f t="shared" si="173"/>
        <v>0.29807692307692307</v>
      </c>
    </row>
    <row r="3666" spans="1:6" x14ac:dyDescent="0.25">
      <c r="A3666" t="s">
        <v>297</v>
      </c>
      <c r="B3666" s="1">
        <v>46195</v>
      </c>
      <c r="C3666">
        <v>153</v>
      </c>
      <c r="D3666">
        <f t="shared" si="171"/>
        <v>126</v>
      </c>
      <c r="E3666">
        <f t="shared" si="172"/>
        <v>5</v>
      </c>
      <c r="F3666">
        <f t="shared" si="173"/>
        <v>0.17647058823529413</v>
      </c>
    </row>
    <row r="3667" spans="1:6" x14ac:dyDescent="0.25">
      <c r="A3667" t="s">
        <v>297</v>
      </c>
      <c r="B3667" s="1">
        <v>46202</v>
      </c>
      <c r="C3667">
        <v>132</v>
      </c>
      <c r="D3667">
        <f t="shared" si="171"/>
        <v>125</v>
      </c>
      <c r="E3667">
        <f t="shared" si="172"/>
        <v>5</v>
      </c>
      <c r="F3667">
        <f t="shared" si="173"/>
        <v>5.3030303030303032E-2</v>
      </c>
    </row>
    <row r="3668" spans="1:6" x14ac:dyDescent="0.25">
      <c r="A3668" t="s">
        <v>299</v>
      </c>
      <c r="B3668" s="1">
        <v>46027</v>
      </c>
      <c r="C3668">
        <v>80</v>
      </c>
      <c r="D3668" t="str">
        <f t="shared" si="171"/>
        <v/>
      </c>
      <c r="E3668">
        <f t="shared" si="172"/>
        <v>0</v>
      </c>
      <c r="F3668" t="str">
        <f t="shared" si="173"/>
        <v/>
      </c>
    </row>
    <row r="3669" spans="1:6" x14ac:dyDescent="0.25">
      <c r="A3669" t="s">
        <v>299</v>
      </c>
      <c r="B3669" s="1">
        <v>46034</v>
      </c>
      <c r="C3669">
        <v>95</v>
      </c>
      <c r="D3669" t="str">
        <f t="shared" si="171"/>
        <v/>
      </c>
      <c r="E3669">
        <f t="shared" si="172"/>
        <v>1</v>
      </c>
      <c r="F3669" t="str">
        <f t="shared" si="173"/>
        <v/>
      </c>
    </row>
    <row r="3670" spans="1:6" x14ac:dyDescent="0.25">
      <c r="A3670" t="s">
        <v>299</v>
      </c>
      <c r="B3670" s="1">
        <v>46041</v>
      </c>
      <c r="C3670">
        <v>72</v>
      </c>
      <c r="D3670" t="str">
        <f t="shared" si="171"/>
        <v/>
      </c>
      <c r="E3670">
        <f t="shared" si="172"/>
        <v>2</v>
      </c>
      <c r="F3670" t="str">
        <f t="shared" si="173"/>
        <v/>
      </c>
    </row>
    <row r="3671" spans="1:6" x14ac:dyDescent="0.25">
      <c r="A3671" t="s">
        <v>299</v>
      </c>
      <c r="B3671" s="1">
        <v>46048</v>
      </c>
      <c r="C3671">
        <v>132</v>
      </c>
      <c r="D3671" t="str">
        <f t="shared" si="171"/>
        <v/>
      </c>
      <c r="E3671">
        <f t="shared" si="172"/>
        <v>3</v>
      </c>
      <c r="F3671" t="str">
        <f t="shared" si="173"/>
        <v/>
      </c>
    </row>
    <row r="3672" spans="1:6" x14ac:dyDescent="0.25">
      <c r="A3672" t="s">
        <v>299</v>
      </c>
      <c r="B3672" s="1">
        <v>46055</v>
      </c>
      <c r="C3672">
        <v>148</v>
      </c>
      <c r="D3672" t="str">
        <f t="shared" si="171"/>
        <v/>
      </c>
      <c r="E3672">
        <f t="shared" si="172"/>
        <v>4</v>
      </c>
      <c r="F3672" t="str">
        <f t="shared" si="173"/>
        <v/>
      </c>
    </row>
    <row r="3673" spans="1:6" x14ac:dyDescent="0.25">
      <c r="A3673" t="s">
        <v>299</v>
      </c>
      <c r="B3673" s="1">
        <v>46062</v>
      </c>
      <c r="C3673">
        <v>101</v>
      </c>
      <c r="D3673">
        <f t="shared" si="171"/>
        <v>105.4</v>
      </c>
      <c r="E3673">
        <f t="shared" si="172"/>
        <v>5</v>
      </c>
      <c r="F3673">
        <f t="shared" si="173"/>
        <v>4.3564356435643624E-2</v>
      </c>
    </row>
    <row r="3674" spans="1:6" x14ac:dyDescent="0.25">
      <c r="A3674" t="s">
        <v>299</v>
      </c>
      <c r="B3674" s="1">
        <v>46069</v>
      </c>
      <c r="C3674">
        <v>102</v>
      </c>
      <c r="D3674">
        <f t="shared" si="171"/>
        <v>109.6</v>
      </c>
      <c r="E3674">
        <f t="shared" si="172"/>
        <v>5</v>
      </c>
      <c r="F3674">
        <f t="shared" si="173"/>
        <v>7.4509803921568571E-2</v>
      </c>
    </row>
    <row r="3675" spans="1:6" x14ac:dyDescent="0.25">
      <c r="A3675" t="s">
        <v>299</v>
      </c>
      <c r="B3675" s="1">
        <v>46076</v>
      </c>
      <c r="C3675">
        <v>105</v>
      </c>
      <c r="D3675">
        <f t="shared" si="171"/>
        <v>111</v>
      </c>
      <c r="E3675">
        <f t="shared" si="172"/>
        <v>5</v>
      </c>
      <c r="F3675">
        <f t="shared" si="173"/>
        <v>5.7142857142857141E-2</v>
      </c>
    </row>
    <row r="3676" spans="1:6" x14ac:dyDescent="0.25">
      <c r="A3676" t="s">
        <v>299</v>
      </c>
      <c r="B3676" s="1">
        <v>46083</v>
      </c>
      <c r="C3676">
        <v>107</v>
      </c>
      <c r="D3676">
        <f t="shared" si="171"/>
        <v>117.6</v>
      </c>
      <c r="E3676">
        <f t="shared" si="172"/>
        <v>5</v>
      </c>
      <c r="F3676">
        <f t="shared" si="173"/>
        <v>9.9065420560747616E-2</v>
      </c>
    </row>
    <row r="3677" spans="1:6" x14ac:dyDescent="0.25">
      <c r="A3677" t="s">
        <v>299</v>
      </c>
      <c r="B3677" s="1">
        <v>46090</v>
      </c>
      <c r="C3677">
        <v>127</v>
      </c>
      <c r="D3677">
        <f t="shared" si="171"/>
        <v>112.6</v>
      </c>
      <c r="E3677">
        <f t="shared" si="172"/>
        <v>5</v>
      </c>
      <c r="F3677">
        <f t="shared" si="173"/>
        <v>0.11338582677165358</v>
      </c>
    </row>
    <row r="3678" spans="1:6" x14ac:dyDescent="0.25">
      <c r="A3678" t="s">
        <v>299</v>
      </c>
      <c r="B3678" s="1">
        <v>46097</v>
      </c>
      <c r="C3678">
        <v>144</v>
      </c>
      <c r="D3678">
        <f t="shared" si="171"/>
        <v>108.4</v>
      </c>
      <c r="E3678">
        <f t="shared" si="172"/>
        <v>5</v>
      </c>
      <c r="F3678">
        <f t="shared" si="173"/>
        <v>0.24722222222222218</v>
      </c>
    </row>
    <row r="3679" spans="1:6" x14ac:dyDescent="0.25">
      <c r="A3679" t="s">
        <v>299</v>
      </c>
      <c r="B3679" s="1">
        <v>46104</v>
      </c>
      <c r="C3679">
        <v>104</v>
      </c>
      <c r="D3679">
        <f t="shared" si="171"/>
        <v>117</v>
      </c>
      <c r="E3679">
        <f t="shared" si="172"/>
        <v>5</v>
      </c>
      <c r="F3679">
        <f t="shared" si="173"/>
        <v>0.125</v>
      </c>
    </row>
    <row r="3680" spans="1:6" x14ac:dyDescent="0.25">
      <c r="A3680" t="s">
        <v>299</v>
      </c>
      <c r="B3680" s="1">
        <v>46111</v>
      </c>
      <c r="C3680">
        <v>129</v>
      </c>
      <c r="D3680">
        <f t="shared" si="171"/>
        <v>117.4</v>
      </c>
      <c r="E3680">
        <f t="shared" si="172"/>
        <v>5</v>
      </c>
      <c r="F3680">
        <f t="shared" si="173"/>
        <v>8.9922480620154996E-2</v>
      </c>
    </row>
    <row r="3681" spans="1:6" x14ac:dyDescent="0.25">
      <c r="A3681" t="s">
        <v>299</v>
      </c>
      <c r="B3681" s="1">
        <v>46118</v>
      </c>
      <c r="C3681">
        <v>93</v>
      </c>
      <c r="D3681">
        <f t="shared" si="171"/>
        <v>122.2</v>
      </c>
      <c r="E3681">
        <f t="shared" si="172"/>
        <v>5</v>
      </c>
      <c r="F3681">
        <f t="shared" si="173"/>
        <v>0.31397849462365596</v>
      </c>
    </row>
    <row r="3682" spans="1:6" x14ac:dyDescent="0.25">
      <c r="A3682" t="s">
        <v>299</v>
      </c>
      <c r="B3682" s="1">
        <v>46125</v>
      </c>
      <c r="C3682">
        <v>150</v>
      </c>
      <c r="D3682">
        <f t="shared" si="171"/>
        <v>119.4</v>
      </c>
      <c r="E3682">
        <f t="shared" si="172"/>
        <v>5</v>
      </c>
      <c r="F3682">
        <f t="shared" si="173"/>
        <v>0.20399999999999996</v>
      </c>
    </row>
    <row r="3683" spans="1:6" x14ac:dyDescent="0.25">
      <c r="A3683" t="s">
        <v>299</v>
      </c>
      <c r="B3683" s="1">
        <v>46132</v>
      </c>
      <c r="C3683">
        <v>125</v>
      </c>
      <c r="D3683">
        <f t="shared" si="171"/>
        <v>124</v>
      </c>
      <c r="E3683">
        <f t="shared" si="172"/>
        <v>5</v>
      </c>
      <c r="F3683">
        <f t="shared" si="173"/>
        <v>8.0000000000000002E-3</v>
      </c>
    </row>
    <row r="3684" spans="1:6" x14ac:dyDescent="0.25">
      <c r="A3684" t="s">
        <v>299</v>
      </c>
      <c r="B3684" s="1">
        <v>46139</v>
      </c>
      <c r="C3684">
        <v>116</v>
      </c>
      <c r="D3684">
        <f t="shared" si="171"/>
        <v>120.2</v>
      </c>
      <c r="E3684">
        <f t="shared" si="172"/>
        <v>5</v>
      </c>
      <c r="F3684">
        <f t="shared" si="173"/>
        <v>3.6206896551724162E-2</v>
      </c>
    </row>
    <row r="3685" spans="1:6" x14ac:dyDescent="0.25">
      <c r="A3685" t="s">
        <v>299</v>
      </c>
      <c r="B3685" s="1">
        <v>46146</v>
      </c>
      <c r="C3685">
        <v>155</v>
      </c>
      <c r="D3685">
        <f t="shared" si="171"/>
        <v>122.6</v>
      </c>
      <c r="E3685">
        <f t="shared" si="172"/>
        <v>5</v>
      </c>
      <c r="F3685">
        <f t="shared" si="173"/>
        <v>0.20903225806451617</v>
      </c>
    </row>
    <row r="3686" spans="1:6" x14ac:dyDescent="0.25">
      <c r="A3686" t="s">
        <v>299</v>
      </c>
      <c r="B3686" s="1">
        <v>46153</v>
      </c>
      <c r="C3686">
        <v>129</v>
      </c>
      <c r="D3686">
        <f t="shared" si="171"/>
        <v>127.8</v>
      </c>
      <c r="E3686">
        <f t="shared" si="172"/>
        <v>5</v>
      </c>
      <c r="F3686">
        <f t="shared" si="173"/>
        <v>9.3023255813953713E-3</v>
      </c>
    </row>
    <row r="3687" spans="1:6" x14ac:dyDescent="0.25">
      <c r="A3687" t="s">
        <v>299</v>
      </c>
      <c r="B3687" s="1">
        <v>46160</v>
      </c>
      <c r="C3687">
        <v>155</v>
      </c>
      <c r="D3687">
        <f t="shared" si="171"/>
        <v>135</v>
      </c>
      <c r="E3687">
        <f t="shared" si="172"/>
        <v>5</v>
      </c>
      <c r="F3687">
        <f t="shared" si="173"/>
        <v>0.12903225806451613</v>
      </c>
    </row>
    <row r="3688" spans="1:6" x14ac:dyDescent="0.25">
      <c r="A3688" t="s">
        <v>299</v>
      </c>
      <c r="B3688" s="1">
        <v>46167</v>
      </c>
      <c r="C3688">
        <v>151</v>
      </c>
      <c r="D3688">
        <f t="shared" si="171"/>
        <v>136</v>
      </c>
      <c r="E3688">
        <f t="shared" si="172"/>
        <v>5</v>
      </c>
      <c r="F3688">
        <f t="shared" si="173"/>
        <v>9.9337748344370855E-2</v>
      </c>
    </row>
    <row r="3689" spans="1:6" x14ac:dyDescent="0.25">
      <c r="A3689" t="s">
        <v>299</v>
      </c>
      <c r="B3689" s="1">
        <v>46174</v>
      </c>
      <c r="C3689">
        <v>163</v>
      </c>
      <c r="D3689">
        <f t="shared" si="171"/>
        <v>141.19999999999999</v>
      </c>
      <c r="E3689">
        <f t="shared" si="172"/>
        <v>5</v>
      </c>
      <c r="F3689">
        <f t="shared" si="173"/>
        <v>0.13374233128834362</v>
      </c>
    </row>
    <row r="3690" spans="1:6" x14ac:dyDescent="0.25">
      <c r="A3690" t="s">
        <v>299</v>
      </c>
      <c r="B3690" s="1">
        <v>46181</v>
      </c>
      <c r="C3690">
        <v>123</v>
      </c>
      <c r="D3690">
        <f t="shared" si="171"/>
        <v>150.6</v>
      </c>
      <c r="E3690">
        <f t="shared" si="172"/>
        <v>5</v>
      </c>
      <c r="F3690">
        <f t="shared" si="173"/>
        <v>0.22439024390243897</v>
      </c>
    </row>
    <row r="3691" spans="1:6" x14ac:dyDescent="0.25">
      <c r="A3691" t="s">
        <v>299</v>
      </c>
      <c r="B3691" s="1">
        <v>46188</v>
      </c>
      <c r="C3691">
        <v>138</v>
      </c>
      <c r="D3691">
        <f t="shared" si="171"/>
        <v>144.19999999999999</v>
      </c>
      <c r="E3691">
        <f t="shared" si="172"/>
        <v>5</v>
      </c>
      <c r="F3691">
        <f t="shared" si="173"/>
        <v>4.4927536231883974E-2</v>
      </c>
    </row>
    <row r="3692" spans="1:6" x14ac:dyDescent="0.25">
      <c r="A3692" t="s">
        <v>299</v>
      </c>
      <c r="B3692" s="1">
        <v>46195</v>
      </c>
      <c r="C3692">
        <v>145</v>
      </c>
      <c r="D3692">
        <f t="shared" si="171"/>
        <v>146</v>
      </c>
      <c r="E3692">
        <f t="shared" si="172"/>
        <v>5</v>
      </c>
      <c r="F3692">
        <f t="shared" si="173"/>
        <v>6.8965517241379309E-3</v>
      </c>
    </row>
    <row r="3693" spans="1:6" x14ac:dyDescent="0.25">
      <c r="A3693" t="s">
        <v>299</v>
      </c>
      <c r="B3693" s="1">
        <v>46202</v>
      </c>
      <c r="C3693">
        <v>137</v>
      </c>
      <c r="D3693">
        <f t="shared" si="171"/>
        <v>144</v>
      </c>
      <c r="E3693">
        <f t="shared" si="172"/>
        <v>5</v>
      </c>
      <c r="F3693">
        <f t="shared" si="173"/>
        <v>5.1094890510948905E-2</v>
      </c>
    </row>
    <row r="3694" spans="1:6" x14ac:dyDescent="0.25">
      <c r="A3694" t="s">
        <v>301</v>
      </c>
      <c r="B3694" s="1">
        <v>46027</v>
      </c>
      <c r="C3694">
        <v>107</v>
      </c>
      <c r="D3694" t="str">
        <f t="shared" si="171"/>
        <v/>
      </c>
      <c r="E3694">
        <f t="shared" si="172"/>
        <v>0</v>
      </c>
      <c r="F3694" t="str">
        <f t="shared" si="173"/>
        <v/>
      </c>
    </row>
    <row r="3695" spans="1:6" x14ac:dyDescent="0.25">
      <c r="A3695" t="s">
        <v>301</v>
      </c>
      <c r="B3695" s="1">
        <v>46034</v>
      </c>
      <c r="C3695">
        <v>114</v>
      </c>
      <c r="D3695" t="str">
        <f t="shared" si="171"/>
        <v/>
      </c>
      <c r="E3695">
        <f t="shared" si="172"/>
        <v>1</v>
      </c>
      <c r="F3695" t="str">
        <f t="shared" si="173"/>
        <v/>
      </c>
    </row>
    <row r="3696" spans="1:6" x14ac:dyDescent="0.25">
      <c r="A3696" t="s">
        <v>301</v>
      </c>
      <c r="B3696" s="1">
        <v>46041</v>
      </c>
      <c r="C3696">
        <v>107</v>
      </c>
      <c r="D3696" t="str">
        <f t="shared" si="171"/>
        <v/>
      </c>
      <c r="E3696">
        <f t="shared" si="172"/>
        <v>2</v>
      </c>
      <c r="F3696" t="str">
        <f t="shared" si="173"/>
        <v/>
      </c>
    </row>
    <row r="3697" spans="1:6" x14ac:dyDescent="0.25">
      <c r="A3697" t="s">
        <v>301</v>
      </c>
      <c r="B3697" s="1">
        <v>46048</v>
      </c>
      <c r="C3697">
        <v>120</v>
      </c>
      <c r="D3697" t="str">
        <f t="shared" si="171"/>
        <v/>
      </c>
      <c r="E3697">
        <f t="shared" si="172"/>
        <v>3</v>
      </c>
      <c r="F3697" t="str">
        <f t="shared" si="173"/>
        <v/>
      </c>
    </row>
    <row r="3698" spans="1:6" x14ac:dyDescent="0.25">
      <c r="A3698" t="s">
        <v>301</v>
      </c>
      <c r="B3698" s="1">
        <v>46055</v>
      </c>
      <c r="C3698">
        <v>102</v>
      </c>
      <c r="D3698" t="str">
        <f t="shared" si="171"/>
        <v/>
      </c>
      <c r="E3698">
        <f t="shared" si="172"/>
        <v>4</v>
      </c>
      <c r="F3698" t="str">
        <f t="shared" si="173"/>
        <v/>
      </c>
    </row>
    <row r="3699" spans="1:6" x14ac:dyDescent="0.25">
      <c r="A3699" t="s">
        <v>301</v>
      </c>
      <c r="B3699" s="1">
        <v>46062</v>
      </c>
      <c r="C3699">
        <v>118</v>
      </c>
      <c r="D3699">
        <f t="shared" si="171"/>
        <v>110</v>
      </c>
      <c r="E3699">
        <f t="shared" si="172"/>
        <v>5</v>
      </c>
      <c r="F3699">
        <f t="shared" si="173"/>
        <v>6.7796610169491525E-2</v>
      </c>
    </row>
    <row r="3700" spans="1:6" x14ac:dyDescent="0.25">
      <c r="A3700" t="s">
        <v>301</v>
      </c>
      <c r="B3700" s="1">
        <v>46069</v>
      </c>
      <c r="C3700">
        <v>133</v>
      </c>
      <c r="D3700">
        <f t="shared" si="171"/>
        <v>112.2</v>
      </c>
      <c r="E3700">
        <f t="shared" si="172"/>
        <v>5</v>
      </c>
      <c r="F3700">
        <f t="shared" si="173"/>
        <v>0.156390977443609</v>
      </c>
    </row>
    <row r="3701" spans="1:6" x14ac:dyDescent="0.25">
      <c r="A3701" t="s">
        <v>301</v>
      </c>
      <c r="B3701" s="1">
        <v>46076</v>
      </c>
      <c r="C3701">
        <v>122</v>
      </c>
      <c r="D3701">
        <f t="shared" si="171"/>
        <v>116</v>
      </c>
      <c r="E3701">
        <f t="shared" si="172"/>
        <v>5</v>
      </c>
      <c r="F3701">
        <f t="shared" si="173"/>
        <v>4.9180327868852458E-2</v>
      </c>
    </row>
    <row r="3702" spans="1:6" x14ac:dyDescent="0.25">
      <c r="A3702" t="s">
        <v>301</v>
      </c>
      <c r="B3702" s="1">
        <v>46083</v>
      </c>
      <c r="C3702">
        <v>129</v>
      </c>
      <c r="D3702">
        <f t="shared" si="171"/>
        <v>119</v>
      </c>
      <c r="E3702">
        <f t="shared" si="172"/>
        <v>5</v>
      </c>
      <c r="F3702">
        <f t="shared" si="173"/>
        <v>7.7519379844961239E-2</v>
      </c>
    </row>
    <row r="3703" spans="1:6" x14ac:dyDescent="0.25">
      <c r="A3703" t="s">
        <v>301</v>
      </c>
      <c r="B3703" s="1">
        <v>46090</v>
      </c>
      <c r="C3703">
        <v>131</v>
      </c>
      <c r="D3703">
        <f t="shared" si="171"/>
        <v>120.8</v>
      </c>
      <c r="E3703">
        <f t="shared" si="172"/>
        <v>5</v>
      </c>
      <c r="F3703">
        <f t="shared" si="173"/>
        <v>7.7862595419847344E-2</v>
      </c>
    </row>
    <row r="3704" spans="1:6" x14ac:dyDescent="0.25">
      <c r="A3704" t="s">
        <v>301</v>
      </c>
      <c r="B3704" s="1">
        <v>46097</v>
      </c>
      <c r="C3704">
        <v>135</v>
      </c>
      <c r="D3704">
        <f t="shared" si="171"/>
        <v>126.6</v>
      </c>
      <c r="E3704">
        <f t="shared" si="172"/>
        <v>5</v>
      </c>
      <c r="F3704">
        <f t="shared" si="173"/>
        <v>6.2222222222222262E-2</v>
      </c>
    </row>
    <row r="3705" spans="1:6" x14ac:dyDescent="0.25">
      <c r="A3705" t="s">
        <v>301</v>
      </c>
      <c r="B3705" s="1">
        <v>46104</v>
      </c>
      <c r="C3705">
        <v>118</v>
      </c>
      <c r="D3705">
        <f t="shared" si="171"/>
        <v>130</v>
      </c>
      <c r="E3705">
        <f t="shared" si="172"/>
        <v>5</v>
      </c>
      <c r="F3705">
        <f t="shared" si="173"/>
        <v>0.10169491525423729</v>
      </c>
    </row>
    <row r="3706" spans="1:6" x14ac:dyDescent="0.25">
      <c r="A3706" t="s">
        <v>301</v>
      </c>
      <c r="B3706" s="1">
        <v>46111</v>
      </c>
      <c r="C3706">
        <v>111</v>
      </c>
      <c r="D3706">
        <f t="shared" si="171"/>
        <v>127</v>
      </c>
      <c r="E3706">
        <f t="shared" si="172"/>
        <v>5</v>
      </c>
      <c r="F3706">
        <f t="shared" si="173"/>
        <v>0.14414414414414414</v>
      </c>
    </row>
    <row r="3707" spans="1:6" x14ac:dyDescent="0.25">
      <c r="A3707" t="s">
        <v>301</v>
      </c>
      <c r="B3707" s="1">
        <v>46118</v>
      </c>
      <c r="C3707">
        <v>138</v>
      </c>
      <c r="D3707">
        <f t="shared" si="171"/>
        <v>124.8</v>
      </c>
      <c r="E3707">
        <f t="shared" si="172"/>
        <v>5</v>
      </c>
      <c r="F3707">
        <f t="shared" si="173"/>
        <v>9.5652173913043495E-2</v>
      </c>
    </row>
    <row r="3708" spans="1:6" x14ac:dyDescent="0.25">
      <c r="A3708" t="s">
        <v>301</v>
      </c>
      <c r="B3708" s="1">
        <v>46125</v>
      </c>
      <c r="C3708">
        <v>133</v>
      </c>
      <c r="D3708">
        <f t="shared" si="171"/>
        <v>126.6</v>
      </c>
      <c r="E3708">
        <f t="shared" si="172"/>
        <v>5</v>
      </c>
      <c r="F3708">
        <f t="shared" si="173"/>
        <v>4.8120300751879744E-2</v>
      </c>
    </row>
    <row r="3709" spans="1:6" x14ac:dyDescent="0.25">
      <c r="A3709" t="s">
        <v>301</v>
      </c>
      <c r="B3709" s="1">
        <v>46132</v>
      </c>
      <c r="C3709">
        <v>130</v>
      </c>
      <c r="D3709">
        <f t="shared" si="171"/>
        <v>127</v>
      </c>
      <c r="E3709">
        <f t="shared" si="172"/>
        <v>5</v>
      </c>
      <c r="F3709">
        <f t="shared" si="173"/>
        <v>2.3076923076923078E-2</v>
      </c>
    </row>
    <row r="3710" spans="1:6" x14ac:dyDescent="0.25">
      <c r="A3710" t="s">
        <v>301</v>
      </c>
      <c r="B3710" s="1">
        <v>46139</v>
      </c>
      <c r="C3710">
        <v>126</v>
      </c>
      <c r="D3710">
        <f t="shared" si="171"/>
        <v>126</v>
      </c>
      <c r="E3710">
        <f t="shared" si="172"/>
        <v>5</v>
      </c>
      <c r="F3710">
        <f t="shared" si="173"/>
        <v>0</v>
      </c>
    </row>
    <row r="3711" spans="1:6" x14ac:dyDescent="0.25">
      <c r="A3711" t="s">
        <v>301</v>
      </c>
      <c r="B3711" s="1">
        <v>46146</v>
      </c>
      <c r="C3711">
        <v>139</v>
      </c>
      <c r="D3711">
        <f t="shared" si="171"/>
        <v>127.6</v>
      </c>
      <c r="E3711">
        <f t="shared" si="172"/>
        <v>5</v>
      </c>
      <c r="F3711">
        <f t="shared" si="173"/>
        <v>8.2014388489208667E-2</v>
      </c>
    </row>
    <row r="3712" spans="1:6" x14ac:dyDescent="0.25">
      <c r="A3712" t="s">
        <v>301</v>
      </c>
      <c r="B3712" s="1">
        <v>46153</v>
      </c>
      <c r="C3712">
        <v>155</v>
      </c>
      <c r="D3712">
        <f t="shared" si="171"/>
        <v>133.19999999999999</v>
      </c>
      <c r="E3712">
        <f t="shared" si="172"/>
        <v>5</v>
      </c>
      <c r="F3712">
        <f t="shared" si="173"/>
        <v>0.14064516129032265</v>
      </c>
    </row>
    <row r="3713" spans="1:6" x14ac:dyDescent="0.25">
      <c r="A3713" t="s">
        <v>301</v>
      </c>
      <c r="B3713" s="1">
        <v>46160</v>
      </c>
      <c r="C3713">
        <v>143</v>
      </c>
      <c r="D3713">
        <f t="shared" si="171"/>
        <v>136.6</v>
      </c>
      <c r="E3713">
        <f t="shared" si="172"/>
        <v>5</v>
      </c>
      <c r="F3713">
        <f t="shared" si="173"/>
        <v>4.4755244755244797E-2</v>
      </c>
    </row>
    <row r="3714" spans="1:6" x14ac:dyDescent="0.25">
      <c r="A3714" t="s">
        <v>301</v>
      </c>
      <c r="B3714" s="1">
        <v>46167</v>
      </c>
      <c r="C3714">
        <v>140</v>
      </c>
      <c r="D3714">
        <f t="shared" ref="D3714:D3777" si="174">IF(E3714 &lt; 5, "", AVERAGEIFS(C:C, A:A, A3714, B:B, "&gt;=" &amp; (B3714-35), B:B, "&lt;=" &amp; (B3714-7)))</f>
        <v>138.6</v>
      </c>
      <c r="E3714">
        <f t="shared" ref="E3714:E3777" si="175">COUNTIFS(A:A, A3714, B:B, "&gt;=" &amp; (B3714-35), B:B, "&lt;=" &amp; (B3714-7))</f>
        <v>5</v>
      </c>
      <c r="F3714">
        <f t="shared" ref="F3714:F3777" si="176">IF(OR(C3714=0, D3714=""), "", ABS(C3714 - D3714) / C3714)</f>
        <v>1.000000000000004E-2</v>
      </c>
    </row>
    <row r="3715" spans="1:6" x14ac:dyDescent="0.25">
      <c r="A3715" t="s">
        <v>301</v>
      </c>
      <c r="B3715" s="1">
        <v>46174</v>
      </c>
      <c r="C3715">
        <v>146</v>
      </c>
      <c r="D3715">
        <f t="shared" si="174"/>
        <v>140.6</v>
      </c>
      <c r="E3715">
        <f t="shared" si="175"/>
        <v>5</v>
      </c>
      <c r="F3715">
        <f t="shared" si="176"/>
        <v>3.6986301369863056E-2</v>
      </c>
    </row>
    <row r="3716" spans="1:6" x14ac:dyDescent="0.25">
      <c r="A3716" t="s">
        <v>301</v>
      </c>
      <c r="B3716" s="1">
        <v>46181</v>
      </c>
      <c r="C3716">
        <v>143</v>
      </c>
      <c r="D3716">
        <f t="shared" si="174"/>
        <v>144.6</v>
      </c>
      <c r="E3716">
        <f t="shared" si="175"/>
        <v>5</v>
      </c>
      <c r="F3716">
        <f t="shared" si="176"/>
        <v>1.1188811188811149E-2</v>
      </c>
    </row>
    <row r="3717" spans="1:6" x14ac:dyDescent="0.25">
      <c r="A3717" t="s">
        <v>301</v>
      </c>
      <c r="B3717" s="1">
        <v>46188</v>
      </c>
      <c r="C3717">
        <v>162</v>
      </c>
      <c r="D3717">
        <f t="shared" si="174"/>
        <v>145.4</v>
      </c>
      <c r="E3717">
        <f t="shared" si="175"/>
        <v>5</v>
      </c>
      <c r="F3717">
        <f t="shared" si="176"/>
        <v>0.10246913580246909</v>
      </c>
    </row>
    <row r="3718" spans="1:6" x14ac:dyDescent="0.25">
      <c r="A3718" t="s">
        <v>301</v>
      </c>
      <c r="B3718" s="1">
        <v>46195</v>
      </c>
      <c r="C3718">
        <v>150</v>
      </c>
      <c r="D3718">
        <f t="shared" si="174"/>
        <v>146.80000000000001</v>
      </c>
      <c r="E3718">
        <f t="shared" si="175"/>
        <v>5</v>
      </c>
      <c r="F3718">
        <f t="shared" si="176"/>
        <v>2.1333333333333256E-2</v>
      </c>
    </row>
    <row r="3719" spans="1:6" x14ac:dyDescent="0.25">
      <c r="A3719" t="s">
        <v>301</v>
      </c>
      <c r="B3719" s="1">
        <v>46202</v>
      </c>
      <c r="C3719">
        <v>159</v>
      </c>
      <c r="D3719">
        <f t="shared" si="174"/>
        <v>148.19999999999999</v>
      </c>
      <c r="E3719">
        <f t="shared" si="175"/>
        <v>5</v>
      </c>
      <c r="F3719">
        <f t="shared" si="176"/>
        <v>6.7924528301886861E-2</v>
      </c>
    </row>
    <row r="3720" spans="1:6" x14ac:dyDescent="0.25">
      <c r="A3720" t="s">
        <v>303</v>
      </c>
      <c r="B3720" s="1">
        <v>46027</v>
      </c>
      <c r="C3720">
        <v>61</v>
      </c>
      <c r="D3720" t="str">
        <f t="shared" si="174"/>
        <v/>
      </c>
      <c r="E3720">
        <f t="shared" si="175"/>
        <v>0</v>
      </c>
      <c r="F3720" t="str">
        <f t="shared" si="176"/>
        <v/>
      </c>
    </row>
    <row r="3721" spans="1:6" x14ac:dyDescent="0.25">
      <c r="A3721" t="s">
        <v>303</v>
      </c>
      <c r="B3721" s="1">
        <v>46034</v>
      </c>
      <c r="C3721">
        <v>89</v>
      </c>
      <c r="D3721" t="str">
        <f t="shared" si="174"/>
        <v/>
      </c>
      <c r="E3721">
        <f t="shared" si="175"/>
        <v>1</v>
      </c>
      <c r="F3721" t="str">
        <f t="shared" si="176"/>
        <v/>
      </c>
    </row>
    <row r="3722" spans="1:6" x14ac:dyDescent="0.25">
      <c r="A3722" t="s">
        <v>303</v>
      </c>
      <c r="B3722" s="1">
        <v>46041</v>
      </c>
      <c r="C3722">
        <v>91</v>
      </c>
      <c r="D3722" t="str">
        <f t="shared" si="174"/>
        <v/>
      </c>
      <c r="E3722">
        <f t="shared" si="175"/>
        <v>2</v>
      </c>
      <c r="F3722" t="str">
        <f t="shared" si="176"/>
        <v/>
      </c>
    </row>
    <row r="3723" spans="1:6" x14ac:dyDescent="0.25">
      <c r="A3723" t="s">
        <v>303</v>
      </c>
      <c r="B3723" s="1">
        <v>46048</v>
      </c>
      <c r="C3723">
        <v>57</v>
      </c>
      <c r="D3723" t="str">
        <f t="shared" si="174"/>
        <v/>
      </c>
      <c r="E3723">
        <f t="shared" si="175"/>
        <v>3</v>
      </c>
      <c r="F3723" t="str">
        <f t="shared" si="176"/>
        <v/>
      </c>
    </row>
    <row r="3724" spans="1:6" x14ac:dyDescent="0.25">
      <c r="A3724" t="s">
        <v>303</v>
      </c>
      <c r="B3724" s="1">
        <v>46055</v>
      </c>
      <c r="C3724">
        <v>53</v>
      </c>
      <c r="D3724" t="str">
        <f t="shared" si="174"/>
        <v/>
      </c>
      <c r="E3724">
        <f t="shared" si="175"/>
        <v>4</v>
      </c>
      <c r="F3724" t="str">
        <f t="shared" si="176"/>
        <v/>
      </c>
    </row>
    <row r="3725" spans="1:6" x14ac:dyDescent="0.25">
      <c r="A3725" t="s">
        <v>303</v>
      </c>
      <c r="B3725" s="1">
        <v>46062</v>
      </c>
      <c r="C3725">
        <v>93</v>
      </c>
      <c r="D3725">
        <f t="shared" si="174"/>
        <v>70.2</v>
      </c>
      <c r="E3725">
        <f t="shared" si="175"/>
        <v>5</v>
      </c>
      <c r="F3725">
        <f t="shared" si="176"/>
        <v>0.24516129032258061</v>
      </c>
    </row>
    <row r="3726" spans="1:6" x14ac:dyDescent="0.25">
      <c r="A3726" t="s">
        <v>303</v>
      </c>
      <c r="B3726" s="1">
        <v>46069</v>
      </c>
      <c r="C3726">
        <v>54</v>
      </c>
      <c r="D3726">
        <f t="shared" si="174"/>
        <v>76.599999999999994</v>
      </c>
      <c r="E3726">
        <f t="shared" si="175"/>
        <v>5</v>
      </c>
      <c r="F3726">
        <f t="shared" si="176"/>
        <v>0.4185185185185184</v>
      </c>
    </row>
    <row r="3727" spans="1:6" x14ac:dyDescent="0.25">
      <c r="A3727" t="s">
        <v>303</v>
      </c>
      <c r="B3727" s="1">
        <v>46076</v>
      </c>
      <c r="C3727">
        <v>109</v>
      </c>
      <c r="D3727">
        <f t="shared" si="174"/>
        <v>69.599999999999994</v>
      </c>
      <c r="E3727">
        <f t="shared" si="175"/>
        <v>5</v>
      </c>
      <c r="F3727">
        <f t="shared" si="176"/>
        <v>0.36146788990825696</v>
      </c>
    </row>
    <row r="3728" spans="1:6" x14ac:dyDescent="0.25">
      <c r="A3728" t="s">
        <v>303</v>
      </c>
      <c r="B3728" s="1">
        <v>46083</v>
      </c>
      <c r="C3728">
        <v>80</v>
      </c>
      <c r="D3728">
        <f t="shared" si="174"/>
        <v>73.2</v>
      </c>
      <c r="E3728">
        <f t="shared" si="175"/>
        <v>5</v>
      </c>
      <c r="F3728">
        <f t="shared" si="176"/>
        <v>8.4999999999999964E-2</v>
      </c>
    </row>
    <row r="3729" spans="1:6" x14ac:dyDescent="0.25">
      <c r="A3729" t="s">
        <v>303</v>
      </c>
      <c r="B3729" s="1">
        <v>46090</v>
      </c>
      <c r="C3729">
        <v>90</v>
      </c>
      <c r="D3729">
        <f t="shared" si="174"/>
        <v>77.8</v>
      </c>
      <c r="E3729">
        <f t="shared" si="175"/>
        <v>5</v>
      </c>
      <c r="F3729">
        <f t="shared" si="176"/>
        <v>0.1355555555555556</v>
      </c>
    </row>
    <row r="3730" spans="1:6" x14ac:dyDescent="0.25">
      <c r="A3730" t="s">
        <v>303</v>
      </c>
      <c r="B3730" s="1">
        <v>46097</v>
      </c>
      <c r="C3730">
        <v>90</v>
      </c>
      <c r="D3730">
        <f t="shared" si="174"/>
        <v>85.2</v>
      </c>
      <c r="E3730">
        <f t="shared" si="175"/>
        <v>5</v>
      </c>
      <c r="F3730">
        <f t="shared" si="176"/>
        <v>5.3333333333333302E-2</v>
      </c>
    </row>
    <row r="3731" spans="1:6" x14ac:dyDescent="0.25">
      <c r="A3731" t="s">
        <v>303</v>
      </c>
      <c r="B3731" s="1">
        <v>46104</v>
      </c>
      <c r="C3731">
        <v>82</v>
      </c>
      <c r="D3731">
        <f t="shared" si="174"/>
        <v>84.6</v>
      </c>
      <c r="E3731">
        <f t="shared" si="175"/>
        <v>5</v>
      </c>
      <c r="F3731">
        <f t="shared" si="176"/>
        <v>3.1707317073170663E-2</v>
      </c>
    </row>
    <row r="3732" spans="1:6" x14ac:dyDescent="0.25">
      <c r="A3732" t="s">
        <v>303</v>
      </c>
      <c r="B3732" s="1">
        <v>46111</v>
      </c>
      <c r="C3732">
        <v>90</v>
      </c>
      <c r="D3732">
        <f t="shared" si="174"/>
        <v>90.2</v>
      </c>
      <c r="E3732">
        <f t="shared" si="175"/>
        <v>5</v>
      </c>
      <c r="F3732">
        <f t="shared" si="176"/>
        <v>2.2222222222222539E-3</v>
      </c>
    </row>
    <row r="3733" spans="1:6" x14ac:dyDescent="0.25">
      <c r="A3733" t="s">
        <v>303</v>
      </c>
      <c r="B3733" s="1">
        <v>46118</v>
      </c>
      <c r="C3733">
        <v>88</v>
      </c>
      <c r="D3733">
        <f t="shared" si="174"/>
        <v>86.4</v>
      </c>
      <c r="E3733">
        <f t="shared" si="175"/>
        <v>5</v>
      </c>
      <c r="F3733">
        <f t="shared" si="176"/>
        <v>1.8181818181818118E-2</v>
      </c>
    </row>
    <row r="3734" spans="1:6" x14ac:dyDescent="0.25">
      <c r="A3734" t="s">
        <v>303</v>
      </c>
      <c r="B3734" s="1">
        <v>46125</v>
      </c>
      <c r="C3734">
        <v>114</v>
      </c>
      <c r="D3734">
        <f t="shared" si="174"/>
        <v>88</v>
      </c>
      <c r="E3734">
        <f t="shared" si="175"/>
        <v>5</v>
      </c>
      <c r="F3734">
        <f t="shared" si="176"/>
        <v>0.22807017543859648</v>
      </c>
    </row>
    <row r="3735" spans="1:6" x14ac:dyDescent="0.25">
      <c r="A3735" t="s">
        <v>303</v>
      </c>
      <c r="B3735" s="1">
        <v>46132</v>
      </c>
      <c r="C3735">
        <v>94</v>
      </c>
      <c r="D3735">
        <f t="shared" si="174"/>
        <v>92.8</v>
      </c>
      <c r="E3735">
        <f t="shared" si="175"/>
        <v>5</v>
      </c>
      <c r="F3735">
        <f t="shared" si="176"/>
        <v>1.2765957446808541E-2</v>
      </c>
    </row>
    <row r="3736" spans="1:6" x14ac:dyDescent="0.25">
      <c r="A3736" t="s">
        <v>303</v>
      </c>
      <c r="B3736" s="1">
        <v>46139</v>
      </c>
      <c r="C3736">
        <v>96</v>
      </c>
      <c r="D3736">
        <f t="shared" si="174"/>
        <v>93.6</v>
      </c>
      <c r="E3736">
        <f t="shared" si="175"/>
        <v>5</v>
      </c>
      <c r="F3736">
        <f t="shared" si="176"/>
        <v>2.500000000000006E-2</v>
      </c>
    </row>
    <row r="3737" spans="1:6" x14ac:dyDescent="0.25">
      <c r="A3737" t="s">
        <v>303</v>
      </c>
      <c r="B3737" s="1">
        <v>46146</v>
      </c>
      <c r="C3737">
        <v>89</v>
      </c>
      <c r="D3737">
        <f t="shared" si="174"/>
        <v>96.4</v>
      </c>
      <c r="E3737">
        <f t="shared" si="175"/>
        <v>5</v>
      </c>
      <c r="F3737">
        <f t="shared" si="176"/>
        <v>8.3146067415730399E-2</v>
      </c>
    </row>
    <row r="3738" spans="1:6" x14ac:dyDescent="0.25">
      <c r="A3738" t="s">
        <v>303</v>
      </c>
      <c r="B3738" s="1">
        <v>46153</v>
      </c>
      <c r="C3738">
        <v>88</v>
      </c>
      <c r="D3738">
        <f t="shared" si="174"/>
        <v>96.2</v>
      </c>
      <c r="E3738">
        <f t="shared" si="175"/>
        <v>5</v>
      </c>
      <c r="F3738">
        <f t="shared" si="176"/>
        <v>9.3181818181818213E-2</v>
      </c>
    </row>
    <row r="3739" spans="1:6" x14ac:dyDescent="0.25">
      <c r="A3739" t="s">
        <v>303</v>
      </c>
      <c r="B3739" s="1">
        <v>46160</v>
      </c>
      <c r="C3739">
        <v>88</v>
      </c>
      <c r="D3739">
        <f t="shared" si="174"/>
        <v>96.2</v>
      </c>
      <c r="E3739">
        <f t="shared" si="175"/>
        <v>5</v>
      </c>
      <c r="F3739">
        <f t="shared" si="176"/>
        <v>9.3181818181818213E-2</v>
      </c>
    </row>
    <row r="3740" spans="1:6" x14ac:dyDescent="0.25">
      <c r="A3740" t="s">
        <v>303</v>
      </c>
      <c r="B3740" s="1">
        <v>46167</v>
      </c>
      <c r="C3740">
        <v>100</v>
      </c>
      <c r="D3740">
        <f t="shared" si="174"/>
        <v>91</v>
      </c>
      <c r="E3740">
        <f t="shared" si="175"/>
        <v>5</v>
      </c>
      <c r="F3740">
        <f t="shared" si="176"/>
        <v>0.09</v>
      </c>
    </row>
    <row r="3741" spans="1:6" x14ac:dyDescent="0.25">
      <c r="A3741" t="s">
        <v>303</v>
      </c>
      <c r="B3741" s="1">
        <v>46174</v>
      </c>
      <c r="C3741">
        <v>130</v>
      </c>
      <c r="D3741">
        <f t="shared" si="174"/>
        <v>92.2</v>
      </c>
      <c r="E3741">
        <f t="shared" si="175"/>
        <v>5</v>
      </c>
      <c r="F3741">
        <f t="shared" si="176"/>
        <v>0.29076923076923072</v>
      </c>
    </row>
    <row r="3742" spans="1:6" x14ac:dyDescent="0.25">
      <c r="A3742" t="s">
        <v>303</v>
      </c>
      <c r="B3742" s="1">
        <v>46181</v>
      </c>
      <c r="C3742">
        <v>120</v>
      </c>
      <c r="D3742">
        <f t="shared" si="174"/>
        <v>99</v>
      </c>
      <c r="E3742">
        <f t="shared" si="175"/>
        <v>5</v>
      </c>
      <c r="F3742">
        <f t="shared" si="176"/>
        <v>0.17499999999999999</v>
      </c>
    </row>
    <row r="3743" spans="1:6" x14ac:dyDescent="0.25">
      <c r="A3743" t="s">
        <v>303</v>
      </c>
      <c r="B3743" s="1">
        <v>46188</v>
      </c>
      <c r="C3743">
        <v>107</v>
      </c>
      <c r="D3743">
        <f t="shared" si="174"/>
        <v>105.2</v>
      </c>
      <c r="E3743">
        <f t="shared" si="175"/>
        <v>5</v>
      </c>
      <c r="F3743">
        <f t="shared" si="176"/>
        <v>1.6822429906542029E-2</v>
      </c>
    </row>
    <row r="3744" spans="1:6" x14ac:dyDescent="0.25">
      <c r="A3744" t="s">
        <v>303</v>
      </c>
      <c r="B3744" s="1">
        <v>46195</v>
      </c>
      <c r="C3744">
        <v>131</v>
      </c>
      <c r="D3744">
        <f t="shared" si="174"/>
        <v>109</v>
      </c>
      <c r="E3744">
        <f t="shared" si="175"/>
        <v>5</v>
      </c>
      <c r="F3744">
        <f t="shared" si="176"/>
        <v>0.16793893129770993</v>
      </c>
    </row>
    <row r="3745" spans="1:6" x14ac:dyDescent="0.25">
      <c r="A3745" t="s">
        <v>303</v>
      </c>
      <c r="B3745" s="1">
        <v>46202</v>
      </c>
      <c r="C3745">
        <v>122</v>
      </c>
      <c r="D3745">
        <f t="shared" si="174"/>
        <v>117.6</v>
      </c>
      <c r="E3745">
        <f t="shared" si="175"/>
        <v>5</v>
      </c>
      <c r="F3745">
        <f t="shared" si="176"/>
        <v>3.6065573770491847E-2</v>
      </c>
    </row>
    <row r="3746" spans="1:6" x14ac:dyDescent="0.25">
      <c r="A3746" t="s">
        <v>305</v>
      </c>
      <c r="B3746" s="1">
        <v>46027</v>
      </c>
      <c r="C3746">
        <v>16</v>
      </c>
      <c r="D3746" t="str">
        <f t="shared" si="174"/>
        <v/>
      </c>
      <c r="E3746">
        <f t="shared" si="175"/>
        <v>0</v>
      </c>
      <c r="F3746" t="str">
        <f t="shared" si="176"/>
        <v/>
      </c>
    </row>
    <row r="3747" spans="1:6" x14ac:dyDescent="0.25">
      <c r="A3747" t="s">
        <v>305</v>
      </c>
      <c r="B3747" s="1">
        <v>46034</v>
      </c>
      <c r="C3747">
        <v>17</v>
      </c>
      <c r="D3747" t="str">
        <f t="shared" si="174"/>
        <v/>
      </c>
      <c r="E3747">
        <f t="shared" si="175"/>
        <v>1</v>
      </c>
      <c r="F3747" t="str">
        <f t="shared" si="176"/>
        <v/>
      </c>
    </row>
    <row r="3748" spans="1:6" x14ac:dyDescent="0.25">
      <c r="A3748" t="s">
        <v>305</v>
      </c>
      <c r="B3748" s="1">
        <v>46041</v>
      </c>
      <c r="C3748">
        <v>21</v>
      </c>
      <c r="D3748" t="str">
        <f t="shared" si="174"/>
        <v/>
      </c>
      <c r="E3748">
        <f t="shared" si="175"/>
        <v>2</v>
      </c>
      <c r="F3748" t="str">
        <f t="shared" si="176"/>
        <v/>
      </c>
    </row>
    <row r="3749" spans="1:6" x14ac:dyDescent="0.25">
      <c r="A3749" t="s">
        <v>305</v>
      </c>
      <c r="B3749" s="1">
        <v>46048</v>
      </c>
      <c r="C3749">
        <v>21</v>
      </c>
      <c r="D3749" t="str">
        <f t="shared" si="174"/>
        <v/>
      </c>
      <c r="E3749">
        <f t="shared" si="175"/>
        <v>3</v>
      </c>
      <c r="F3749" t="str">
        <f t="shared" si="176"/>
        <v/>
      </c>
    </row>
    <row r="3750" spans="1:6" x14ac:dyDescent="0.25">
      <c r="A3750" t="s">
        <v>305</v>
      </c>
      <c r="B3750" s="1">
        <v>46055</v>
      </c>
      <c r="C3750">
        <v>21</v>
      </c>
      <c r="D3750" t="str">
        <f t="shared" si="174"/>
        <v/>
      </c>
      <c r="E3750">
        <f t="shared" si="175"/>
        <v>4</v>
      </c>
      <c r="F3750" t="str">
        <f t="shared" si="176"/>
        <v/>
      </c>
    </row>
    <row r="3751" spans="1:6" x14ac:dyDescent="0.25">
      <c r="A3751" t="s">
        <v>305</v>
      </c>
      <c r="B3751" s="1">
        <v>46062</v>
      </c>
      <c r="C3751">
        <v>18</v>
      </c>
      <c r="D3751">
        <f t="shared" si="174"/>
        <v>19.2</v>
      </c>
      <c r="E3751">
        <f t="shared" si="175"/>
        <v>5</v>
      </c>
      <c r="F3751">
        <f t="shared" si="176"/>
        <v>6.6666666666666624E-2</v>
      </c>
    </row>
    <row r="3752" spans="1:6" x14ac:dyDescent="0.25">
      <c r="A3752" t="s">
        <v>305</v>
      </c>
      <c r="B3752" s="1">
        <v>46069</v>
      </c>
      <c r="C3752">
        <v>23</v>
      </c>
      <c r="D3752">
        <f t="shared" si="174"/>
        <v>19.600000000000001</v>
      </c>
      <c r="E3752">
        <f t="shared" si="175"/>
        <v>5</v>
      </c>
      <c r="F3752">
        <f t="shared" si="176"/>
        <v>0.14782608695652169</v>
      </c>
    </row>
    <row r="3753" spans="1:6" x14ac:dyDescent="0.25">
      <c r="A3753" t="s">
        <v>305</v>
      </c>
      <c r="B3753" s="1">
        <v>46076</v>
      </c>
      <c r="C3753">
        <v>20</v>
      </c>
      <c r="D3753">
        <f t="shared" si="174"/>
        <v>20.8</v>
      </c>
      <c r="E3753">
        <f t="shared" si="175"/>
        <v>5</v>
      </c>
      <c r="F3753">
        <f t="shared" si="176"/>
        <v>4.0000000000000036E-2</v>
      </c>
    </row>
    <row r="3754" spans="1:6" x14ac:dyDescent="0.25">
      <c r="A3754" t="s">
        <v>305</v>
      </c>
      <c r="B3754" s="1">
        <v>46083</v>
      </c>
      <c r="C3754">
        <v>21</v>
      </c>
      <c r="D3754">
        <f t="shared" si="174"/>
        <v>20.6</v>
      </c>
      <c r="E3754">
        <f t="shared" si="175"/>
        <v>5</v>
      </c>
      <c r="F3754">
        <f t="shared" si="176"/>
        <v>1.904761904761898E-2</v>
      </c>
    </row>
    <row r="3755" spans="1:6" x14ac:dyDescent="0.25">
      <c r="A3755" t="s">
        <v>305</v>
      </c>
      <c r="B3755" s="1">
        <v>46090</v>
      </c>
      <c r="C3755">
        <v>18</v>
      </c>
      <c r="D3755">
        <f t="shared" si="174"/>
        <v>20.6</v>
      </c>
      <c r="E3755">
        <f t="shared" si="175"/>
        <v>5</v>
      </c>
      <c r="F3755">
        <f t="shared" si="176"/>
        <v>0.14444444444444451</v>
      </c>
    </row>
    <row r="3756" spans="1:6" x14ac:dyDescent="0.25">
      <c r="A3756" t="s">
        <v>305</v>
      </c>
      <c r="B3756" s="1">
        <v>46097</v>
      </c>
      <c r="C3756">
        <v>22</v>
      </c>
      <c r="D3756">
        <f t="shared" si="174"/>
        <v>20</v>
      </c>
      <c r="E3756">
        <f t="shared" si="175"/>
        <v>5</v>
      </c>
      <c r="F3756">
        <f t="shared" si="176"/>
        <v>9.0909090909090912E-2</v>
      </c>
    </row>
    <row r="3757" spans="1:6" x14ac:dyDescent="0.25">
      <c r="A3757" t="s">
        <v>305</v>
      </c>
      <c r="B3757" s="1">
        <v>46104</v>
      </c>
      <c r="C3757">
        <v>20</v>
      </c>
      <c r="D3757">
        <f t="shared" si="174"/>
        <v>20.8</v>
      </c>
      <c r="E3757">
        <f t="shared" si="175"/>
        <v>5</v>
      </c>
      <c r="F3757">
        <f t="shared" si="176"/>
        <v>4.0000000000000036E-2</v>
      </c>
    </row>
    <row r="3758" spans="1:6" x14ac:dyDescent="0.25">
      <c r="A3758" t="s">
        <v>305</v>
      </c>
      <c r="B3758" s="1">
        <v>46111</v>
      </c>
      <c r="C3758">
        <v>24</v>
      </c>
      <c r="D3758">
        <f t="shared" si="174"/>
        <v>20.2</v>
      </c>
      <c r="E3758">
        <f t="shared" si="175"/>
        <v>5</v>
      </c>
      <c r="F3758">
        <f t="shared" si="176"/>
        <v>0.15833333333333335</v>
      </c>
    </row>
    <row r="3759" spans="1:6" x14ac:dyDescent="0.25">
      <c r="A3759" t="s">
        <v>305</v>
      </c>
      <c r="B3759" s="1">
        <v>46118</v>
      </c>
      <c r="C3759">
        <v>26</v>
      </c>
      <c r="D3759">
        <f t="shared" si="174"/>
        <v>21</v>
      </c>
      <c r="E3759">
        <f t="shared" si="175"/>
        <v>5</v>
      </c>
      <c r="F3759">
        <f t="shared" si="176"/>
        <v>0.19230769230769232</v>
      </c>
    </row>
    <row r="3760" spans="1:6" x14ac:dyDescent="0.25">
      <c r="A3760" t="s">
        <v>305</v>
      </c>
      <c r="B3760" s="1">
        <v>46125</v>
      </c>
      <c r="C3760">
        <v>23</v>
      </c>
      <c r="D3760">
        <f t="shared" si="174"/>
        <v>22</v>
      </c>
      <c r="E3760">
        <f t="shared" si="175"/>
        <v>5</v>
      </c>
      <c r="F3760">
        <f t="shared" si="176"/>
        <v>4.3478260869565216E-2</v>
      </c>
    </row>
    <row r="3761" spans="1:6" x14ac:dyDescent="0.25">
      <c r="A3761" t="s">
        <v>305</v>
      </c>
      <c r="B3761" s="1">
        <v>46132</v>
      </c>
      <c r="C3761">
        <v>27</v>
      </c>
      <c r="D3761">
        <f t="shared" si="174"/>
        <v>23</v>
      </c>
      <c r="E3761">
        <f t="shared" si="175"/>
        <v>5</v>
      </c>
      <c r="F3761">
        <f t="shared" si="176"/>
        <v>0.14814814814814814</v>
      </c>
    </row>
    <row r="3762" spans="1:6" x14ac:dyDescent="0.25">
      <c r="A3762" t="s">
        <v>305</v>
      </c>
      <c r="B3762" s="1">
        <v>46139</v>
      </c>
      <c r="C3762">
        <v>23</v>
      </c>
      <c r="D3762">
        <f t="shared" si="174"/>
        <v>24</v>
      </c>
      <c r="E3762">
        <f t="shared" si="175"/>
        <v>5</v>
      </c>
      <c r="F3762">
        <f t="shared" si="176"/>
        <v>4.3478260869565216E-2</v>
      </c>
    </row>
    <row r="3763" spans="1:6" x14ac:dyDescent="0.25">
      <c r="A3763" t="s">
        <v>305</v>
      </c>
      <c r="B3763" s="1">
        <v>46146</v>
      </c>
      <c r="C3763">
        <v>25</v>
      </c>
      <c r="D3763">
        <f t="shared" si="174"/>
        <v>24.6</v>
      </c>
      <c r="E3763">
        <f t="shared" si="175"/>
        <v>5</v>
      </c>
      <c r="F3763">
        <f t="shared" si="176"/>
        <v>1.5999999999999945E-2</v>
      </c>
    </row>
    <row r="3764" spans="1:6" x14ac:dyDescent="0.25">
      <c r="A3764" t="s">
        <v>305</v>
      </c>
      <c r="B3764" s="1">
        <v>46153</v>
      </c>
      <c r="C3764">
        <v>25</v>
      </c>
      <c r="D3764">
        <f t="shared" si="174"/>
        <v>24.8</v>
      </c>
      <c r="E3764">
        <f t="shared" si="175"/>
        <v>5</v>
      </c>
      <c r="F3764">
        <f t="shared" si="176"/>
        <v>7.9999999999999724E-3</v>
      </c>
    </row>
    <row r="3765" spans="1:6" x14ac:dyDescent="0.25">
      <c r="A3765" t="s">
        <v>305</v>
      </c>
      <c r="B3765" s="1">
        <v>46160</v>
      </c>
      <c r="C3765">
        <v>24</v>
      </c>
      <c r="D3765">
        <f t="shared" si="174"/>
        <v>24.6</v>
      </c>
      <c r="E3765">
        <f t="shared" si="175"/>
        <v>5</v>
      </c>
      <c r="F3765">
        <f t="shared" si="176"/>
        <v>2.500000000000006E-2</v>
      </c>
    </row>
    <row r="3766" spans="1:6" x14ac:dyDescent="0.25">
      <c r="A3766" t="s">
        <v>305</v>
      </c>
      <c r="B3766" s="1">
        <v>46167</v>
      </c>
      <c r="C3766">
        <v>26</v>
      </c>
      <c r="D3766">
        <f t="shared" si="174"/>
        <v>24.8</v>
      </c>
      <c r="E3766">
        <f t="shared" si="175"/>
        <v>5</v>
      </c>
      <c r="F3766">
        <f t="shared" si="176"/>
        <v>4.6153846153846129E-2</v>
      </c>
    </row>
    <row r="3767" spans="1:6" x14ac:dyDescent="0.25">
      <c r="A3767" t="s">
        <v>305</v>
      </c>
      <c r="B3767" s="1">
        <v>46174</v>
      </c>
      <c r="C3767">
        <v>24</v>
      </c>
      <c r="D3767">
        <f t="shared" si="174"/>
        <v>24.6</v>
      </c>
      <c r="E3767">
        <f t="shared" si="175"/>
        <v>5</v>
      </c>
      <c r="F3767">
        <f t="shared" si="176"/>
        <v>2.500000000000006E-2</v>
      </c>
    </row>
    <row r="3768" spans="1:6" x14ac:dyDescent="0.25">
      <c r="A3768" t="s">
        <v>305</v>
      </c>
      <c r="B3768" s="1">
        <v>46181</v>
      </c>
      <c r="C3768">
        <v>25</v>
      </c>
      <c r="D3768">
        <f t="shared" si="174"/>
        <v>24.8</v>
      </c>
      <c r="E3768">
        <f t="shared" si="175"/>
        <v>5</v>
      </c>
      <c r="F3768">
        <f t="shared" si="176"/>
        <v>7.9999999999999724E-3</v>
      </c>
    </row>
    <row r="3769" spans="1:6" x14ac:dyDescent="0.25">
      <c r="A3769" t="s">
        <v>305</v>
      </c>
      <c r="B3769" s="1">
        <v>46188</v>
      </c>
      <c r="C3769">
        <v>25</v>
      </c>
      <c r="D3769">
        <f t="shared" si="174"/>
        <v>24.8</v>
      </c>
      <c r="E3769">
        <f t="shared" si="175"/>
        <v>5</v>
      </c>
      <c r="F3769">
        <f t="shared" si="176"/>
        <v>7.9999999999999724E-3</v>
      </c>
    </row>
    <row r="3770" spans="1:6" x14ac:dyDescent="0.25">
      <c r="A3770" t="s">
        <v>305</v>
      </c>
      <c r="B3770" s="1">
        <v>46195</v>
      </c>
      <c r="C3770">
        <v>23</v>
      </c>
      <c r="D3770">
        <f t="shared" si="174"/>
        <v>24.8</v>
      </c>
      <c r="E3770">
        <f t="shared" si="175"/>
        <v>5</v>
      </c>
      <c r="F3770">
        <f t="shared" si="176"/>
        <v>7.8260869565217425E-2</v>
      </c>
    </row>
    <row r="3771" spans="1:6" x14ac:dyDescent="0.25">
      <c r="A3771" t="s">
        <v>305</v>
      </c>
      <c r="B3771" s="1">
        <v>46202</v>
      </c>
      <c r="C3771">
        <v>27</v>
      </c>
      <c r="D3771">
        <f t="shared" si="174"/>
        <v>24.6</v>
      </c>
      <c r="E3771">
        <f t="shared" si="175"/>
        <v>5</v>
      </c>
      <c r="F3771">
        <f t="shared" si="176"/>
        <v>8.8888888888888837E-2</v>
      </c>
    </row>
    <row r="3772" spans="1:6" x14ac:dyDescent="0.25">
      <c r="A3772" t="s">
        <v>307</v>
      </c>
      <c r="B3772" s="1">
        <v>46027</v>
      </c>
      <c r="C3772">
        <v>64</v>
      </c>
      <c r="D3772" t="str">
        <f t="shared" si="174"/>
        <v/>
      </c>
      <c r="E3772">
        <f t="shared" si="175"/>
        <v>0</v>
      </c>
      <c r="F3772" t="str">
        <f t="shared" si="176"/>
        <v/>
      </c>
    </row>
    <row r="3773" spans="1:6" x14ac:dyDescent="0.25">
      <c r="A3773" t="s">
        <v>307</v>
      </c>
      <c r="B3773" s="1">
        <v>46034</v>
      </c>
      <c r="C3773">
        <v>76</v>
      </c>
      <c r="D3773" t="str">
        <f t="shared" si="174"/>
        <v/>
      </c>
      <c r="E3773">
        <f t="shared" si="175"/>
        <v>1</v>
      </c>
      <c r="F3773" t="str">
        <f t="shared" si="176"/>
        <v/>
      </c>
    </row>
    <row r="3774" spans="1:6" x14ac:dyDescent="0.25">
      <c r="A3774" t="s">
        <v>307</v>
      </c>
      <c r="B3774" s="1">
        <v>46041</v>
      </c>
      <c r="C3774">
        <v>72</v>
      </c>
      <c r="D3774" t="str">
        <f t="shared" si="174"/>
        <v/>
      </c>
      <c r="E3774">
        <f t="shared" si="175"/>
        <v>2</v>
      </c>
      <c r="F3774" t="str">
        <f t="shared" si="176"/>
        <v/>
      </c>
    </row>
    <row r="3775" spans="1:6" x14ac:dyDescent="0.25">
      <c r="A3775" t="s">
        <v>307</v>
      </c>
      <c r="B3775" s="1">
        <v>46048</v>
      </c>
      <c r="C3775">
        <v>76</v>
      </c>
      <c r="D3775" t="str">
        <f t="shared" si="174"/>
        <v/>
      </c>
      <c r="E3775">
        <f t="shared" si="175"/>
        <v>3</v>
      </c>
      <c r="F3775" t="str">
        <f t="shared" si="176"/>
        <v/>
      </c>
    </row>
    <row r="3776" spans="1:6" x14ac:dyDescent="0.25">
      <c r="A3776" t="s">
        <v>307</v>
      </c>
      <c r="B3776" s="1">
        <v>46055</v>
      </c>
      <c r="C3776">
        <v>67</v>
      </c>
      <c r="D3776" t="str">
        <f t="shared" si="174"/>
        <v/>
      </c>
      <c r="E3776">
        <f t="shared" si="175"/>
        <v>4</v>
      </c>
      <c r="F3776" t="str">
        <f t="shared" si="176"/>
        <v/>
      </c>
    </row>
    <row r="3777" spans="1:6" x14ac:dyDescent="0.25">
      <c r="A3777" t="s">
        <v>307</v>
      </c>
      <c r="B3777" s="1">
        <v>46062</v>
      </c>
      <c r="C3777">
        <v>83</v>
      </c>
      <c r="D3777">
        <f t="shared" si="174"/>
        <v>71</v>
      </c>
      <c r="E3777">
        <f t="shared" si="175"/>
        <v>5</v>
      </c>
      <c r="F3777">
        <f t="shared" si="176"/>
        <v>0.14457831325301204</v>
      </c>
    </row>
    <row r="3778" spans="1:6" x14ac:dyDescent="0.25">
      <c r="A3778" t="s">
        <v>307</v>
      </c>
      <c r="B3778" s="1">
        <v>46069</v>
      </c>
      <c r="C3778">
        <v>68</v>
      </c>
      <c r="D3778">
        <f t="shared" ref="D3778:D3841" si="177">IF(E3778 &lt; 5, "", AVERAGEIFS(C:C, A:A, A3778, B:B, "&gt;=" &amp; (B3778-35), B:B, "&lt;=" &amp; (B3778-7)))</f>
        <v>74.8</v>
      </c>
      <c r="E3778">
        <f t="shared" ref="E3778:E3841" si="178">COUNTIFS(A:A, A3778, B:B, "&gt;=" &amp; (B3778-35), B:B, "&lt;=" &amp; (B3778-7))</f>
        <v>5</v>
      </c>
      <c r="F3778">
        <f t="shared" ref="F3778:F3841" si="179">IF(OR(C3778=0, D3778=""), "", ABS(C3778 - D3778) / C3778)</f>
        <v>9.9999999999999964E-2</v>
      </c>
    </row>
    <row r="3779" spans="1:6" x14ac:dyDescent="0.25">
      <c r="A3779" t="s">
        <v>307</v>
      </c>
      <c r="B3779" s="1">
        <v>46076</v>
      </c>
      <c r="C3779">
        <v>79</v>
      </c>
      <c r="D3779">
        <f t="shared" si="177"/>
        <v>73.2</v>
      </c>
      <c r="E3779">
        <f t="shared" si="178"/>
        <v>5</v>
      </c>
      <c r="F3779">
        <f t="shared" si="179"/>
        <v>7.3417721518987303E-2</v>
      </c>
    </row>
    <row r="3780" spans="1:6" x14ac:dyDescent="0.25">
      <c r="A3780" t="s">
        <v>307</v>
      </c>
      <c r="B3780" s="1">
        <v>46083</v>
      </c>
      <c r="C3780">
        <v>81</v>
      </c>
      <c r="D3780">
        <f t="shared" si="177"/>
        <v>74.599999999999994</v>
      </c>
      <c r="E3780">
        <f t="shared" si="178"/>
        <v>5</v>
      </c>
      <c r="F3780">
        <f t="shared" si="179"/>
        <v>7.9012345679012413E-2</v>
      </c>
    </row>
    <row r="3781" spans="1:6" x14ac:dyDescent="0.25">
      <c r="A3781" t="s">
        <v>307</v>
      </c>
      <c r="B3781" s="1">
        <v>46090</v>
      </c>
      <c r="C3781">
        <v>85</v>
      </c>
      <c r="D3781">
        <f t="shared" si="177"/>
        <v>75.599999999999994</v>
      </c>
      <c r="E3781">
        <f t="shared" si="178"/>
        <v>5</v>
      </c>
      <c r="F3781">
        <f t="shared" si="179"/>
        <v>0.11058823529411771</v>
      </c>
    </row>
    <row r="3782" spans="1:6" x14ac:dyDescent="0.25">
      <c r="A3782" t="s">
        <v>307</v>
      </c>
      <c r="B3782" s="1">
        <v>46097</v>
      </c>
      <c r="C3782">
        <v>77</v>
      </c>
      <c r="D3782">
        <f t="shared" si="177"/>
        <v>79.2</v>
      </c>
      <c r="E3782">
        <f t="shared" si="178"/>
        <v>5</v>
      </c>
      <c r="F3782">
        <f t="shared" si="179"/>
        <v>2.8571428571428609E-2</v>
      </c>
    </row>
    <row r="3783" spans="1:6" x14ac:dyDescent="0.25">
      <c r="A3783" t="s">
        <v>307</v>
      </c>
      <c r="B3783" s="1">
        <v>46104</v>
      </c>
      <c r="C3783">
        <v>81</v>
      </c>
      <c r="D3783">
        <f t="shared" si="177"/>
        <v>78</v>
      </c>
      <c r="E3783">
        <f t="shared" si="178"/>
        <v>5</v>
      </c>
      <c r="F3783">
        <f t="shared" si="179"/>
        <v>3.7037037037037035E-2</v>
      </c>
    </row>
    <row r="3784" spans="1:6" x14ac:dyDescent="0.25">
      <c r="A3784" t="s">
        <v>307</v>
      </c>
      <c r="B3784" s="1">
        <v>46111</v>
      </c>
      <c r="C3784">
        <v>76</v>
      </c>
      <c r="D3784">
        <f t="shared" si="177"/>
        <v>80.599999999999994</v>
      </c>
      <c r="E3784">
        <f t="shared" si="178"/>
        <v>5</v>
      </c>
      <c r="F3784">
        <f t="shared" si="179"/>
        <v>6.0526315789473609E-2</v>
      </c>
    </row>
    <row r="3785" spans="1:6" x14ac:dyDescent="0.25">
      <c r="A3785" t="s">
        <v>307</v>
      </c>
      <c r="B3785" s="1">
        <v>46118</v>
      </c>
      <c r="C3785">
        <v>98</v>
      </c>
      <c r="D3785">
        <f t="shared" si="177"/>
        <v>80</v>
      </c>
      <c r="E3785">
        <f t="shared" si="178"/>
        <v>5</v>
      </c>
      <c r="F3785">
        <f t="shared" si="179"/>
        <v>0.18367346938775511</v>
      </c>
    </row>
    <row r="3786" spans="1:6" x14ac:dyDescent="0.25">
      <c r="A3786" t="s">
        <v>307</v>
      </c>
      <c r="B3786" s="1">
        <v>46125</v>
      </c>
      <c r="C3786">
        <v>98</v>
      </c>
      <c r="D3786">
        <f t="shared" si="177"/>
        <v>83.4</v>
      </c>
      <c r="E3786">
        <f t="shared" si="178"/>
        <v>5</v>
      </c>
      <c r="F3786">
        <f t="shared" si="179"/>
        <v>0.14897959183673465</v>
      </c>
    </row>
    <row r="3787" spans="1:6" x14ac:dyDescent="0.25">
      <c r="A3787" t="s">
        <v>307</v>
      </c>
      <c r="B3787" s="1">
        <v>46132</v>
      </c>
      <c r="C3787">
        <v>77</v>
      </c>
      <c r="D3787">
        <f t="shared" si="177"/>
        <v>86</v>
      </c>
      <c r="E3787">
        <f t="shared" si="178"/>
        <v>5</v>
      </c>
      <c r="F3787">
        <f t="shared" si="179"/>
        <v>0.11688311688311688</v>
      </c>
    </row>
    <row r="3788" spans="1:6" x14ac:dyDescent="0.25">
      <c r="A3788" t="s">
        <v>307</v>
      </c>
      <c r="B3788" s="1">
        <v>46139</v>
      </c>
      <c r="C3788">
        <v>69</v>
      </c>
      <c r="D3788">
        <f t="shared" si="177"/>
        <v>86</v>
      </c>
      <c r="E3788">
        <f t="shared" si="178"/>
        <v>5</v>
      </c>
      <c r="F3788">
        <f t="shared" si="179"/>
        <v>0.24637681159420291</v>
      </c>
    </row>
    <row r="3789" spans="1:6" x14ac:dyDescent="0.25">
      <c r="A3789" t="s">
        <v>307</v>
      </c>
      <c r="B3789" s="1">
        <v>46146</v>
      </c>
      <c r="C3789">
        <v>91</v>
      </c>
      <c r="D3789">
        <f t="shared" si="177"/>
        <v>83.6</v>
      </c>
      <c r="E3789">
        <f t="shared" si="178"/>
        <v>5</v>
      </c>
      <c r="F3789">
        <f t="shared" si="179"/>
        <v>8.1318681318681377E-2</v>
      </c>
    </row>
    <row r="3790" spans="1:6" x14ac:dyDescent="0.25">
      <c r="A3790" t="s">
        <v>307</v>
      </c>
      <c r="B3790" s="1">
        <v>46153</v>
      </c>
      <c r="C3790">
        <v>85</v>
      </c>
      <c r="D3790">
        <f t="shared" si="177"/>
        <v>86.6</v>
      </c>
      <c r="E3790">
        <f t="shared" si="178"/>
        <v>5</v>
      </c>
      <c r="F3790">
        <f t="shared" si="179"/>
        <v>1.8823529411764638E-2</v>
      </c>
    </row>
    <row r="3791" spans="1:6" x14ac:dyDescent="0.25">
      <c r="A3791" t="s">
        <v>307</v>
      </c>
      <c r="B3791" s="1">
        <v>46160</v>
      </c>
      <c r="C3791">
        <v>88</v>
      </c>
      <c r="D3791">
        <f t="shared" si="177"/>
        <v>84</v>
      </c>
      <c r="E3791">
        <f t="shared" si="178"/>
        <v>5</v>
      </c>
      <c r="F3791">
        <f t="shared" si="179"/>
        <v>4.5454545454545456E-2</v>
      </c>
    </row>
    <row r="3792" spans="1:6" x14ac:dyDescent="0.25">
      <c r="A3792" t="s">
        <v>307</v>
      </c>
      <c r="B3792" s="1">
        <v>46167</v>
      </c>
      <c r="C3792">
        <v>70</v>
      </c>
      <c r="D3792">
        <f t="shared" si="177"/>
        <v>82</v>
      </c>
      <c r="E3792">
        <f t="shared" si="178"/>
        <v>5</v>
      </c>
      <c r="F3792">
        <f t="shared" si="179"/>
        <v>0.17142857142857143</v>
      </c>
    </row>
    <row r="3793" spans="1:6" x14ac:dyDescent="0.25">
      <c r="A3793" t="s">
        <v>307</v>
      </c>
      <c r="B3793" s="1">
        <v>46174</v>
      </c>
      <c r="C3793">
        <v>91</v>
      </c>
      <c r="D3793">
        <f t="shared" si="177"/>
        <v>80.599999999999994</v>
      </c>
      <c r="E3793">
        <f t="shared" si="178"/>
        <v>5</v>
      </c>
      <c r="F3793">
        <f t="shared" si="179"/>
        <v>0.11428571428571435</v>
      </c>
    </row>
    <row r="3794" spans="1:6" x14ac:dyDescent="0.25">
      <c r="A3794" t="s">
        <v>307</v>
      </c>
      <c r="B3794" s="1">
        <v>46181</v>
      </c>
      <c r="C3794">
        <v>89</v>
      </c>
      <c r="D3794">
        <f t="shared" si="177"/>
        <v>85</v>
      </c>
      <c r="E3794">
        <f t="shared" si="178"/>
        <v>5</v>
      </c>
      <c r="F3794">
        <f t="shared" si="179"/>
        <v>4.49438202247191E-2</v>
      </c>
    </row>
    <row r="3795" spans="1:6" x14ac:dyDescent="0.25">
      <c r="A3795" t="s">
        <v>307</v>
      </c>
      <c r="B3795" s="1">
        <v>46188</v>
      </c>
      <c r="C3795">
        <v>99</v>
      </c>
      <c r="D3795">
        <f t="shared" si="177"/>
        <v>84.6</v>
      </c>
      <c r="E3795">
        <f t="shared" si="178"/>
        <v>5</v>
      </c>
      <c r="F3795">
        <f t="shared" si="179"/>
        <v>0.1454545454545455</v>
      </c>
    </row>
    <row r="3796" spans="1:6" x14ac:dyDescent="0.25">
      <c r="A3796" t="s">
        <v>307</v>
      </c>
      <c r="B3796" s="1">
        <v>46195</v>
      </c>
      <c r="C3796">
        <v>100</v>
      </c>
      <c r="D3796">
        <f t="shared" si="177"/>
        <v>87.4</v>
      </c>
      <c r="E3796">
        <f t="shared" si="178"/>
        <v>5</v>
      </c>
      <c r="F3796">
        <f t="shared" si="179"/>
        <v>0.12599999999999995</v>
      </c>
    </row>
    <row r="3797" spans="1:6" x14ac:dyDescent="0.25">
      <c r="A3797" t="s">
        <v>307</v>
      </c>
      <c r="B3797" s="1">
        <v>46202</v>
      </c>
      <c r="C3797">
        <v>99</v>
      </c>
      <c r="D3797">
        <f t="shared" si="177"/>
        <v>89.8</v>
      </c>
      <c r="E3797">
        <f t="shared" si="178"/>
        <v>5</v>
      </c>
      <c r="F3797">
        <f t="shared" si="179"/>
        <v>9.2929292929292959E-2</v>
      </c>
    </row>
    <row r="3798" spans="1:6" x14ac:dyDescent="0.25">
      <c r="A3798" t="s">
        <v>309</v>
      </c>
      <c r="B3798" s="1">
        <v>46027</v>
      </c>
      <c r="C3798">
        <v>34</v>
      </c>
      <c r="D3798" t="str">
        <f t="shared" si="177"/>
        <v/>
      </c>
      <c r="E3798">
        <f t="shared" si="178"/>
        <v>0</v>
      </c>
      <c r="F3798" t="str">
        <f t="shared" si="179"/>
        <v/>
      </c>
    </row>
    <row r="3799" spans="1:6" x14ac:dyDescent="0.25">
      <c r="A3799" t="s">
        <v>309</v>
      </c>
      <c r="B3799" s="1">
        <v>46034</v>
      </c>
      <c r="C3799">
        <v>35</v>
      </c>
      <c r="D3799" t="str">
        <f t="shared" si="177"/>
        <v/>
      </c>
      <c r="E3799">
        <f t="shared" si="178"/>
        <v>1</v>
      </c>
      <c r="F3799" t="str">
        <f t="shared" si="179"/>
        <v/>
      </c>
    </row>
    <row r="3800" spans="1:6" x14ac:dyDescent="0.25">
      <c r="A3800" t="s">
        <v>309</v>
      </c>
      <c r="B3800" s="1">
        <v>46041</v>
      </c>
      <c r="C3800">
        <v>35</v>
      </c>
      <c r="D3800" t="str">
        <f t="shared" si="177"/>
        <v/>
      </c>
      <c r="E3800">
        <f t="shared" si="178"/>
        <v>2</v>
      </c>
      <c r="F3800" t="str">
        <f t="shared" si="179"/>
        <v/>
      </c>
    </row>
    <row r="3801" spans="1:6" x14ac:dyDescent="0.25">
      <c r="A3801" t="s">
        <v>309</v>
      </c>
      <c r="B3801" s="1">
        <v>46048</v>
      </c>
      <c r="C3801">
        <v>29</v>
      </c>
      <c r="D3801" t="str">
        <f t="shared" si="177"/>
        <v/>
      </c>
      <c r="E3801">
        <f t="shared" si="178"/>
        <v>3</v>
      </c>
      <c r="F3801" t="str">
        <f t="shared" si="179"/>
        <v/>
      </c>
    </row>
    <row r="3802" spans="1:6" x14ac:dyDescent="0.25">
      <c r="A3802" t="s">
        <v>309</v>
      </c>
      <c r="B3802" s="1">
        <v>46055</v>
      </c>
      <c r="C3802">
        <v>26</v>
      </c>
      <c r="D3802" t="str">
        <f t="shared" si="177"/>
        <v/>
      </c>
      <c r="E3802">
        <f t="shared" si="178"/>
        <v>4</v>
      </c>
      <c r="F3802" t="str">
        <f t="shared" si="179"/>
        <v/>
      </c>
    </row>
    <row r="3803" spans="1:6" x14ac:dyDescent="0.25">
      <c r="A3803" t="s">
        <v>309</v>
      </c>
      <c r="B3803" s="1">
        <v>46062</v>
      </c>
      <c r="C3803">
        <v>29</v>
      </c>
      <c r="D3803">
        <f t="shared" si="177"/>
        <v>31.8</v>
      </c>
      <c r="E3803">
        <f t="shared" si="178"/>
        <v>5</v>
      </c>
      <c r="F3803">
        <f t="shared" si="179"/>
        <v>9.6551724137931061E-2</v>
      </c>
    </row>
    <row r="3804" spans="1:6" x14ac:dyDescent="0.25">
      <c r="A3804" t="s">
        <v>309</v>
      </c>
      <c r="B3804" s="1">
        <v>46069</v>
      </c>
      <c r="C3804">
        <v>35</v>
      </c>
      <c r="D3804">
        <f t="shared" si="177"/>
        <v>30.8</v>
      </c>
      <c r="E3804">
        <f t="shared" si="178"/>
        <v>5</v>
      </c>
      <c r="F3804">
        <f t="shared" si="179"/>
        <v>0.11999999999999998</v>
      </c>
    </row>
    <row r="3805" spans="1:6" x14ac:dyDescent="0.25">
      <c r="A3805" t="s">
        <v>309</v>
      </c>
      <c r="B3805" s="1">
        <v>46076</v>
      </c>
      <c r="C3805">
        <v>32</v>
      </c>
      <c r="D3805">
        <f t="shared" si="177"/>
        <v>30.8</v>
      </c>
      <c r="E3805">
        <f t="shared" si="178"/>
        <v>5</v>
      </c>
      <c r="F3805">
        <f t="shared" si="179"/>
        <v>3.7499999999999978E-2</v>
      </c>
    </row>
    <row r="3806" spans="1:6" x14ac:dyDescent="0.25">
      <c r="A3806" t="s">
        <v>309</v>
      </c>
      <c r="B3806" s="1">
        <v>46083</v>
      </c>
      <c r="C3806">
        <v>35</v>
      </c>
      <c r="D3806">
        <f t="shared" si="177"/>
        <v>30.2</v>
      </c>
      <c r="E3806">
        <f t="shared" si="178"/>
        <v>5</v>
      </c>
      <c r="F3806">
        <f t="shared" si="179"/>
        <v>0.13714285714285715</v>
      </c>
    </row>
    <row r="3807" spans="1:6" x14ac:dyDescent="0.25">
      <c r="A3807" t="s">
        <v>309</v>
      </c>
      <c r="B3807" s="1">
        <v>46090</v>
      </c>
      <c r="C3807">
        <v>36</v>
      </c>
      <c r="D3807">
        <f t="shared" si="177"/>
        <v>31.4</v>
      </c>
      <c r="E3807">
        <f t="shared" si="178"/>
        <v>5</v>
      </c>
      <c r="F3807">
        <f t="shared" si="179"/>
        <v>0.12777777777777782</v>
      </c>
    </row>
    <row r="3808" spans="1:6" x14ac:dyDescent="0.25">
      <c r="A3808" t="s">
        <v>309</v>
      </c>
      <c r="B3808" s="1">
        <v>46097</v>
      </c>
      <c r="C3808">
        <v>28</v>
      </c>
      <c r="D3808">
        <f t="shared" si="177"/>
        <v>33.4</v>
      </c>
      <c r="E3808">
        <f t="shared" si="178"/>
        <v>5</v>
      </c>
      <c r="F3808">
        <f t="shared" si="179"/>
        <v>0.19285714285714281</v>
      </c>
    </row>
    <row r="3809" spans="1:6" x14ac:dyDescent="0.25">
      <c r="A3809" t="s">
        <v>309</v>
      </c>
      <c r="B3809" s="1">
        <v>46104</v>
      </c>
      <c r="C3809">
        <v>28</v>
      </c>
      <c r="D3809">
        <f t="shared" si="177"/>
        <v>33.200000000000003</v>
      </c>
      <c r="E3809">
        <f t="shared" si="178"/>
        <v>5</v>
      </c>
      <c r="F3809">
        <f t="shared" si="179"/>
        <v>0.1857142857142858</v>
      </c>
    </row>
    <row r="3810" spans="1:6" x14ac:dyDescent="0.25">
      <c r="A3810" t="s">
        <v>309</v>
      </c>
      <c r="B3810" s="1">
        <v>46111</v>
      </c>
      <c r="C3810">
        <v>42</v>
      </c>
      <c r="D3810">
        <f t="shared" si="177"/>
        <v>31.8</v>
      </c>
      <c r="E3810">
        <f t="shared" si="178"/>
        <v>5</v>
      </c>
      <c r="F3810">
        <f t="shared" si="179"/>
        <v>0.24285714285714283</v>
      </c>
    </row>
    <row r="3811" spans="1:6" x14ac:dyDescent="0.25">
      <c r="A3811" t="s">
        <v>309</v>
      </c>
      <c r="B3811" s="1">
        <v>46118</v>
      </c>
      <c r="C3811">
        <v>31</v>
      </c>
      <c r="D3811">
        <f t="shared" si="177"/>
        <v>33.799999999999997</v>
      </c>
      <c r="E3811">
        <f t="shared" si="178"/>
        <v>5</v>
      </c>
      <c r="F3811">
        <f t="shared" si="179"/>
        <v>9.0322580645161202E-2</v>
      </c>
    </row>
    <row r="3812" spans="1:6" x14ac:dyDescent="0.25">
      <c r="A3812" t="s">
        <v>309</v>
      </c>
      <c r="B3812" s="1">
        <v>46125</v>
      </c>
      <c r="C3812">
        <v>25</v>
      </c>
      <c r="D3812">
        <f t="shared" si="177"/>
        <v>33</v>
      </c>
      <c r="E3812">
        <f t="shared" si="178"/>
        <v>5</v>
      </c>
      <c r="F3812">
        <f t="shared" si="179"/>
        <v>0.32</v>
      </c>
    </row>
    <row r="3813" spans="1:6" x14ac:dyDescent="0.25">
      <c r="A3813" t="s">
        <v>309</v>
      </c>
      <c r="B3813" s="1">
        <v>46132</v>
      </c>
      <c r="C3813">
        <v>46</v>
      </c>
      <c r="D3813">
        <f t="shared" si="177"/>
        <v>30.8</v>
      </c>
      <c r="E3813">
        <f t="shared" si="178"/>
        <v>5</v>
      </c>
      <c r="F3813">
        <f t="shared" si="179"/>
        <v>0.33043478260869563</v>
      </c>
    </row>
    <row r="3814" spans="1:6" x14ac:dyDescent="0.25">
      <c r="A3814" t="s">
        <v>309</v>
      </c>
      <c r="B3814" s="1">
        <v>46139</v>
      </c>
      <c r="C3814">
        <v>30</v>
      </c>
      <c r="D3814">
        <f t="shared" si="177"/>
        <v>34.4</v>
      </c>
      <c r="E3814">
        <f t="shared" si="178"/>
        <v>5</v>
      </c>
      <c r="F3814">
        <f t="shared" si="179"/>
        <v>0.14666666666666661</v>
      </c>
    </row>
    <row r="3815" spans="1:6" x14ac:dyDescent="0.25">
      <c r="A3815" t="s">
        <v>309</v>
      </c>
      <c r="B3815" s="1">
        <v>46146</v>
      </c>
      <c r="C3815">
        <v>30</v>
      </c>
      <c r="D3815">
        <f t="shared" si="177"/>
        <v>34.799999999999997</v>
      </c>
      <c r="E3815">
        <f t="shared" si="178"/>
        <v>5</v>
      </c>
      <c r="F3815">
        <f t="shared" si="179"/>
        <v>0.15999999999999989</v>
      </c>
    </row>
    <row r="3816" spans="1:6" x14ac:dyDescent="0.25">
      <c r="A3816" t="s">
        <v>309</v>
      </c>
      <c r="B3816" s="1">
        <v>46153</v>
      </c>
      <c r="C3816">
        <v>42</v>
      </c>
      <c r="D3816">
        <f t="shared" si="177"/>
        <v>32.4</v>
      </c>
      <c r="E3816">
        <f t="shared" si="178"/>
        <v>5</v>
      </c>
      <c r="F3816">
        <f t="shared" si="179"/>
        <v>0.22857142857142859</v>
      </c>
    </row>
    <row r="3817" spans="1:6" x14ac:dyDescent="0.25">
      <c r="A3817" t="s">
        <v>309</v>
      </c>
      <c r="B3817" s="1">
        <v>46160</v>
      </c>
      <c r="C3817">
        <v>30</v>
      </c>
      <c r="D3817">
        <f t="shared" si="177"/>
        <v>34.6</v>
      </c>
      <c r="E3817">
        <f t="shared" si="178"/>
        <v>5</v>
      </c>
      <c r="F3817">
        <f t="shared" si="179"/>
        <v>0.15333333333333338</v>
      </c>
    </row>
    <row r="3818" spans="1:6" x14ac:dyDescent="0.25">
      <c r="A3818" t="s">
        <v>309</v>
      </c>
      <c r="B3818" s="1">
        <v>46167</v>
      </c>
      <c r="C3818">
        <v>32</v>
      </c>
      <c r="D3818">
        <f t="shared" si="177"/>
        <v>35.6</v>
      </c>
      <c r="E3818">
        <f t="shared" si="178"/>
        <v>5</v>
      </c>
      <c r="F3818">
        <f t="shared" si="179"/>
        <v>0.11250000000000004</v>
      </c>
    </row>
    <row r="3819" spans="1:6" x14ac:dyDescent="0.25">
      <c r="A3819" t="s">
        <v>309</v>
      </c>
      <c r="B3819" s="1">
        <v>46174</v>
      </c>
      <c r="C3819">
        <v>43</v>
      </c>
      <c r="D3819">
        <f t="shared" si="177"/>
        <v>32.799999999999997</v>
      </c>
      <c r="E3819">
        <f t="shared" si="178"/>
        <v>5</v>
      </c>
      <c r="F3819">
        <f t="shared" si="179"/>
        <v>0.23720930232558146</v>
      </c>
    </row>
    <row r="3820" spans="1:6" x14ac:dyDescent="0.25">
      <c r="A3820" t="s">
        <v>309</v>
      </c>
      <c r="B3820" s="1">
        <v>46181</v>
      </c>
      <c r="C3820">
        <v>33</v>
      </c>
      <c r="D3820">
        <f t="shared" si="177"/>
        <v>35.4</v>
      </c>
      <c r="E3820">
        <f t="shared" si="178"/>
        <v>5</v>
      </c>
      <c r="F3820">
        <f t="shared" si="179"/>
        <v>7.2727272727272682E-2</v>
      </c>
    </row>
    <row r="3821" spans="1:6" x14ac:dyDescent="0.25">
      <c r="A3821" t="s">
        <v>309</v>
      </c>
      <c r="B3821" s="1">
        <v>46188</v>
      </c>
      <c r="C3821">
        <v>52</v>
      </c>
      <c r="D3821">
        <f t="shared" si="177"/>
        <v>36</v>
      </c>
      <c r="E3821">
        <f t="shared" si="178"/>
        <v>5</v>
      </c>
      <c r="F3821">
        <f t="shared" si="179"/>
        <v>0.30769230769230771</v>
      </c>
    </row>
    <row r="3822" spans="1:6" x14ac:dyDescent="0.25">
      <c r="A3822" t="s">
        <v>309</v>
      </c>
      <c r="B3822" s="1">
        <v>46195</v>
      </c>
      <c r="C3822">
        <v>39</v>
      </c>
      <c r="D3822">
        <f t="shared" si="177"/>
        <v>38</v>
      </c>
      <c r="E3822">
        <f t="shared" si="178"/>
        <v>5</v>
      </c>
      <c r="F3822">
        <f t="shared" si="179"/>
        <v>2.564102564102564E-2</v>
      </c>
    </row>
    <row r="3823" spans="1:6" x14ac:dyDescent="0.25">
      <c r="A3823" t="s">
        <v>309</v>
      </c>
      <c r="B3823" s="1">
        <v>46202</v>
      </c>
      <c r="C3823">
        <v>54</v>
      </c>
      <c r="D3823">
        <f t="shared" si="177"/>
        <v>39.799999999999997</v>
      </c>
      <c r="E3823">
        <f t="shared" si="178"/>
        <v>5</v>
      </c>
      <c r="F3823">
        <f t="shared" si="179"/>
        <v>0.26296296296296301</v>
      </c>
    </row>
    <row r="3824" spans="1:6" x14ac:dyDescent="0.25">
      <c r="A3824" t="s">
        <v>311</v>
      </c>
      <c r="B3824" s="1">
        <v>46027</v>
      </c>
      <c r="C3824">
        <v>23</v>
      </c>
      <c r="D3824" t="str">
        <f t="shared" si="177"/>
        <v/>
      </c>
      <c r="E3824">
        <f t="shared" si="178"/>
        <v>0</v>
      </c>
      <c r="F3824" t="str">
        <f t="shared" si="179"/>
        <v/>
      </c>
    </row>
    <row r="3825" spans="1:6" x14ac:dyDescent="0.25">
      <c r="A3825" t="s">
        <v>311</v>
      </c>
      <c r="B3825" s="1">
        <v>46034</v>
      </c>
      <c r="C3825">
        <v>24</v>
      </c>
      <c r="D3825" t="str">
        <f t="shared" si="177"/>
        <v/>
      </c>
      <c r="E3825">
        <f t="shared" si="178"/>
        <v>1</v>
      </c>
      <c r="F3825" t="str">
        <f t="shared" si="179"/>
        <v/>
      </c>
    </row>
    <row r="3826" spans="1:6" x14ac:dyDescent="0.25">
      <c r="A3826" t="s">
        <v>311</v>
      </c>
      <c r="B3826" s="1">
        <v>46041</v>
      </c>
      <c r="C3826">
        <v>19</v>
      </c>
      <c r="D3826" t="str">
        <f t="shared" si="177"/>
        <v/>
      </c>
      <c r="E3826">
        <f t="shared" si="178"/>
        <v>2</v>
      </c>
      <c r="F3826" t="str">
        <f t="shared" si="179"/>
        <v/>
      </c>
    </row>
    <row r="3827" spans="1:6" x14ac:dyDescent="0.25">
      <c r="A3827" t="s">
        <v>311</v>
      </c>
      <c r="B3827" s="1">
        <v>46048</v>
      </c>
      <c r="C3827">
        <v>24</v>
      </c>
      <c r="D3827" t="str">
        <f t="shared" si="177"/>
        <v/>
      </c>
      <c r="E3827">
        <f t="shared" si="178"/>
        <v>3</v>
      </c>
      <c r="F3827" t="str">
        <f t="shared" si="179"/>
        <v/>
      </c>
    </row>
    <row r="3828" spans="1:6" x14ac:dyDescent="0.25">
      <c r="A3828" t="s">
        <v>311</v>
      </c>
      <c r="B3828" s="1">
        <v>46055</v>
      </c>
      <c r="C3828">
        <v>24</v>
      </c>
      <c r="D3828" t="str">
        <f t="shared" si="177"/>
        <v/>
      </c>
      <c r="E3828">
        <f t="shared" si="178"/>
        <v>4</v>
      </c>
      <c r="F3828" t="str">
        <f t="shared" si="179"/>
        <v/>
      </c>
    </row>
    <row r="3829" spans="1:6" x14ac:dyDescent="0.25">
      <c r="A3829" t="s">
        <v>311</v>
      </c>
      <c r="B3829" s="1">
        <v>46062</v>
      </c>
      <c r="C3829">
        <v>22</v>
      </c>
      <c r="D3829">
        <f t="shared" si="177"/>
        <v>22.8</v>
      </c>
      <c r="E3829">
        <f t="shared" si="178"/>
        <v>5</v>
      </c>
      <c r="F3829">
        <f t="shared" si="179"/>
        <v>3.6363636363636397E-2</v>
      </c>
    </row>
    <row r="3830" spans="1:6" x14ac:dyDescent="0.25">
      <c r="A3830" t="s">
        <v>311</v>
      </c>
      <c r="B3830" s="1">
        <v>46069</v>
      </c>
      <c r="C3830">
        <v>27</v>
      </c>
      <c r="D3830">
        <f t="shared" si="177"/>
        <v>22.6</v>
      </c>
      <c r="E3830">
        <f t="shared" si="178"/>
        <v>5</v>
      </c>
      <c r="F3830">
        <f t="shared" si="179"/>
        <v>0.16296296296296292</v>
      </c>
    </row>
    <row r="3831" spans="1:6" x14ac:dyDescent="0.25">
      <c r="A3831" t="s">
        <v>311</v>
      </c>
      <c r="B3831" s="1">
        <v>46076</v>
      </c>
      <c r="C3831">
        <v>27</v>
      </c>
      <c r="D3831">
        <f t="shared" si="177"/>
        <v>23.2</v>
      </c>
      <c r="E3831">
        <f t="shared" si="178"/>
        <v>5</v>
      </c>
      <c r="F3831">
        <f t="shared" si="179"/>
        <v>0.14074074074074078</v>
      </c>
    </row>
    <row r="3832" spans="1:6" x14ac:dyDescent="0.25">
      <c r="A3832" t="s">
        <v>311</v>
      </c>
      <c r="B3832" s="1">
        <v>46083</v>
      </c>
      <c r="C3832">
        <v>27</v>
      </c>
      <c r="D3832">
        <f t="shared" si="177"/>
        <v>24.8</v>
      </c>
      <c r="E3832">
        <f t="shared" si="178"/>
        <v>5</v>
      </c>
      <c r="F3832">
        <f t="shared" si="179"/>
        <v>8.148148148148146E-2</v>
      </c>
    </row>
    <row r="3833" spans="1:6" x14ac:dyDescent="0.25">
      <c r="A3833" t="s">
        <v>311</v>
      </c>
      <c r="B3833" s="1">
        <v>46090</v>
      </c>
      <c r="C3833">
        <v>27</v>
      </c>
      <c r="D3833">
        <f t="shared" si="177"/>
        <v>25.4</v>
      </c>
      <c r="E3833">
        <f t="shared" si="178"/>
        <v>5</v>
      </c>
      <c r="F3833">
        <f t="shared" si="179"/>
        <v>5.925925925925931E-2</v>
      </c>
    </row>
    <row r="3834" spans="1:6" x14ac:dyDescent="0.25">
      <c r="A3834" t="s">
        <v>311</v>
      </c>
      <c r="B3834" s="1">
        <v>46097</v>
      </c>
      <c r="C3834">
        <v>22</v>
      </c>
      <c r="D3834">
        <f t="shared" si="177"/>
        <v>26</v>
      </c>
      <c r="E3834">
        <f t="shared" si="178"/>
        <v>5</v>
      </c>
      <c r="F3834">
        <f t="shared" si="179"/>
        <v>0.18181818181818182</v>
      </c>
    </row>
    <row r="3835" spans="1:6" x14ac:dyDescent="0.25">
      <c r="A3835" t="s">
        <v>311</v>
      </c>
      <c r="B3835" s="1">
        <v>46104</v>
      </c>
      <c r="C3835">
        <v>24</v>
      </c>
      <c r="D3835">
        <f t="shared" si="177"/>
        <v>26</v>
      </c>
      <c r="E3835">
        <f t="shared" si="178"/>
        <v>5</v>
      </c>
      <c r="F3835">
        <f t="shared" si="179"/>
        <v>8.3333333333333329E-2</v>
      </c>
    </row>
    <row r="3836" spans="1:6" x14ac:dyDescent="0.25">
      <c r="A3836" t="s">
        <v>311</v>
      </c>
      <c r="B3836" s="1">
        <v>46111</v>
      </c>
      <c r="C3836">
        <v>26</v>
      </c>
      <c r="D3836">
        <f t="shared" si="177"/>
        <v>25.4</v>
      </c>
      <c r="E3836">
        <f t="shared" si="178"/>
        <v>5</v>
      </c>
      <c r="F3836">
        <f t="shared" si="179"/>
        <v>2.307692307692313E-2</v>
      </c>
    </row>
    <row r="3837" spans="1:6" x14ac:dyDescent="0.25">
      <c r="A3837" t="s">
        <v>311</v>
      </c>
      <c r="B3837" s="1">
        <v>46118</v>
      </c>
      <c r="C3837">
        <v>35</v>
      </c>
      <c r="D3837">
        <f t="shared" si="177"/>
        <v>25.2</v>
      </c>
      <c r="E3837">
        <f t="shared" si="178"/>
        <v>5</v>
      </c>
      <c r="F3837">
        <f t="shared" si="179"/>
        <v>0.28000000000000003</v>
      </c>
    </row>
    <row r="3838" spans="1:6" x14ac:dyDescent="0.25">
      <c r="A3838" t="s">
        <v>311</v>
      </c>
      <c r="B3838" s="1">
        <v>46125</v>
      </c>
      <c r="C3838">
        <v>29</v>
      </c>
      <c r="D3838">
        <f t="shared" si="177"/>
        <v>26.8</v>
      </c>
      <c r="E3838">
        <f t="shared" si="178"/>
        <v>5</v>
      </c>
      <c r="F3838">
        <f t="shared" si="179"/>
        <v>7.5862068965517213E-2</v>
      </c>
    </row>
    <row r="3839" spans="1:6" x14ac:dyDescent="0.25">
      <c r="A3839" t="s">
        <v>311</v>
      </c>
      <c r="B3839" s="1">
        <v>46132</v>
      </c>
      <c r="C3839">
        <v>29</v>
      </c>
      <c r="D3839">
        <f t="shared" si="177"/>
        <v>27.2</v>
      </c>
      <c r="E3839">
        <f t="shared" si="178"/>
        <v>5</v>
      </c>
      <c r="F3839">
        <f t="shared" si="179"/>
        <v>6.2068965517241406E-2</v>
      </c>
    </row>
    <row r="3840" spans="1:6" x14ac:dyDescent="0.25">
      <c r="A3840" t="s">
        <v>311</v>
      </c>
      <c r="B3840" s="1">
        <v>46139</v>
      </c>
      <c r="C3840">
        <v>32</v>
      </c>
      <c r="D3840">
        <f t="shared" si="177"/>
        <v>28.6</v>
      </c>
      <c r="E3840">
        <f t="shared" si="178"/>
        <v>5</v>
      </c>
      <c r="F3840">
        <f t="shared" si="179"/>
        <v>0.10624999999999996</v>
      </c>
    </row>
    <row r="3841" spans="1:6" x14ac:dyDescent="0.25">
      <c r="A3841" t="s">
        <v>311</v>
      </c>
      <c r="B3841" s="1">
        <v>46146</v>
      </c>
      <c r="C3841">
        <v>25</v>
      </c>
      <c r="D3841">
        <f t="shared" si="177"/>
        <v>30.2</v>
      </c>
      <c r="E3841">
        <f t="shared" si="178"/>
        <v>5</v>
      </c>
      <c r="F3841">
        <f t="shared" si="179"/>
        <v>0.20799999999999996</v>
      </c>
    </row>
    <row r="3842" spans="1:6" x14ac:dyDescent="0.25">
      <c r="A3842" t="s">
        <v>311</v>
      </c>
      <c r="B3842" s="1">
        <v>46153</v>
      </c>
      <c r="C3842">
        <v>26</v>
      </c>
      <c r="D3842">
        <f t="shared" ref="D3842:D3901" si="180">IF(E3842 &lt; 5, "", AVERAGEIFS(C:C, A:A, A3842, B:B, "&gt;=" &amp; (B3842-35), B:B, "&lt;=" &amp; (B3842-7)))</f>
        <v>30</v>
      </c>
      <c r="E3842">
        <f t="shared" ref="E3842:E3901" si="181">COUNTIFS(A:A, A3842, B:B, "&gt;=" &amp; (B3842-35), B:B, "&lt;=" &amp; (B3842-7))</f>
        <v>5</v>
      </c>
      <c r="F3842">
        <f t="shared" ref="F3842:F3901" si="182">IF(OR(C3842=0, D3842=""), "", ABS(C3842 - D3842) / C3842)</f>
        <v>0.15384615384615385</v>
      </c>
    </row>
    <row r="3843" spans="1:6" x14ac:dyDescent="0.25">
      <c r="A3843" t="s">
        <v>311</v>
      </c>
      <c r="B3843" s="1">
        <v>46160</v>
      </c>
      <c r="C3843">
        <v>29</v>
      </c>
      <c r="D3843">
        <f t="shared" si="180"/>
        <v>28.2</v>
      </c>
      <c r="E3843">
        <f t="shared" si="181"/>
        <v>5</v>
      </c>
      <c r="F3843">
        <f t="shared" si="182"/>
        <v>2.7586206896551748E-2</v>
      </c>
    </row>
    <row r="3844" spans="1:6" x14ac:dyDescent="0.25">
      <c r="A3844" t="s">
        <v>311</v>
      </c>
      <c r="B3844" s="1">
        <v>46167</v>
      </c>
      <c r="C3844">
        <v>28</v>
      </c>
      <c r="D3844">
        <f t="shared" si="180"/>
        <v>28.2</v>
      </c>
      <c r="E3844">
        <f t="shared" si="181"/>
        <v>5</v>
      </c>
      <c r="F3844">
        <f t="shared" si="182"/>
        <v>7.1428571428571175E-3</v>
      </c>
    </row>
    <row r="3845" spans="1:6" x14ac:dyDescent="0.25">
      <c r="A3845" t="s">
        <v>311</v>
      </c>
      <c r="B3845" s="1">
        <v>46174</v>
      </c>
      <c r="C3845">
        <v>26</v>
      </c>
      <c r="D3845">
        <f t="shared" si="180"/>
        <v>28</v>
      </c>
      <c r="E3845">
        <f t="shared" si="181"/>
        <v>5</v>
      </c>
      <c r="F3845">
        <f t="shared" si="182"/>
        <v>7.6923076923076927E-2</v>
      </c>
    </row>
    <row r="3846" spans="1:6" x14ac:dyDescent="0.25">
      <c r="A3846" t="s">
        <v>311</v>
      </c>
      <c r="B3846" s="1">
        <v>46181</v>
      </c>
      <c r="C3846">
        <v>31</v>
      </c>
      <c r="D3846">
        <f t="shared" si="180"/>
        <v>26.8</v>
      </c>
      <c r="E3846">
        <f t="shared" si="181"/>
        <v>5</v>
      </c>
      <c r="F3846">
        <f t="shared" si="182"/>
        <v>0.13548387096774192</v>
      </c>
    </row>
    <row r="3847" spans="1:6" x14ac:dyDescent="0.25">
      <c r="A3847" t="s">
        <v>311</v>
      </c>
      <c r="B3847" s="1">
        <v>46188</v>
      </c>
      <c r="C3847">
        <v>34</v>
      </c>
      <c r="D3847">
        <f t="shared" si="180"/>
        <v>28</v>
      </c>
      <c r="E3847">
        <f t="shared" si="181"/>
        <v>5</v>
      </c>
      <c r="F3847">
        <f t="shared" si="182"/>
        <v>0.17647058823529413</v>
      </c>
    </row>
    <row r="3848" spans="1:6" x14ac:dyDescent="0.25">
      <c r="A3848" t="s">
        <v>311</v>
      </c>
      <c r="B3848" s="1">
        <v>46195</v>
      </c>
      <c r="C3848">
        <v>37</v>
      </c>
      <c r="D3848">
        <f t="shared" si="180"/>
        <v>29.6</v>
      </c>
      <c r="E3848">
        <f t="shared" si="181"/>
        <v>5</v>
      </c>
      <c r="F3848">
        <f t="shared" si="182"/>
        <v>0.19999999999999996</v>
      </c>
    </row>
    <row r="3849" spans="1:6" x14ac:dyDescent="0.25">
      <c r="A3849" t="s">
        <v>311</v>
      </c>
      <c r="B3849" s="1">
        <v>46202</v>
      </c>
      <c r="C3849">
        <v>30</v>
      </c>
      <c r="D3849">
        <f t="shared" si="180"/>
        <v>31.2</v>
      </c>
      <c r="E3849">
        <f t="shared" si="181"/>
        <v>5</v>
      </c>
      <c r="F3849">
        <f t="shared" si="182"/>
        <v>3.9999999999999973E-2</v>
      </c>
    </row>
    <row r="3850" spans="1:6" x14ac:dyDescent="0.25">
      <c r="A3850" t="s">
        <v>313</v>
      </c>
      <c r="B3850" s="1">
        <v>46027</v>
      </c>
      <c r="C3850">
        <v>46</v>
      </c>
      <c r="D3850" t="str">
        <f t="shared" si="180"/>
        <v/>
      </c>
      <c r="E3850">
        <f t="shared" si="181"/>
        <v>0</v>
      </c>
      <c r="F3850" t="str">
        <f t="shared" si="182"/>
        <v/>
      </c>
    </row>
    <row r="3851" spans="1:6" x14ac:dyDescent="0.25">
      <c r="A3851" t="s">
        <v>313</v>
      </c>
      <c r="B3851" s="1">
        <v>46034</v>
      </c>
      <c r="C3851">
        <v>42</v>
      </c>
      <c r="D3851" t="str">
        <f t="shared" si="180"/>
        <v/>
      </c>
      <c r="E3851">
        <f t="shared" si="181"/>
        <v>1</v>
      </c>
      <c r="F3851" t="str">
        <f t="shared" si="182"/>
        <v/>
      </c>
    </row>
    <row r="3852" spans="1:6" x14ac:dyDescent="0.25">
      <c r="A3852" t="s">
        <v>313</v>
      </c>
      <c r="B3852" s="1">
        <v>46041</v>
      </c>
      <c r="C3852">
        <v>48</v>
      </c>
      <c r="D3852" t="str">
        <f t="shared" si="180"/>
        <v/>
      </c>
      <c r="E3852">
        <f t="shared" si="181"/>
        <v>2</v>
      </c>
      <c r="F3852" t="str">
        <f t="shared" si="182"/>
        <v/>
      </c>
    </row>
    <row r="3853" spans="1:6" x14ac:dyDescent="0.25">
      <c r="A3853" t="s">
        <v>313</v>
      </c>
      <c r="B3853" s="1">
        <v>46048</v>
      </c>
      <c r="C3853">
        <v>41</v>
      </c>
      <c r="D3853" t="str">
        <f t="shared" si="180"/>
        <v/>
      </c>
      <c r="E3853">
        <f t="shared" si="181"/>
        <v>3</v>
      </c>
      <c r="F3853" t="str">
        <f t="shared" si="182"/>
        <v/>
      </c>
    </row>
    <row r="3854" spans="1:6" x14ac:dyDescent="0.25">
      <c r="A3854" t="s">
        <v>313</v>
      </c>
      <c r="B3854" s="1">
        <v>46055</v>
      </c>
      <c r="C3854">
        <v>41</v>
      </c>
      <c r="D3854" t="str">
        <f t="shared" si="180"/>
        <v/>
      </c>
      <c r="E3854">
        <f t="shared" si="181"/>
        <v>4</v>
      </c>
      <c r="F3854" t="str">
        <f t="shared" si="182"/>
        <v/>
      </c>
    </row>
    <row r="3855" spans="1:6" x14ac:dyDescent="0.25">
      <c r="A3855" t="s">
        <v>313</v>
      </c>
      <c r="B3855" s="1">
        <v>46062</v>
      </c>
      <c r="C3855">
        <v>55</v>
      </c>
      <c r="D3855">
        <f t="shared" si="180"/>
        <v>43.6</v>
      </c>
      <c r="E3855">
        <f t="shared" si="181"/>
        <v>5</v>
      </c>
      <c r="F3855">
        <f t="shared" si="182"/>
        <v>0.20727272727272725</v>
      </c>
    </row>
    <row r="3856" spans="1:6" x14ac:dyDescent="0.25">
      <c r="A3856" t="s">
        <v>313</v>
      </c>
      <c r="B3856" s="1">
        <v>46069</v>
      </c>
      <c r="C3856">
        <v>41</v>
      </c>
      <c r="D3856">
        <f t="shared" si="180"/>
        <v>45.4</v>
      </c>
      <c r="E3856">
        <f t="shared" si="181"/>
        <v>5</v>
      </c>
      <c r="F3856">
        <f t="shared" si="182"/>
        <v>0.10731707317073168</v>
      </c>
    </row>
    <row r="3857" spans="1:6" x14ac:dyDescent="0.25">
      <c r="A3857" t="s">
        <v>313</v>
      </c>
      <c r="B3857" s="1">
        <v>46076</v>
      </c>
      <c r="C3857">
        <v>50</v>
      </c>
      <c r="D3857">
        <f t="shared" si="180"/>
        <v>45.2</v>
      </c>
      <c r="E3857">
        <f t="shared" si="181"/>
        <v>5</v>
      </c>
      <c r="F3857">
        <f t="shared" si="182"/>
        <v>9.5999999999999946E-2</v>
      </c>
    </row>
    <row r="3858" spans="1:6" x14ac:dyDescent="0.25">
      <c r="A3858" t="s">
        <v>313</v>
      </c>
      <c r="B3858" s="1">
        <v>46083</v>
      </c>
      <c r="C3858">
        <v>54</v>
      </c>
      <c r="D3858">
        <f t="shared" si="180"/>
        <v>45.6</v>
      </c>
      <c r="E3858">
        <f t="shared" si="181"/>
        <v>5</v>
      </c>
      <c r="F3858">
        <f t="shared" si="182"/>
        <v>0.15555555555555553</v>
      </c>
    </row>
    <row r="3859" spans="1:6" x14ac:dyDescent="0.25">
      <c r="A3859" t="s">
        <v>313</v>
      </c>
      <c r="B3859" s="1">
        <v>46090</v>
      </c>
      <c r="C3859">
        <v>51</v>
      </c>
      <c r="D3859">
        <f t="shared" si="180"/>
        <v>48.2</v>
      </c>
      <c r="E3859">
        <f t="shared" si="181"/>
        <v>5</v>
      </c>
      <c r="F3859">
        <f t="shared" si="182"/>
        <v>5.4901960784313669E-2</v>
      </c>
    </row>
    <row r="3860" spans="1:6" x14ac:dyDescent="0.25">
      <c r="A3860" t="s">
        <v>313</v>
      </c>
      <c r="B3860" s="1">
        <v>46097</v>
      </c>
      <c r="C3860">
        <v>51</v>
      </c>
      <c r="D3860">
        <f t="shared" si="180"/>
        <v>50.2</v>
      </c>
      <c r="E3860">
        <f t="shared" si="181"/>
        <v>5</v>
      </c>
      <c r="F3860">
        <f t="shared" si="182"/>
        <v>1.5686274509803866E-2</v>
      </c>
    </row>
    <row r="3861" spans="1:6" x14ac:dyDescent="0.25">
      <c r="A3861" t="s">
        <v>313</v>
      </c>
      <c r="B3861" s="1">
        <v>46104</v>
      </c>
      <c r="C3861">
        <v>49</v>
      </c>
      <c r="D3861">
        <f t="shared" si="180"/>
        <v>49.4</v>
      </c>
      <c r="E3861">
        <f t="shared" si="181"/>
        <v>5</v>
      </c>
      <c r="F3861">
        <f t="shared" si="182"/>
        <v>8.1632653061224202E-3</v>
      </c>
    </row>
    <row r="3862" spans="1:6" x14ac:dyDescent="0.25">
      <c r="A3862" t="s">
        <v>313</v>
      </c>
      <c r="B3862" s="1">
        <v>46111</v>
      </c>
      <c r="C3862">
        <v>50</v>
      </c>
      <c r="D3862">
        <f t="shared" si="180"/>
        <v>51</v>
      </c>
      <c r="E3862">
        <f t="shared" si="181"/>
        <v>5</v>
      </c>
      <c r="F3862">
        <f t="shared" si="182"/>
        <v>0.02</v>
      </c>
    </row>
    <row r="3863" spans="1:6" x14ac:dyDescent="0.25">
      <c r="A3863" t="s">
        <v>313</v>
      </c>
      <c r="B3863" s="1">
        <v>46118</v>
      </c>
      <c r="C3863">
        <v>47</v>
      </c>
      <c r="D3863">
        <f t="shared" si="180"/>
        <v>51</v>
      </c>
      <c r="E3863">
        <f t="shared" si="181"/>
        <v>5</v>
      </c>
      <c r="F3863">
        <f t="shared" si="182"/>
        <v>8.5106382978723402E-2</v>
      </c>
    </row>
    <row r="3864" spans="1:6" x14ac:dyDescent="0.25">
      <c r="A3864" t="s">
        <v>313</v>
      </c>
      <c r="B3864" s="1">
        <v>46125</v>
      </c>
      <c r="C3864">
        <v>53</v>
      </c>
      <c r="D3864">
        <f t="shared" si="180"/>
        <v>49.6</v>
      </c>
      <c r="E3864">
        <f t="shared" si="181"/>
        <v>5</v>
      </c>
      <c r="F3864">
        <f t="shared" si="182"/>
        <v>6.4150943396226387E-2</v>
      </c>
    </row>
    <row r="3865" spans="1:6" x14ac:dyDescent="0.25">
      <c r="A3865" t="s">
        <v>313</v>
      </c>
      <c r="B3865" s="1">
        <v>46132</v>
      </c>
      <c r="C3865">
        <v>55</v>
      </c>
      <c r="D3865">
        <f t="shared" si="180"/>
        <v>50</v>
      </c>
      <c r="E3865">
        <f t="shared" si="181"/>
        <v>5</v>
      </c>
      <c r="F3865">
        <f t="shared" si="182"/>
        <v>9.0909090909090912E-2</v>
      </c>
    </row>
    <row r="3866" spans="1:6" x14ac:dyDescent="0.25">
      <c r="A3866" t="s">
        <v>313</v>
      </c>
      <c r="B3866" s="1">
        <v>46139</v>
      </c>
      <c r="C3866">
        <v>47</v>
      </c>
      <c r="D3866">
        <f t="shared" si="180"/>
        <v>50.8</v>
      </c>
      <c r="E3866">
        <f t="shared" si="181"/>
        <v>5</v>
      </c>
      <c r="F3866">
        <f t="shared" si="182"/>
        <v>8.085106382978717E-2</v>
      </c>
    </row>
    <row r="3867" spans="1:6" x14ac:dyDescent="0.25">
      <c r="A3867" t="s">
        <v>313</v>
      </c>
      <c r="B3867" s="1">
        <v>46146</v>
      </c>
      <c r="C3867">
        <v>44</v>
      </c>
      <c r="D3867">
        <f t="shared" si="180"/>
        <v>50.4</v>
      </c>
      <c r="E3867">
        <f t="shared" si="181"/>
        <v>5</v>
      </c>
      <c r="F3867">
        <f t="shared" si="182"/>
        <v>0.14545454545454542</v>
      </c>
    </row>
    <row r="3868" spans="1:6" x14ac:dyDescent="0.25">
      <c r="A3868" t="s">
        <v>313</v>
      </c>
      <c r="B3868" s="1">
        <v>46153</v>
      </c>
      <c r="C3868">
        <v>66</v>
      </c>
      <c r="D3868">
        <f t="shared" si="180"/>
        <v>49.2</v>
      </c>
      <c r="E3868">
        <f t="shared" si="181"/>
        <v>5</v>
      </c>
      <c r="F3868">
        <f t="shared" si="182"/>
        <v>0.25454545454545452</v>
      </c>
    </row>
    <row r="3869" spans="1:6" x14ac:dyDescent="0.25">
      <c r="A3869" t="s">
        <v>313</v>
      </c>
      <c r="B3869" s="1">
        <v>46160</v>
      </c>
      <c r="C3869">
        <v>54</v>
      </c>
      <c r="D3869">
        <f t="shared" si="180"/>
        <v>53</v>
      </c>
      <c r="E3869">
        <f t="shared" si="181"/>
        <v>5</v>
      </c>
      <c r="F3869">
        <f t="shared" si="182"/>
        <v>1.8518518518518517E-2</v>
      </c>
    </row>
    <row r="3870" spans="1:6" x14ac:dyDescent="0.25">
      <c r="A3870" t="s">
        <v>313</v>
      </c>
      <c r="B3870" s="1">
        <v>46167</v>
      </c>
      <c r="C3870">
        <v>50</v>
      </c>
      <c r="D3870">
        <f t="shared" si="180"/>
        <v>53.2</v>
      </c>
      <c r="E3870">
        <f t="shared" si="181"/>
        <v>5</v>
      </c>
      <c r="F3870">
        <f t="shared" si="182"/>
        <v>6.4000000000000057E-2</v>
      </c>
    </row>
    <row r="3871" spans="1:6" x14ac:dyDescent="0.25">
      <c r="A3871" t="s">
        <v>313</v>
      </c>
      <c r="B3871" s="1">
        <v>46174</v>
      </c>
      <c r="C3871">
        <v>51</v>
      </c>
      <c r="D3871">
        <f t="shared" si="180"/>
        <v>52.2</v>
      </c>
      <c r="E3871">
        <f t="shared" si="181"/>
        <v>5</v>
      </c>
      <c r="F3871">
        <f t="shared" si="182"/>
        <v>2.3529411764705938E-2</v>
      </c>
    </row>
    <row r="3872" spans="1:6" x14ac:dyDescent="0.25">
      <c r="A3872" t="s">
        <v>313</v>
      </c>
      <c r="B3872" s="1">
        <v>46181</v>
      </c>
      <c r="C3872">
        <v>59</v>
      </c>
      <c r="D3872">
        <f t="shared" si="180"/>
        <v>53</v>
      </c>
      <c r="E3872">
        <f t="shared" si="181"/>
        <v>5</v>
      </c>
      <c r="F3872">
        <f t="shared" si="182"/>
        <v>0.10169491525423729</v>
      </c>
    </row>
    <row r="3873" spans="1:6" x14ac:dyDescent="0.25">
      <c r="A3873" t="s">
        <v>313</v>
      </c>
      <c r="B3873" s="1">
        <v>46188</v>
      </c>
      <c r="C3873">
        <v>62</v>
      </c>
      <c r="D3873">
        <f t="shared" si="180"/>
        <v>56</v>
      </c>
      <c r="E3873">
        <f t="shared" si="181"/>
        <v>5</v>
      </c>
      <c r="F3873">
        <f t="shared" si="182"/>
        <v>9.6774193548387094E-2</v>
      </c>
    </row>
    <row r="3874" spans="1:6" x14ac:dyDescent="0.25">
      <c r="A3874" t="s">
        <v>313</v>
      </c>
      <c r="B3874" s="1">
        <v>46195</v>
      </c>
      <c r="C3874">
        <v>53</v>
      </c>
      <c r="D3874">
        <f t="shared" si="180"/>
        <v>55.2</v>
      </c>
      <c r="E3874">
        <f t="shared" si="181"/>
        <v>5</v>
      </c>
      <c r="F3874">
        <f t="shared" si="182"/>
        <v>4.1509433962264204E-2</v>
      </c>
    </row>
    <row r="3875" spans="1:6" x14ac:dyDescent="0.25">
      <c r="A3875" t="s">
        <v>313</v>
      </c>
      <c r="B3875" s="1">
        <v>46202</v>
      </c>
      <c r="C3875">
        <v>56</v>
      </c>
      <c r="D3875">
        <f t="shared" si="180"/>
        <v>55</v>
      </c>
      <c r="E3875">
        <f t="shared" si="181"/>
        <v>5</v>
      </c>
      <c r="F3875">
        <f t="shared" si="182"/>
        <v>1.7857142857142856E-2</v>
      </c>
    </row>
    <row r="3876" spans="1:6" x14ac:dyDescent="0.25">
      <c r="A3876" t="s">
        <v>315</v>
      </c>
      <c r="B3876" s="1">
        <v>46027</v>
      </c>
      <c r="C3876">
        <v>71</v>
      </c>
      <c r="D3876" t="str">
        <f t="shared" si="180"/>
        <v/>
      </c>
      <c r="E3876">
        <f t="shared" si="181"/>
        <v>0</v>
      </c>
      <c r="F3876" t="str">
        <f t="shared" si="182"/>
        <v/>
      </c>
    </row>
    <row r="3877" spans="1:6" x14ac:dyDescent="0.25">
      <c r="A3877" t="s">
        <v>315</v>
      </c>
      <c r="B3877" s="1">
        <v>46034</v>
      </c>
      <c r="C3877">
        <v>74</v>
      </c>
      <c r="D3877" t="str">
        <f t="shared" si="180"/>
        <v/>
      </c>
      <c r="E3877">
        <f t="shared" si="181"/>
        <v>1</v>
      </c>
      <c r="F3877" t="str">
        <f t="shared" si="182"/>
        <v/>
      </c>
    </row>
    <row r="3878" spans="1:6" x14ac:dyDescent="0.25">
      <c r="A3878" t="s">
        <v>315</v>
      </c>
      <c r="B3878" s="1">
        <v>46041</v>
      </c>
      <c r="C3878">
        <v>83</v>
      </c>
      <c r="D3878" t="str">
        <f t="shared" si="180"/>
        <v/>
      </c>
      <c r="E3878">
        <f t="shared" si="181"/>
        <v>2</v>
      </c>
      <c r="F3878" t="str">
        <f t="shared" si="182"/>
        <v/>
      </c>
    </row>
    <row r="3879" spans="1:6" x14ac:dyDescent="0.25">
      <c r="A3879" t="s">
        <v>315</v>
      </c>
      <c r="B3879" s="1">
        <v>46048</v>
      </c>
      <c r="C3879">
        <v>91</v>
      </c>
      <c r="D3879" t="str">
        <f t="shared" si="180"/>
        <v/>
      </c>
      <c r="E3879">
        <f t="shared" si="181"/>
        <v>3</v>
      </c>
      <c r="F3879" t="str">
        <f t="shared" si="182"/>
        <v/>
      </c>
    </row>
    <row r="3880" spans="1:6" x14ac:dyDescent="0.25">
      <c r="A3880" t="s">
        <v>315</v>
      </c>
      <c r="B3880" s="1">
        <v>46055</v>
      </c>
      <c r="C3880">
        <v>70</v>
      </c>
      <c r="D3880" t="str">
        <f t="shared" si="180"/>
        <v/>
      </c>
      <c r="E3880">
        <f t="shared" si="181"/>
        <v>4</v>
      </c>
      <c r="F3880" t="str">
        <f t="shared" si="182"/>
        <v/>
      </c>
    </row>
    <row r="3881" spans="1:6" x14ac:dyDescent="0.25">
      <c r="A3881" t="s">
        <v>315</v>
      </c>
      <c r="B3881" s="1">
        <v>46062</v>
      </c>
      <c r="C3881">
        <v>52</v>
      </c>
      <c r="D3881">
        <f t="shared" si="180"/>
        <v>77.8</v>
      </c>
      <c r="E3881">
        <f t="shared" si="181"/>
        <v>5</v>
      </c>
      <c r="F3881">
        <f t="shared" si="182"/>
        <v>0.49615384615384611</v>
      </c>
    </row>
    <row r="3882" spans="1:6" x14ac:dyDescent="0.25">
      <c r="A3882" t="s">
        <v>315</v>
      </c>
      <c r="B3882" s="1">
        <v>46069</v>
      </c>
      <c r="C3882">
        <v>35</v>
      </c>
      <c r="D3882">
        <f t="shared" si="180"/>
        <v>74</v>
      </c>
      <c r="E3882">
        <f t="shared" si="181"/>
        <v>5</v>
      </c>
      <c r="F3882">
        <f t="shared" si="182"/>
        <v>1.1142857142857143</v>
      </c>
    </row>
    <row r="3883" spans="1:6" x14ac:dyDescent="0.25">
      <c r="A3883" t="s">
        <v>315</v>
      </c>
      <c r="B3883" s="1">
        <v>46076</v>
      </c>
      <c r="C3883">
        <v>67</v>
      </c>
      <c r="D3883">
        <f t="shared" si="180"/>
        <v>66.2</v>
      </c>
      <c r="E3883">
        <f t="shared" si="181"/>
        <v>5</v>
      </c>
      <c r="F3883">
        <f t="shared" si="182"/>
        <v>1.1940298507462643E-2</v>
      </c>
    </row>
    <row r="3884" spans="1:6" x14ac:dyDescent="0.25">
      <c r="A3884" t="s">
        <v>315</v>
      </c>
      <c r="B3884" s="1">
        <v>46083</v>
      </c>
      <c r="C3884">
        <v>45</v>
      </c>
      <c r="D3884">
        <f t="shared" si="180"/>
        <v>63</v>
      </c>
      <c r="E3884">
        <f t="shared" si="181"/>
        <v>5</v>
      </c>
      <c r="F3884">
        <f t="shared" si="182"/>
        <v>0.4</v>
      </c>
    </row>
    <row r="3885" spans="1:6" x14ac:dyDescent="0.25">
      <c r="A3885" t="s">
        <v>315</v>
      </c>
      <c r="B3885" s="1">
        <v>46090</v>
      </c>
      <c r="C3885">
        <v>60</v>
      </c>
      <c r="D3885">
        <f t="shared" si="180"/>
        <v>53.8</v>
      </c>
      <c r="E3885">
        <f t="shared" si="181"/>
        <v>5</v>
      </c>
      <c r="F3885">
        <f t="shared" si="182"/>
        <v>0.10333333333333337</v>
      </c>
    </row>
    <row r="3886" spans="1:6" x14ac:dyDescent="0.25">
      <c r="A3886" t="s">
        <v>315</v>
      </c>
      <c r="B3886" s="1">
        <v>46097</v>
      </c>
      <c r="C3886">
        <v>66</v>
      </c>
      <c r="D3886">
        <f t="shared" si="180"/>
        <v>51.8</v>
      </c>
      <c r="E3886">
        <f t="shared" si="181"/>
        <v>5</v>
      </c>
      <c r="F3886">
        <f t="shared" si="182"/>
        <v>0.2151515151515152</v>
      </c>
    </row>
    <row r="3887" spans="1:6" x14ac:dyDescent="0.25">
      <c r="A3887" t="s">
        <v>315</v>
      </c>
      <c r="B3887" s="1">
        <v>46104</v>
      </c>
      <c r="C3887">
        <v>70</v>
      </c>
      <c r="D3887">
        <f t="shared" si="180"/>
        <v>54.6</v>
      </c>
      <c r="E3887">
        <f t="shared" si="181"/>
        <v>5</v>
      </c>
      <c r="F3887">
        <f t="shared" si="182"/>
        <v>0.21999999999999997</v>
      </c>
    </row>
    <row r="3888" spans="1:6" x14ac:dyDescent="0.25">
      <c r="A3888" t="s">
        <v>315</v>
      </c>
      <c r="B3888" s="1">
        <v>46111</v>
      </c>
      <c r="C3888">
        <v>96</v>
      </c>
      <c r="D3888">
        <f t="shared" si="180"/>
        <v>61.6</v>
      </c>
      <c r="E3888">
        <f t="shared" si="181"/>
        <v>5</v>
      </c>
      <c r="F3888">
        <f t="shared" si="182"/>
        <v>0.35833333333333334</v>
      </c>
    </row>
    <row r="3889" spans="1:6" x14ac:dyDescent="0.25">
      <c r="A3889" t="s">
        <v>315</v>
      </c>
      <c r="B3889" s="1">
        <v>46118</v>
      </c>
      <c r="C3889">
        <v>82</v>
      </c>
      <c r="D3889">
        <f t="shared" si="180"/>
        <v>67.400000000000006</v>
      </c>
      <c r="E3889">
        <f t="shared" si="181"/>
        <v>5</v>
      </c>
      <c r="F3889">
        <f t="shared" si="182"/>
        <v>0.17804878048780481</v>
      </c>
    </row>
    <row r="3890" spans="1:6" x14ac:dyDescent="0.25">
      <c r="A3890" t="s">
        <v>315</v>
      </c>
      <c r="B3890" s="1">
        <v>46125</v>
      </c>
      <c r="C3890">
        <v>77</v>
      </c>
      <c r="D3890">
        <f t="shared" si="180"/>
        <v>74.8</v>
      </c>
      <c r="E3890">
        <f t="shared" si="181"/>
        <v>5</v>
      </c>
      <c r="F3890">
        <f t="shared" si="182"/>
        <v>2.8571428571428609E-2</v>
      </c>
    </row>
    <row r="3891" spans="1:6" x14ac:dyDescent="0.25">
      <c r="A3891" t="s">
        <v>315</v>
      </c>
      <c r="B3891" s="1">
        <v>46132</v>
      </c>
      <c r="C3891">
        <v>116</v>
      </c>
      <c r="D3891">
        <f t="shared" si="180"/>
        <v>78.2</v>
      </c>
      <c r="E3891">
        <f t="shared" si="181"/>
        <v>5</v>
      </c>
      <c r="F3891">
        <f t="shared" si="182"/>
        <v>0.32586206896551723</v>
      </c>
    </row>
    <row r="3892" spans="1:6" x14ac:dyDescent="0.25">
      <c r="A3892" t="s">
        <v>315</v>
      </c>
      <c r="B3892" s="1">
        <v>46139</v>
      </c>
      <c r="C3892">
        <v>78</v>
      </c>
      <c r="D3892">
        <f t="shared" si="180"/>
        <v>88.2</v>
      </c>
      <c r="E3892">
        <f t="shared" si="181"/>
        <v>5</v>
      </c>
      <c r="F3892">
        <f t="shared" si="182"/>
        <v>0.1307692307692308</v>
      </c>
    </row>
    <row r="3893" spans="1:6" x14ac:dyDescent="0.25">
      <c r="A3893" t="s">
        <v>315</v>
      </c>
      <c r="B3893" s="1">
        <v>46146</v>
      </c>
      <c r="C3893">
        <v>122</v>
      </c>
      <c r="D3893">
        <f t="shared" si="180"/>
        <v>89.8</v>
      </c>
      <c r="E3893">
        <f t="shared" si="181"/>
        <v>5</v>
      </c>
      <c r="F3893">
        <f t="shared" si="182"/>
        <v>0.26393442622950825</v>
      </c>
    </row>
    <row r="3894" spans="1:6" x14ac:dyDescent="0.25">
      <c r="A3894" t="s">
        <v>315</v>
      </c>
      <c r="B3894" s="1">
        <v>46153</v>
      </c>
      <c r="C3894">
        <v>78</v>
      </c>
      <c r="D3894">
        <f t="shared" si="180"/>
        <v>95</v>
      </c>
      <c r="E3894">
        <f t="shared" si="181"/>
        <v>5</v>
      </c>
      <c r="F3894">
        <f t="shared" si="182"/>
        <v>0.21794871794871795</v>
      </c>
    </row>
    <row r="3895" spans="1:6" x14ac:dyDescent="0.25">
      <c r="A3895" t="s">
        <v>315</v>
      </c>
      <c r="B3895" s="1">
        <v>46160</v>
      </c>
      <c r="C3895">
        <v>89</v>
      </c>
      <c r="D3895">
        <f t="shared" si="180"/>
        <v>94.2</v>
      </c>
      <c r="E3895">
        <f t="shared" si="181"/>
        <v>5</v>
      </c>
      <c r="F3895">
        <f t="shared" si="182"/>
        <v>5.8426966292134862E-2</v>
      </c>
    </row>
    <row r="3896" spans="1:6" x14ac:dyDescent="0.25">
      <c r="A3896" t="s">
        <v>315</v>
      </c>
      <c r="B3896" s="1">
        <v>46167</v>
      </c>
      <c r="C3896">
        <v>54</v>
      </c>
      <c r="D3896">
        <f t="shared" si="180"/>
        <v>96.6</v>
      </c>
      <c r="E3896">
        <f t="shared" si="181"/>
        <v>5</v>
      </c>
      <c r="F3896">
        <f t="shared" si="182"/>
        <v>0.78888888888888875</v>
      </c>
    </row>
    <row r="3897" spans="1:6" x14ac:dyDescent="0.25">
      <c r="A3897" t="s">
        <v>315</v>
      </c>
      <c r="B3897" s="1">
        <v>46174</v>
      </c>
      <c r="C3897">
        <v>83</v>
      </c>
      <c r="D3897">
        <f t="shared" si="180"/>
        <v>84.2</v>
      </c>
      <c r="E3897">
        <f t="shared" si="181"/>
        <v>5</v>
      </c>
      <c r="F3897">
        <f t="shared" si="182"/>
        <v>1.445783132530124E-2</v>
      </c>
    </row>
    <row r="3898" spans="1:6" x14ac:dyDescent="0.25">
      <c r="A3898" t="s">
        <v>315</v>
      </c>
      <c r="B3898" s="1">
        <v>46181</v>
      </c>
      <c r="C3898">
        <v>59</v>
      </c>
      <c r="D3898">
        <f t="shared" si="180"/>
        <v>85.2</v>
      </c>
      <c r="E3898">
        <f t="shared" si="181"/>
        <v>5</v>
      </c>
      <c r="F3898">
        <f t="shared" si="182"/>
        <v>0.44406779661016954</v>
      </c>
    </row>
    <row r="3899" spans="1:6" x14ac:dyDescent="0.25">
      <c r="A3899" t="s">
        <v>315</v>
      </c>
      <c r="B3899" s="1">
        <v>46188</v>
      </c>
      <c r="C3899">
        <v>118</v>
      </c>
      <c r="D3899">
        <f t="shared" si="180"/>
        <v>72.599999999999994</v>
      </c>
      <c r="E3899">
        <f t="shared" si="181"/>
        <v>5</v>
      </c>
      <c r="F3899">
        <f t="shared" si="182"/>
        <v>0.38474576271186445</v>
      </c>
    </row>
    <row r="3900" spans="1:6" x14ac:dyDescent="0.25">
      <c r="A3900" t="s">
        <v>315</v>
      </c>
      <c r="B3900" s="1">
        <v>46195</v>
      </c>
      <c r="C3900">
        <v>88</v>
      </c>
      <c r="D3900">
        <f t="shared" si="180"/>
        <v>80.599999999999994</v>
      </c>
      <c r="E3900">
        <f t="shared" si="181"/>
        <v>5</v>
      </c>
      <c r="F3900">
        <f t="shared" si="182"/>
        <v>8.4090909090909161E-2</v>
      </c>
    </row>
    <row r="3901" spans="1:6" x14ac:dyDescent="0.25">
      <c r="A3901" t="s">
        <v>315</v>
      </c>
      <c r="B3901" s="1">
        <v>46202</v>
      </c>
      <c r="C3901">
        <v>119</v>
      </c>
      <c r="D3901">
        <f t="shared" si="180"/>
        <v>80.400000000000006</v>
      </c>
      <c r="E3901">
        <f t="shared" si="181"/>
        <v>5</v>
      </c>
      <c r="F3901">
        <f t="shared" si="182"/>
        <v>0.32436974789915962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69CBB5-BFE6-48E0-9EB2-A5704A304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InventoryModel</vt:lpstr>
      <vt:lpstr>PivotTables</vt:lpstr>
      <vt:lpstr>SKU_Master</vt:lpstr>
      <vt:lpstr>DemandSummary</vt:lpstr>
      <vt:lpstr>DemandHistory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Clark</dc:creator>
  <cp:lastModifiedBy>Corey Clark</cp:lastModifiedBy>
  <dcterms:created xsi:type="dcterms:W3CDTF">2026-08-21T19:55:02Z</dcterms:created>
  <dcterms:modified xsi:type="dcterms:W3CDTF">2026-09-05T15:05:26Z</dcterms:modified>
</cp:coreProperties>
</file>